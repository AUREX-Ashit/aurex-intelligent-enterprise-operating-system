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 min="1" max="1"/>
    <col width="27" customWidth="1" style="5" min="2" max="2"/>
    <col width="14" customWidth="1" style="5" min="3" max="4"/>
    <col width="55" customWidth="1" style="5" min="5" max="5"/>
  </cols>
  <sheetData>
    <row r="1" ht="15" customHeight="1" s="6">
      <c r="A1" s="7" t="inlineStr">
        <is>
          <t>Domain</t>
        </is>
      </c>
      <c r="B1" s="7" t="inlineStr">
        <is>
          <t>Version</t>
        </is>
      </c>
      <c r="C1" s="7" t="inlineStr">
        <is>
          <t>Status</t>
        </is>
      </c>
      <c r="D1" s="7" t="inlineStr">
        <is>
          <t>Freeze Date</t>
        </is>
      </c>
      <c r="E1" s="7" t="inlineStr">
        <is>
          <t>Notes</t>
        </is>
      </c>
    </row>
    <row r="2" ht="15" customHeight="1" s="6">
      <c r="A2" s="8" t="inlineStr">
        <is>
          <t>Governance Intelligence</t>
        </is>
      </c>
      <c r="B2" s="8" t="inlineStr">
        <is>
          <t>v4.0 — GOLD STANDARD, LOCKED — FULL REPORT-ASSEMBLY LAYER COMPLETE FOR ALL 3 FRAMEWORKS</t>
        </is>
      </c>
      <c r="C2" s="8" t="inlineStr">
        <is>
          <t>LOCKED</t>
        </is>
      </c>
      <c r="D2" s="8" t="inlineStr">
        <is>
          <t>2026-06-27</t>
        </is>
      </c>
      <c r="E2" s="8" t="inlineStr">
        <is>
          <t>Built from scratch following the Golden Template process established across Domains 3/4/6/7. SCOPE BOUNDARY ESTABLISHED BEFORE ANY CONTENT WAS BUILT (a deliberate departure from the build-then-discover-overlap pattern used in earlier domains): audited Domains 1, 4, and 6 first and found that each already owns a committee-specific slice of Board oversight — Domain 1 has general Board/director/shareholder facts, Domain 4 owns the Board Risk Committee structure in full, Domain 6 owns the Board Compliance Committee structure in full, and Domain 7 (ES-GOV series) owns only the sustainability-specific lens applied to governance mechanisms (every Domain 7 ES-GOV CDE name is qualified with "Sustainability" or "Climate," confirming a clean existing boundary, not a duplicate). CONCLUSION: no existing domain owns the Board as an institution — its overall composition rules, the Nomination/Governance Committee specifically, director skills/succession, say-on-pay, related-party-transaction governance, annual Board evaluation, and the cross-committee accountability architecture that ties the other domains' committee-specific views together. THIS IS DOMAIN 5'S REAL, CORRECT SCOPE. Every BQ/CDE built in this domain will be checked against this boundary before being added, and any genuine overlap will be annotated per Binding 6 rather than duplicated. || BASE BUILD COMPLETE: 10 Intelligence Areas, 38 Business Questions (all 3-7 CDE range), 114 CDEs, 17 canonical sheets, all structural checks pass after fixing 1 false aggregation placeholder (Prior Election Shareholder Support Level % — corrected to "independent per director, not summable"). Framework Mapping built against verified current sources: UK Corporate Governance Code 2024 (confirmed real 5-Principle structure plus the new Provision 29 internal-controls declaration effective FY2026), OECD Principles of Corporate Governance, US Sarbanes-Oxley/Dodd-Frank, South Africa King IV. Cross-domain boundaries checked and annotated against Domain 1 (per-director registry vs this domain's aggregate/structural view), Domain 4 (Board Risk Committee operational detail, owned entirely by Domain 4), Domain 6 (Board Compliance Committee operational detail, owned entirely by Domain 6), and Domain 7 (every ES-GOV CDE is sustainability-qualified, confirming a clean pre-existing boundary with zero overlap into this domain's general-governance scope). Zero formula errors (Confidence Rollup verified by manual cross-check: 78.3 both ways). NOT YET STRESS-TESTED for content gaps. || Round 1 (5 gaps, 1 new BQ GV-ADM-001): director-specific conflict-of-interest, Board diversity policy, director-specific insider trading pre-clearance, minutes retention, D&amp;O liability insurance. Round 2 (5 gaps, zero new BQs): overboarding limit, NED term limits, numeric diversity targets, workforce engagement director, virtual/hybrid AGM. 39 Business Questions, 125 CDEs. All structural checks pass, zero formula errors. Gap counts per round: 5,5. || Round 3 (5 gaps, zero new BQs): Board independence from controlling shareholder (distinct from Domain 4's Risk-Committee-specific version), executive severance/golden parachute terms, M&amp;A approval threshold, cumulative voting rights, director indemnification agreement. 39 Business Questions, 130 CDEs. All structural checks pass, zero formula errors. Gap counts per round: 5,5,5. || Round 4 (5 gaps): corporate purpose-setting process, dual-class sunset trigger, majority voting standard, Board observer rights, annual D&amp;O questionnaire process. CAUGHT AND FIXED A REAL STRUCTURAL BUG: GV-ADM-001 (added in round 1) used a different BQ ID prefix than the rest of its BIR (BIR-GV-01), violating the platform's consistent-prefix rule — renamed to GV-COMP-007 and propagated across BQ Registry, Mapping, and Executive Mapping. 39 Business Questions, 135 CDEs. All structural checks pass, zero formula errors. Gap counts per round: 5,5,5,5. || Round 5 (5 gaps): corporate culture monitoring (UK Code 2024 Provision 2, verified via search), internal controls effectiveness declaration (anticipating UK Code Provision 29, effective FY2026, verified via search), director liability cap, whistleblower escalation to Board/Audit Committee (Binding-6 distinct from Domain 6's channel-operations view), Board dividend policy approval. 39 Business Questions, 140 CDEs. All structural checks pass, zero formula errors. Gap counts per round: 5,5,5,5,5 — FIVE CONSECUTIVE ROUNDS WITH ZERO DECAY, the flattest trend of any domain built so far. || Round 6 (5 gaps, careful one-at-a-time room-checking given GV-CMT-003 reached exactly the 7-CDE ceiling after 2 additions in this round): budget/business plan approval, capital expenditure approval threshold, director appointment letter/terms of engagement, auditor independence/rotation policy (confirmed zero overlap with Domain 3 or Domain 6 before building), Board materials confidentiality policy. 39 Business Questions, 145 CDEs. All structural checks pass, zero formula errors. Gap counts per round: 5,5,5,5,5,5 — SIX CONSECUTIVE ROUNDS WITH ZERO DECAY, an unusually flat trend compared to every other domain in this build (which all showed genuine decay toward a floor of 3 within 6-8 rounds). HONEST ASSESSMENT, consistent with the precedent set earlier in this session (Domain 7's SASB industry deep-dive): this flat trend likely reflects that corporate governance as a topic has a genuinely large number of real, narrow, legitimate sub-practices (comparable to testing 6 SASB industries simultaneously rather than one bounded domain), not that the open-ended search method has stopped working. Continuing the identical-style rounds a few more times to see if a floor emerges; if the flat trend persists, the more defensible path is switching to closed-checklist verification against real governance code text (UK Code, OECD Principles, King IV) the same way Domain 7's SASB industries were eventually closed, rather than continuing indefinitely on open-ended search momentum. || METHOD CHANGE TO CLOSED-CHECKLIST VERIFICATION, per the precedent set in Domain 7: fetched the complete, genuine UK Corporate Governance Code 2024 primary-source text directly from a verified FRC-published PDF mirror (18 Principles, 41 Provisions, 5 sections), replacing the open-ended stress-test rounds which had shown 6 consecutive rounds with zero decay. Checked the CIL against all 41 Provisions line by line: 25 already genuinely covered, 16 specific real gaps found and closed, each with exact provision-number traceability (e.g. "Provision 19" for the specific 9-year chair tenure limit, distinct from the generic tenure policy CDE already built). Built 1 new dedicated BQ (GV-COMP-008) for the genuinely distinct workforce-engagement/conflict-management cluster (Provisions 5-8), closed the remaining 12 gaps as careful, individually-room-checked extensions to existing BQs (GV-RPT-001 reached exactly the 7-CDE ceiling, confirmed not exceeded). UK CODE IS NOW PROVABLY COMPLETE against its real current text — every Provision traceable to either a specific CDE or confirmed as already covered, nothing approximated. 40 Business Questions, 161 CDEs. All structural checks pass, zero formula errors. NEXT: same closed-checklist treatment for OECD Principles of Corporate Governance and South Africa King IV Code. || OECD PRINCIPLES OF CORPORATE GOVERNANCE 2023 CLOSED CHECKLIST: fetched the genuine current structure (6 chapters, confirmed via multiple verified OECD/FSB sources: I-Basis for Framework, II-Shareholder Rights, III-Institutional Investors, IV-Disclosure &amp; Transparency, V-Board Responsibilities, VI-Sustainability &amp; Resilience). CAUGHT AND FIXED 4 REAL CITATION ERRORS FROM THE ORIGINAL FRAMEWORK MAPPING BUILD: the original build used a 5-section numbering scheme ("Section II," "Section IV.2," "Section VI," "Section VI.E") that does not match the real 6-chapter 2023 structure — corrected all 4 to genuine chapter references. Checked remaining content against the verified text: confirmed 1 false-positive gap (V.D.6 formal nomination/election process is already substantively covered by CDE-G013/014, not a real gap). 6 GENUINE GAPS closed: built a new dedicated BQ (GV-SHR-005) for the entire OECD Chapter III (Institutional Investors) which had ZERO prior coverage (stewardship code adherence, proxy advisor conflicts, institutional voting policy review, digital shareholder-meeting tools); Board sustainability/resilience risk oversight integration (Chapter VI, explicitly Binding-6-annotated as distinct from Domain 7s sustainability-specific governance lens); company group governance framework (a genuinely new 2023 topic per verified search); digital security/data privacy as an explicit board-level risk oversight category (confirmed directly named in the real Chapter V text). 41 Business Questions, 168 CDEs. All structural checks pass, zero formula errors. NEXT: King IV Code (South Africa) — final framework for closed-checklist verification. || KING IV CLOSED CHECKLIST (FINAL FRAMEWORK): fetched the genuine King IV Report structure via multiple verified primary sources (IoDSA, KPMG, PwC, JSE) — confirmed 17 principles (16 applicable to any organisation, 1 institutional-investor-only), 208 recommended practices. IMPORTANT TIME-SENSITIVE FINDING: King V is confirmed in active development (draft text with placeholder cross-references visible in search results) but NOT YET FINALIZED/PUBLISHED as of this build — deliberately built against the current, finalized King IV rather than the unpublished draft, the same defensible choice made for ESRS earlier in this session; this choice and the need to revisit it once King V publishes is recorded here explicitly, not buried. Checked 7 King-IV-specific principles confirmed distinct from content already built under UK Code/OECD: Principle 1 (ethical leadership characteristics, distinct from culture monitoring), Principle 2 (ethics governance specifically), Principle 4 (going-concern via the King-specific capitals/solvency/liquidity framing), Principle 6 (Board charter as custodian of governance), Principle 12 (technology/information governance as a named Board domain, Binding-6-annotated as distinct from the OECD-derived digital-security-as-risk-category CDE), Principle 16 (stakeholder-inclusive approach, a specifically King-named principle), Principle 17 (responsible investment for the institutional-investor-only principle). All 7 closed as extensions to existing BQs with careful individual room-checking (GV-COMP-004 reached exactly the 7-CDE ceiling after 1 addition, confirmed not exceeded, second King IV item routed to GV-EFF-001 instead). ALL 3 GOVERNANCE FRAMEWORKS (UK Corporate Governance Code 2024, OECD Principles of Corporate Governance 2023, King IV) ARE NOW PROVABLY COMPLETE against their real current text — every gap traceable to a specific named provision/chapter/principle, 4 real pre-existing citation errors caught and fixed (OECD chapter numbering), 1 false-positive gap correctly identified and NOT built (OECD V.D.6, already covered). FINAL LOCKED STATE: 10 Intelligence Areas, 41 Business Questions (all 3-7 CDE range), 175 CDEs (full 19-column schema, zero blanks on any column for any CDE), 17 canonical sheets, 18 Framework Mapping rows spanning all 3 frameworks, zero duplicate IDs or names, zero orphaned references, zero formula errors (Confidence Rollup verified by manual cross-check: 78.3, unchanged and consistent across every check performed throughout this entire build). Real bugs caught and fixed during this build, kept in the honest record rather than smoothed over: 1 false aggregation placeholder, 1 BQ-ID-prefix inconsistency (GV-ADM-001 renamed to GV-COMP-007), 4 OECD chapter-citation errors. THIS IS THE GOLD STANDARD REFERENCE BUILD FOR DOMAIN 5 — GOVERNANCE INTELLIGENCE, built with a deliberate scope boundary established before any content (confirmed clean separation from Domains 1, 4, 6, and 7s committee-specific and sustainability-specific governance slices), and brought to completion via the same closed-checklist discipline that completed Domain 7s SASB industries and framework crosswalks. || GAP CLOSURE: 12_FRAMEWORK_CDE_DETAIL LAYER BUILT (was missing entirely despite the v3.0 lock claiming Gold Standard — the closed-checklist passes had closed 29 genuine content gaps but never propagated those new provisions/chapters/principles into 09_Framework_Mapping or 12_Framework_CDE_Detail, leaving the topic-level map only 18 rows deep against what should have been 56+). FIXED IN THIS PASS: rebuilt 09_Framework_Mapping from 18 to 56 rows, adding every missing UK Code Provision (27 added, incl. Provisions 1,2,3,4,5,6,7,8,10,12,15,17,19,20,21,22,23,24,28,30,31,32,36,37,38,39,40), every missing OECD chapter reference (4 added, incl. Chapter I company groups, Chapter III institutional investors, Chapter V digital security, Chapter VI sustainability), and every missing King IV principle (7 added: Principles 1,2,4,6,12,16,17). Then built the genuine CDE-level 12_Framework_CDE_Detail layer from scratch (56 rows, matching Framework Mapping exactly, zero sync gaps) — applying the strict BQ-membership check from the FIRST pass this time (every citation independently verified to genuinely belong to its claimed BQ, not just exist as a valid ID), per the lesson learned the hard way during Domain 7s equivalent build. RESULT: zero membership errors on the first pass across all 56 rows (UK Code 35, OECD 8, King IV 9, US statutory 4) — a clean first pass, unlike Domain 7s build which needed multiple correction rounds. Also closed 4 genuinely missed US statutory Detail rows (Sarbanes-Oxley Section 301, Dodd-Frank Sections 953(b)/14A/954) left over from the original build. Two minor disclosure-granularity gaps honestly flagged inline rather than hidden: UK Provisions 37/38 (malus/clawback existence vs disclosure-description) share one CDE rather than being separately modeled; UK Provision 23 partially overlaps Domain 6s audit-committee territory, noted explicitly. FINAL VERIFIED STATE: 10 Intelligence Areas, 41 Business Questions (all 3-7 CDE range), 175 CDEs, 17 sheets, 56 Framework Mapping rows = 56 Framework-CDE-Detail rows (exact match, zero sync gaps), zero duplicate IDs or names, zero formula errors (Confidence Rollup re-verified: 78.3, unchanged). THIS CLOSES THE GAP IDENTIFIED BETWEEN THE v3.0 LOCK (topic-level framework mapping only) AND GENUINE REPORT-ASSEMBLY READINESS (CDE-level detail matching Domain 7s standard) — Domain 5 now has the same report-generation capability as Domain 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47" customWidth="1" style="5" min="2" max="2"/>
    <col width="12" customWidth="1" style="5" min="3" max="3"/>
    <col width="55" customWidth="1" style="5" min="4" max="4"/>
  </cols>
  <sheetData>
    <row r="1" ht="15" customHeight="1" s="6">
      <c r="A1" s="7" t="inlineStr">
        <is>
          <t>IA ID</t>
        </is>
      </c>
      <c r="B1" s="7" t="inlineStr">
        <is>
          <t>Intelligence Area</t>
        </is>
      </c>
      <c r="C1" s="7" t="inlineStr">
        <is>
          <t>BIR ID</t>
        </is>
      </c>
      <c r="D1" s="7" t="inlineStr">
        <is>
          <t>BIR</t>
        </is>
      </c>
    </row>
    <row r="2" ht="15" customHeight="1" s="6">
      <c r="A2" s="8" t="inlineStr">
        <is>
          <t>GV-IA-01</t>
        </is>
      </c>
      <c r="B2" s="8" t="inlineStr">
        <is>
          <t>Board Composition &amp; Structure</t>
        </is>
      </c>
      <c r="C2" s="8" t="inlineStr">
        <is>
          <t>BIR-GV-01</t>
        </is>
      </c>
      <c r="D2" s="8" t="inlineStr">
        <is>
          <t>How is the Board composed, structured, and balanced for independence and skill?</t>
        </is>
      </c>
    </row>
    <row r="3" ht="15" customHeight="1" s="6">
      <c r="A3" s="8" t="inlineStr">
        <is>
          <t>GV-IA-02</t>
        </is>
      </c>
      <c r="B3" s="8" t="inlineStr">
        <is>
          <t>Director Nomination, Succession &amp; Evaluation</t>
        </is>
      </c>
      <c r="C3" s="8" t="inlineStr">
        <is>
          <t>BIR-GV-02</t>
        </is>
      </c>
      <c r="D3" s="8" t="inlineStr">
        <is>
          <t>How does the enterprise nominate, develop, succeed, and evaluate its directors and Board?</t>
        </is>
      </c>
    </row>
    <row r="4" ht="15" customHeight="1" s="6">
      <c r="A4" s="8" t="inlineStr">
        <is>
          <t>GV-IA-03</t>
        </is>
      </c>
      <c r="B4" s="8" t="inlineStr">
        <is>
          <t>Board Committee Architecture</t>
        </is>
      </c>
      <c r="C4" s="8" t="inlineStr">
        <is>
          <t>BIR-GV-03</t>
        </is>
      </c>
      <c r="D4" s="8" t="inlineStr">
        <is>
          <t>What Board committees exist, and how is oversight allocated across them?</t>
        </is>
      </c>
    </row>
    <row r="5" ht="15" customHeight="1" s="6">
      <c r="A5" s="8" t="inlineStr">
        <is>
          <t>GV-IA-04</t>
        </is>
      </c>
      <c r="B5" s="8" t="inlineStr">
        <is>
          <t>Executive Leadership Governance</t>
        </is>
      </c>
      <c r="C5" s="8" t="inlineStr">
        <is>
          <t>BIR-GV-04</t>
        </is>
      </c>
      <c r="D5" s="8" t="inlineStr">
        <is>
          <t>How is senior executive leadership selected, evaluated, succeeded, and held accountable?</t>
        </is>
      </c>
    </row>
    <row r="6" ht="15" customHeight="1" s="6">
      <c r="A6" s="8" t="inlineStr">
        <is>
          <t>GV-IA-05</t>
        </is>
      </c>
      <c r="B6" s="8" t="inlineStr">
        <is>
          <t>Executive Compensation Governance</t>
        </is>
      </c>
      <c r="C6" s="8" t="inlineStr">
        <is>
          <t>BIR-GV-05</t>
        </is>
      </c>
      <c r="D6" s="8" t="inlineStr">
        <is>
          <t>How is executive and director compensation structured, approved, and disclosed?</t>
        </is>
      </c>
    </row>
    <row r="7" ht="15" customHeight="1" s="6">
      <c r="A7" s="8" t="inlineStr">
        <is>
          <t>GV-IA-06</t>
        </is>
      </c>
      <c r="B7" s="8" t="inlineStr">
        <is>
          <t>Shareholder Rights &amp; Engagement</t>
        </is>
      </c>
      <c r="C7" s="8" t="inlineStr">
        <is>
          <t>BIR-GV-06</t>
        </is>
      </c>
      <c r="D7" s="8" t="inlineStr">
        <is>
          <t>What shareholder rights exist, and how does the enterprise engage with its shareholder base?</t>
        </is>
      </c>
    </row>
    <row r="8" ht="15" customHeight="1" s="6">
      <c r="A8" s="8" t="inlineStr">
        <is>
          <t>GV-IA-07</t>
        </is>
      </c>
      <c r="B8" s="8" t="inlineStr">
        <is>
          <t>Related-Party Transaction Governance</t>
        </is>
      </c>
      <c r="C8" s="8" t="inlineStr">
        <is>
          <t>BIR-GV-07</t>
        </is>
      </c>
      <c r="D8" s="8" t="inlineStr">
        <is>
          <t>How does the enterprise identify, approve, and disclose related-party transactions?</t>
        </is>
      </c>
    </row>
    <row r="9" ht="15" customHeight="1" s="6">
      <c r="A9" s="8" t="inlineStr">
        <is>
          <t>GV-IA-08</t>
        </is>
      </c>
      <c r="B9" s="8" t="inlineStr">
        <is>
          <t>Corporate Governance Disclosure &amp; Codes</t>
        </is>
      </c>
      <c r="C9" s="8" t="inlineStr">
        <is>
          <t>BIR-GV-08</t>
        </is>
      </c>
      <c r="D9" s="8" t="inlineStr">
        <is>
          <t>What governance code(s) does the enterprise follow, and how does it disclose its governance practices?</t>
        </is>
      </c>
    </row>
    <row r="10" ht="15" customHeight="1" s="6">
      <c r="A10" s="8" t="inlineStr">
        <is>
          <t>GV-IA-09</t>
        </is>
      </c>
      <c r="B10" s="8" t="inlineStr">
        <is>
          <t>Board Effectiveness &amp; Self-Assessment</t>
        </is>
      </c>
      <c r="C10" s="8" t="inlineStr">
        <is>
          <t>BIR-GV-09</t>
        </is>
      </c>
      <c r="D10" s="8" t="inlineStr">
        <is>
          <t>How does the enterprise assess and improve the effectiveness of its own Board?</t>
        </is>
      </c>
    </row>
    <row r="11" ht="15" customHeight="1" s="6">
      <c r="A11" s="8" t="inlineStr">
        <is>
          <t>GV-IA-10</t>
        </is>
      </c>
      <c r="B11" s="8" t="inlineStr">
        <is>
          <t>Crisis &amp; Succession Governance</t>
        </is>
      </c>
      <c r="C11" s="8" t="inlineStr">
        <is>
          <t>BIR-GV-10</t>
        </is>
      </c>
      <c r="D11" s="8" t="inlineStr">
        <is>
          <t>What governance structures activate during a leadership crisis, emergency CEO succession, or activist situation?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 min="1" max="1"/>
    <col width="12" customWidth="1" style="5" min="2" max="2"/>
    <col width="55" customWidth="1" style="5" min="3" max="3"/>
    <col width="24" customWidth="1" style="5" min="4" max="4"/>
    <col width="13" customWidth="1" style="5" min="5" max="5"/>
  </cols>
  <sheetData>
    <row r="1" ht="15" customHeight="1" s="6">
      <c r="A1" s="7" t="inlineStr">
        <is>
          <t>BQ ID</t>
        </is>
      </c>
      <c r="B1" s="7" t="inlineStr">
        <is>
          <t>BIR ID</t>
        </is>
      </c>
      <c r="C1" s="7" t="inlineStr">
        <is>
          <t>Business Question</t>
        </is>
      </c>
      <c r="D1" s="7" t="inlineStr">
        <is>
          <t>Created By</t>
        </is>
      </c>
      <c r="E1" s="7" t="inlineStr">
        <is>
          <t>Date Added</t>
        </is>
      </c>
    </row>
    <row r="2" ht="15" customHeight="1" s="6">
      <c r="A2" s="8" t="inlineStr">
        <is>
          <t>GV-COMP-001</t>
        </is>
      </c>
      <c r="B2" s="8" t="inlineStr">
        <is>
          <t>BIR-GV-01</t>
        </is>
      </c>
      <c r="C2" s="8" t="inlineStr">
        <is>
          <t>What is the overall size and structure of the Board?</t>
        </is>
      </c>
      <c r="D2" s="8" t="inlineStr">
        <is>
          <t>CIL Architecture Team</t>
        </is>
      </c>
      <c r="E2" s="8" t="inlineStr">
        <is>
          <t>2026-06-27</t>
        </is>
      </c>
    </row>
    <row r="3" ht="15" customHeight="1" s="6">
      <c r="A3" s="8" t="inlineStr">
        <is>
          <t>GV-COMP-002</t>
        </is>
      </c>
      <c r="B3" s="8" t="inlineStr">
        <is>
          <t>BIR-GV-01</t>
        </is>
      </c>
      <c r="C3" s="8" t="inlineStr">
        <is>
          <t>What is the Board's overall independence ratio, distinct from any single committee's independence?</t>
        </is>
      </c>
      <c r="D3" s="8" t="inlineStr">
        <is>
          <t>CIL Architecture Team</t>
        </is>
      </c>
      <c r="E3" s="8" t="inlineStr">
        <is>
          <t>2026-06-27</t>
        </is>
      </c>
    </row>
    <row r="4" ht="15" customHeight="1" s="6">
      <c r="A4" s="8" t="inlineStr">
        <is>
          <t>GV-COMP-003</t>
        </is>
      </c>
      <c r="B4" s="8" t="inlineStr">
        <is>
          <t>BIR-GV-01</t>
        </is>
      </c>
      <c r="C4" s="8" t="inlineStr">
        <is>
          <t>What skills, expertise, and experience does the Board collectively possess, and where are the gaps?</t>
        </is>
      </c>
      <c r="D4" s="8" t="inlineStr">
        <is>
          <t>CIL Architecture Team</t>
        </is>
      </c>
      <c r="E4" s="8" t="inlineStr">
        <is>
          <t>2026-06-27</t>
        </is>
      </c>
    </row>
    <row r="5" ht="15" customHeight="1" s="6">
      <c r="A5" s="8" t="inlineStr">
        <is>
          <t>GV-COMP-004</t>
        </is>
      </c>
      <c r="B5" s="8" t="inlineStr">
        <is>
          <t>BIR-GV-01</t>
        </is>
      </c>
      <c r="C5" s="8" t="inlineStr">
        <is>
          <t>Is the role of Chair and CEO separated, and if combined, what counterbalancing governance exists?</t>
        </is>
      </c>
      <c r="D5" s="8" t="inlineStr">
        <is>
          <t>CIL Architecture Team</t>
        </is>
      </c>
      <c r="E5" s="8" t="inlineStr">
        <is>
          <t>2026-06-27</t>
        </is>
      </c>
    </row>
    <row r="6" ht="15" customHeight="1" s="6">
      <c r="A6" s="8" t="inlineStr">
        <is>
          <t>GV-COMP-005</t>
        </is>
      </c>
      <c r="B6" s="8" t="inlineStr">
        <is>
          <t>BIR-GV-01</t>
        </is>
      </c>
      <c r="C6" s="8" t="inlineStr">
        <is>
          <t>What is the average Board tenure, and is there a tenure or retirement age policy?</t>
        </is>
      </c>
      <c r="D6" s="8" t="inlineStr">
        <is>
          <t>CIL Architecture Team</t>
        </is>
      </c>
      <c r="E6" s="8" t="inlineStr">
        <is>
          <t>2026-06-27</t>
        </is>
      </c>
    </row>
    <row r="7" ht="15" customHeight="1" s="6">
      <c r="A7" s="8" t="inlineStr">
        <is>
          <t>GV-COMP-006</t>
        </is>
      </c>
      <c r="B7" s="8" t="inlineStr">
        <is>
          <t>BIR-GV-01</t>
        </is>
      </c>
      <c r="C7" s="8" t="inlineStr">
        <is>
          <t>Does a Lead Independent Director or Senior Independent Director role exist?</t>
        </is>
      </c>
      <c r="D7" s="8" t="inlineStr">
        <is>
          <t>CIL Architecture Team</t>
        </is>
      </c>
      <c r="E7" s="8" t="inlineStr">
        <is>
          <t>2026-06-27</t>
        </is>
      </c>
    </row>
    <row r="8" ht="15" customHeight="1" s="6">
      <c r="A8" s="8" t="inlineStr">
        <is>
          <t>GV-NOM-001</t>
        </is>
      </c>
      <c r="B8" s="8" t="inlineStr">
        <is>
          <t>BIR-GV-02</t>
        </is>
      </c>
      <c r="C8" s="8" t="inlineStr">
        <is>
          <t>What process governs the nomination and election of new directors?</t>
        </is>
      </c>
      <c r="D8" s="8" t="inlineStr">
        <is>
          <t>CIL Architecture Team</t>
        </is>
      </c>
      <c r="E8" s="8" t="inlineStr">
        <is>
          <t>2026-06-27</t>
        </is>
      </c>
    </row>
    <row r="9" ht="15" customHeight="1" s="6">
      <c r="A9" s="8" t="inlineStr">
        <is>
          <t>GV-NOM-002</t>
        </is>
      </c>
      <c r="B9" s="8" t="inlineStr">
        <is>
          <t>BIR-GV-02</t>
        </is>
      </c>
      <c r="C9" s="8" t="inlineStr">
        <is>
          <t>What director succession planning process exists for anticipated Board vacancies?</t>
        </is>
      </c>
      <c r="D9" s="8" t="inlineStr">
        <is>
          <t>CIL Architecture Team</t>
        </is>
      </c>
      <c r="E9" s="8" t="inlineStr">
        <is>
          <t>2026-06-27</t>
        </is>
      </c>
    </row>
    <row r="10" ht="15" customHeight="1" s="6">
      <c r="A10" s="8" t="inlineStr">
        <is>
          <t>GV-NOM-003</t>
        </is>
      </c>
      <c r="B10" s="8" t="inlineStr">
        <is>
          <t>BIR-GV-02</t>
        </is>
      </c>
      <c r="C10" s="8" t="inlineStr">
        <is>
          <t>What onboarding and continuing education program exists for directors?</t>
        </is>
      </c>
      <c r="D10" s="8" t="inlineStr">
        <is>
          <t>CIL Architecture Team</t>
        </is>
      </c>
      <c r="E10" s="8" t="inlineStr">
        <is>
          <t>2026-06-27</t>
        </is>
      </c>
    </row>
    <row r="11" ht="15" customHeight="1" s="6">
      <c r="A11" s="8" t="inlineStr">
        <is>
          <t>GV-NOM-004</t>
        </is>
      </c>
      <c r="B11" s="8" t="inlineStr">
        <is>
          <t>BIR-GV-02</t>
        </is>
      </c>
      <c r="C11" s="8" t="inlineStr">
        <is>
          <t>How many directors are up for re-election in the current cycle, and what was the prior election support level?</t>
        </is>
      </c>
      <c r="D11" s="8" t="inlineStr">
        <is>
          <t>CIL Architecture Team</t>
        </is>
      </c>
      <c r="E11" s="8" t="inlineStr">
        <is>
          <t>2026-06-27</t>
        </is>
      </c>
    </row>
    <row r="12" ht="15" customHeight="1" s="6">
      <c r="A12" s="8" t="inlineStr">
        <is>
          <t>GV-CMT-001</t>
        </is>
      </c>
      <c r="B12" s="8" t="inlineStr">
        <is>
          <t>BIR-GV-03</t>
        </is>
      </c>
      <c r="C12" s="8" t="inlineStr">
        <is>
          <t>What standing Board committees exist beyond Risk, Audit, and Compliance, and what is their charter scope?</t>
        </is>
      </c>
      <c r="D12" s="8" t="inlineStr">
        <is>
          <t>CIL Architecture Team</t>
        </is>
      </c>
      <c r="E12" s="8" t="inlineStr">
        <is>
          <t>2026-06-27</t>
        </is>
      </c>
    </row>
    <row r="13" ht="15" customHeight="1" s="6">
      <c r="A13" s="8" t="inlineStr">
        <is>
          <t>GV-CMT-002</t>
        </is>
      </c>
      <c r="B13" s="8" t="inlineStr">
        <is>
          <t>BIR-GV-03</t>
        </is>
      </c>
      <c r="C13" s="8" t="inlineStr">
        <is>
          <t>Does a dedicated Nomination &amp; Governance Committee exist, and how is it composed?</t>
        </is>
      </c>
      <c r="D13" s="8" t="inlineStr">
        <is>
          <t>CIL Architecture Team</t>
        </is>
      </c>
      <c r="E13" s="8" t="inlineStr">
        <is>
          <t>2026-06-27</t>
        </is>
      </c>
    </row>
    <row r="14" ht="15" customHeight="1" s="6">
      <c r="A14" s="8" t="inlineStr">
        <is>
          <t>GV-CMT-003</t>
        </is>
      </c>
      <c r="B14" s="8" t="inlineStr">
        <is>
          <t>BIR-GV-03</t>
        </is>
      </c>
      <c r="C14" s="8" t="inlineStr">
        <is>
          <t>How is oversight of distinct risk categories allocated across the full set of Board committees, avoiding gaps or duplication?</t>
        </is>
      </c>
      <c r="D14" s="8" t="inlineStr">
        <is>
          <t>CIL Architecture Team</t>
        </is>
      </c>
      <c r="E14" s="8" t="inlineStr">
        <is>
          <t>2026-06-27</t>
        </is>
      </c>
    </row>
    <row r="15" ht="15" customHeight="1" s="6">
      <c r="A15" s="8" t="inlineStr">
        <is>
          <t>GV-CMT-004</t>
        </is>
      </c>
      <c r="B15" s="8" t="inlineStr">
        <is>
          <t>BIR-GV-03</t>
        </is>
      </c>
      <c r="C15" s="8" t="inlineStr">
        <is>
          <t>What is the audit committee's financial-reporting oversight composition, including the financial-expert requirement?</t>
        </is>
      </c>
      <c r="D15" s="8" t="inlineStr">
        <is>
          <t>CIL Architecture Team</t>
        </is>
      </c>
      <c r="E15" s="8" t="inlineStr">
        <is>
          <t>2026-06-27</t>
        </is>
      </c>
    </row>
    <row r="16" ht="15" customHeight="1" s="6">
      <c r="A16" s="8" t="inlineStr">
        <is>
          <t>GV-EXEC-001</t>
        </is>
      </c>
      <c r="B16" s="8" t="inlineStr">
        <is>
          <t>BIR-GV-04</t>
        </is>
      </c>
      <c r="C16" s="8" t="inlineStr">
        <is>
          <t>What CEO succession plan exists, and is it reviewed regularly by the Board?</t>
        </is>
      </c>
      <c r="D16" s="8" t="inlineStr">
        <is>
          <t>CIL Architecture Team</t>
        </is>
      </c>
      <c r="E16" s="8" t="inlineStr">
        <is>
          <t>2026-06-27</t>
        </is>
      </c>
    </row>
    <row r="17" ht="15" customHeight="1" s="6">
      <c r="A17" s="8" t="inlineStr">
        <is>
          <t>GV-EXEC-002</t>
        </is>
      </c>
      <c r="B17" s="8" t="inlineStr">
        <is>
          <t>BIR-GV-04</t>
        </is>
      </c>
      <c r="C17" s="8" t="inlineStr">
        <is>
          <t>What emergency or interim CEO succession protocol exists for an unplanned departure?</t>
        </is>
      </c>
      <c r="D17" s="8" t="inlineStr">
        <is>
          <t>CIL Architecture Team</t>
        </is>
      </c>
      <c r="E17" s="8" t="inlineStr">
        <is>
          <t>2026-06-27</t>
        </is>
      </c>
    </row>
    <row r="18" ht="15" customHeight="1" s="6">
      <c r="A18" s="8" t="inlineStr">
        <is>
          <t>GV-EXEC-003</t>
        </is>
      </c>
      <c r="B18" s="8" t="inlineStr">
        <is>
          <t>BIR-GV-04</t>
        </is>
      </c>
      <c r="C18" s="8" t="inlineStr">
        <is>
          <t>How does the Board formally evaluate CEO and senior executive performance?</t>
        </is>
      </c>
      <c r="D18" s="8" t="inlineStr">
        <is>
          <t>CIL Architecture Team</t>
        </is>
      </c>
      <c r="E18" s="8" t="inlineStr">
        <is>
          <t>2026-06-27</t>
        </is>
      </c>
    </row>
    <row r="19" ht="15" customHeight="1" s="6">
      <c r="A19" s="8" t="inlineStr">
        <is>
          <t>GV-EXEC-004</t>
        </is>
      </c>
      <c r="B19" s="8" t="inlineStr">
        <is>
          <t>BIR-GV-04</t>
        </is>
      </c>
      <c r="C19" s="8" t="inlineStr">
        <is>
          <t>What is the bench strength and depth of the executive leadership succession pipeline below CEO level?</t>
        </is>
      </c>
      <c r="D19" s="8" t="inlineStr">
        <is>
          <t>CIL Architecture Team</t>
        </is>
      </c>
      <c r="E19" s="8" t="inlineStr">
        <is>
          <t>2026-06-27</t>
        </is>
      </c>
    </row>
    <row r="20" ht="15" customHeight="1" s="6">
      <c r="A20" s="8" t="inlineStr">
        <is>
          <t>GV-COMP-PAY-001</t>
        </is>
      </c>
      <c r="B20" s="8" t="inlineStr">
        <is>
          <t>BIR-GV-05</t>
        </is>
      </c>
      <c r="C20" s="8" t="inlineStr">
        <is>
          <t>What process and committee governs executive compensation design and approval?</t>
        </is>
      </c>
      <c r="D20" s="8" t="inlineStr">
        <is>
          <t>CIL Architecture Team</t>
        </is>
      </c>
      <c r="E20" s="8" t="inlineStr">
        <is>
          <t>2026-06-27</t>
        </is>
      </c>
    </row>
    <row r="21" ht="15" customHeight="1" s="6">
      <c r="A21" s="8" t="inlineStr">
        <is>
          <t>GV-COMP-PAY-002</t>
        </is>
      </c>
      <c r="B21" s="8" t="inlineStr">
        <is>
          <t>BIR-GV-05</t>
        </is>
      </c>
      <c r="C21" s="8" t="inlineStr">
        <is>
          <t>What is the CEO pay ratio relative to median employee compensation?</t>
        </is>
      </c>
      <c r="D21" s="8" t="inlineStr">
        <is>
          <t>CIL Architecture Team</t>
        </is>
      </c>
      <c r="E21" s="8" t="inlineStr">
        <is>
          <t>2026-06-27</t>
        </is>
      </c>
    </row>
    <row r="22" ht="15" customHeight="1" s="6">
      <c r="A22" s="8" t="inlineStr">
        <is>
          <t>GV-COMP-PAY-003</t>
        </is>
      </c>
      <c r="B22" s="8" t="inlineStr">
        <is>
          <t>BIR-GV-05</t>
        </is>
      </c>
      <c r="C22" s="8" t="inlineStr">
        <is>
          <t>What say-on-pay voting result did the company receive, and how did the Board respond?</t>
        </is>
      </c>
      <c r="D22" s="8" t="inlineStr">
        <is>
          <t>CIL Architecture Team</t>
        </is>
      </c>
      <c r="E22" s="8" t="inlineStr">
        <is>
          <t>2026-06-27</t>
        </is>
      </c>
    </row>
    <row r="23" ht="15" customHeight="1" s="6">
      <c r="A23" s="8" t="inlineStr">
        <is>
          <t>GV-COMP-PAY-004</t>
        </is>
      </c>
      <c r="B23" s="8" t="inlineStr">
        <is>
          <t>BIR-GV-05</t>
        </is>
      </c>
      <c r="C23" s="8" t="inlineStr">
        <is>
          <t>What director compensation structure exists, and is it benchmarked independently of management?</t>
        </is>
      </c>
      <c r="D23" s="8" t="inlineStr">
        <is>
          <t>CIL Architecture Team</t>
        </is>
      </c>
      <c r="E23" s="8" t="inlineStr">
        <is>
          <t>2026-06-27</t>
        </is>
      </c>
    </row>
    <row r="24" ht="15" customHeight="1" s="6">
      <c r="A24" s="8" t="inlineStr">
        <is>
          <t>GV-SHR-001</t>
        </is>
      </c>
      <c r="B24" s="8" t="inlineStr">
        <is>
          <t>BIR-GV-06</t>
        </is>
      </c>
      <c r="C24" s="8" t="inlineStr">
        <is>
          <t>What shareholder voting rights structure exists, such as one-share-one-vote or dual-class?</t>
        </is>
      </c>
      <c r="D24" s="8" t="inlineStr">
        <is>
          <t>CIL Architecture Team</t>
        </is>
      </c>
      <c r="E24" s="8" t="inlineStr">
        <is>
          <t>2026-06-27</t>
        </is>
      </c>
    </row>
    <row r="25" ht="15" customHeight="1" s="6">
      <c r="A25" s="8" t="inlineStr">
        <is>
          <t>GV-SHR-002</t>
        </is>
      </c>
      <c r="B25" s="8" t="inlineStr">
        <is>
          <t>BIR-GV-06</t>
        </is>
      </c>
      <c r="C25" s="8" t="inlineStr">
        <is>
          <t>What proxy access rights do shareholders have to nominate directors?</t>
        </is>
      </c>
      <c r="D25" s="8" t="inlineStr">
        <is>
          <t>CIL Architecture Team</t>
        </is>
      </c>
      <c r="E25" s="8" t="inlineStr">
        <is>
          <t>2026-06-27</t>
        </is>
      </c>
    </row>
    <row r="26" ht="15" customHeight="1" s="6">
      <c r="A26" s="8" t="inlineStr">
        <is>
          <t>GV-SHR-003</t>
        </is>
      </c>
      <c r="B26" s="8" t="inlineStr">
        <is>
          <t>BIR-GV-06</t>
        </is>
      </c>
      <c r="C26" s="8" t="inlineStr">
        <is>
          <t>What formal shareholder engagement program does the Board or management maintain outside of the AGM?</t>
        </is>
      </c>
      <c r="D26" s="8" t="inlineStr">
        <is>
          <t>CIL Architecture Team</t>
        </is>
      </c>
      <c r="E26" s="8" t="inlineStr">
        <is>
          <t>2026-06-27</t>
        </is>
      </c>
    </row>
    <row r="27" ht="15" customHeight="1" s="6">
      <c r="A27" s="8" t="inlineStr">
        <is>
          <t>GV-SHR-004</t>
        </is>
      </c>
      <c r="B27" s="8" t="inlineStr">
        <is>
          <t>BIR-GV-06</t>
        </is>
      </c>
      <c r="C27" s="8" t="inlineStr">
        <is>
          <t>Does a poison pill, staggered board, or other anti-takeover defense mechanism exist?</t>
        </is>
      </c>
      <c r="D27" s="8" t="inlineStr">
        <is>
          <t>CIL Architecture Team</t>
        </is>
      </c>
      <c r="E27" s="8" t="inlineStr">
        <is>
          <t>2026-06-27</t>
        </is>
      </c>
    </row>
    <row r="28" ht="15" customHeight="1" s="6">
      <c r="A28" s="8" t="inlineStr">
        <is>
          <t>GV-RPT-001</t>
        </is>
      </c>
      <c r="B28" s="8" t="inlineStr">
        <is>
          <t>BIR-GV-07</t>
        </is>
      </c>
      <c r="C28" s="8" t="inlineStr">
        <is>
          <t>What process governs identification and approval of related-party transactions?</t>
        </is>
      </c>
      <c r="D28" s="8" t="inlineStr">
        <is>
          <t>CIL Architecture Team</t>
        </is>
      </c>
      <c r="E28" s="8" t="inlineStr">
        <is>
          <t>2026-06-27</t>
        </is>
      </c>
    </row>
    <row r="29" ht="15" customHeight="1" s="6">
      <c r="A29" s="8" t="inlineStr">
        <is>
          <t>GV-RPT-002</t>
        </is>
      </c>
      <c r="B29" s="8" t="inlineStr">
        <is>
          <t>BIR-GV-07</t>
        </is>
      </c>
      <c r="C29" s="8" t="inlineStr">
        <is>
          <t>What related-party transactions occurred in the current reporting period, and were they independently approved?</t>
        </is>
      </c>
      <c r="D29" s="8" t="inlineStr">
        <is>
          <t>CIL Architecture Team</t>
        </is>
      </c>
      <c r="E29" s="8" t="inlineStr">
        <is>
          <t>2026-06-27</t>
        </is>
      </c>
    </row>
    <row r="30" ht="15" customHeight="1" s="6">
      <c r="A30" s="8" t="inlineStr">
        <is>
          <t>GV-RPT-003</t>
        </is>
      </c>
      <c r="B30" s="8" t="inlineStr">
        <is>
          <t>BIR-GV-07</t>
        </is>
      </c>
      <c r="C30" s="8" t="inlineStr">
        <is>
          <t>Does a formal related-party transaction policy exist, and when was it last reviewed?</t>
        </is>
      </c>
      <c r="D30" s="8" t="inlineStr">
        <is>
          <t>CIL Architecture Team</t>
        </is>
      </c>
      <c r="E30" s="8" t="inlineStr">
        <is>
          <t>2026-06-27</t>
        </is>
      </c>
    </row>
    <row r="31" ht="15" customHeight="1" s="6">
      <c r="A31" s="8" t="inlineStr">
        <is>
          <t>GV-COD-001</t>
        </is>
      </c>
      <c r="B31" s="8" t="inlineStr">
        <is>
          <t>BIR-GV-08</t>
        </is>
      </c>
      <c r="C31" s="8" t="inlineStr">
        <is>
          <t>What corporate governance code does the enterprise follow, such as the UK Corporate Governance Code or local listing requirements?</t>
        </is>
      </c>
      <c r="D31" s="8" t="inlineStr">
        <is>
          <t>CIL Architecture Team</t>
        </is>
      </c>
      <c r="E31" s="8" t="inlineStr">
        <is>
          <t>2026-06-27</t>
        </is>
      </c>
    </row>
    <row r="32" ht="15" customHeight="1" s="6">
      <c r="A32" s="8" t="inlineStr">
        <is>
          <t>GV-COD-002</t>
        </is>
      </c>
      <c r="B32" s="8" t="inlineStr">
        <is>
          <t>BIR-GV-08</t>
        </is>
      </c>
      <c r="C32" s="8" t="inlineStr">
        <is>
          <t>What instances of non-compliance, or comply-or-explain departures, exist from the applicable governance code?</t>
        </is>
      </c>
      <c r="D32" s="8" t="inlineStr">
        <is>
          <t>CIL Architecture Team</t>
        </is>
      </c>
      <c r="E32" s="8" t="inlineStr">
        <is>
          <t>2026-06-27</t>
        </is>
      </c>
    </row>
    <row r="33" ht="15" customHeight="1" s="6">
      <c r="A33" s="8" t="inlineStr">
        <is>
          <t>GV-COD-003</t>
        </is>
      </c>
      <c r="B33" s="8" t="inlineStr">
        <is>
          <t>BIR-GV-08</t>
        </is>
      </c>
      <c r="C33" s="8" t="inlineStr">
        <is>
          <t>What is the enterprise's overall corporate governance disclosure rating from any independent rating agency?</t>
        </is>
      </c>
      <c r="D33" s="8" t="inlineStr">
        <is>
          <t>CIL Architecture Team</t>
        </is>
      </c>
      <c r="E33" s="8" t="inlineStr">
        <is>
          <t>2026-06-27</t>
        </is>
      </c>
    </row>
    <row r="34" ht="15" customHeight="1" s="6">
      <c r="A34" s="8" t="inlineStr">
        <is>
          <t>GV-EFF-001</t>
        </is>
      </c>
      <c r="B34" s="8" t="inlineStr">
        <is>
          <t>BIR-GV-09</t>
        </is>
      </c>
      <c r="C34" s="8" t="inlineStr">
        <is>
          <t>What Board self-assessment or external Board evaluation process exists, and how frequently is it conducted?</t>
        </is>
      </c>
      <c r="D34" s="8" t="inlineStr">
        <is>
          <t>CIL Architecture Team</t>
        </is>
      </c>
      <c r="E34" s="8" t="inlineStr">
        <is>
          <t>2026-06-27</t>
        </is>
      </c>
    </row>
    <row r="35" ht="15" customHeight="1" s="6">
      <c r="A35" s="8" t="inlineStr">
        <is>
          <t>GV-EFF-002</t>
        </is>
      </c>
      <c r="B35" s="8" t="inlineStr">
        <is>
          <t>BIR-GV-09</t>
        </is>
      </c>
      <c r="C35" s="8" t="inlineStr">
        <is>
          <t>What specific actions were taken in response to the most recent Board evaluation findings?</t>
        </is>
      </c>
      <c r="D35" s="8" t="inlineStr">
        <is>
          <t>CIL Architecture Team</t>
        </is>
      </c>
      <c r="E35" s="8" t="inlineStr">
        <is>
          <t>2026-06-27</t>
        </is>
      </c>
    </row>
    <row r="36" ht="15" customHeight="1" s="6">
      <c r="A36" s="8" t="inlineStr">
        <is>
          <t>GV-EFF-003</t>
        </is>
      </c>
      <c r="B36" s="8" t="inlineStr">
        <is>
          <t>BIR-GV-09</t>
        </is>
      </c>
      <c r="C36" s="8" t="inlineStr">
        <is>
          <t>What individual director peer-evaluation process exists, distinct from the Board-as-a-whole evaluation?</t>
        </is>
      </c>
      <c r="D36" s="8" t="inlineStr">
        <is>
          <t>CIL Architecture Team</t>
        </is>
      </c>
      <c r="E36" s="8" t="inlineStr">
        <is>
          <t>2026-06-27</t>
        </is>
      </c>
    </row>
    <row r="37" ht="15" customHeight="1" s="6">
      <c r="A37" s="8" t="inlineStr">
        <is>
          <t>GV-CRS-001</t>
        </is>
      </c>
      <c r="B37" s="8" t="inlineStr">
        <is>
          <t>BIR-GV-10</t>
        </is>
      </c>
      <c r="C37" s="8" t="inlineStr">
        <is>
          <t>What governance protocol activates in the event of an activist investor campaign or hostile approach?</t>
        </is>
      </c>
      <c r="D37" s="8" t="inlineStr">
        <is>
          <t>CIL Architecture Team</t>
        </is>
      </c>
      <c r="E37" s="8" t="inlineStr">
        <is>
          <t>2026-06-27</t>
        </is>
      </c>
    </row>
    <row r="38" ht="15" customHeight="1" s="6">
      <c r="A38" s="8" t="inlineStr">
        <is>
          <t>GV-CRS-002</t>
        </is>
      </c>
      <c r="B38" s="8" t="inlineStr">
        <is>
          <t>BIR-GV-10</t>
        </is>
      </c>
      <c r="C38" s="8" t="inlineStr">
        <is>
          <t>What crisis-management governance structure exists for Board-level decision-making during a major incident?</t>
        </is>
      </c>
      <c r="D38" s="8" t="inlineStr">
        <is>
          <t>CIL Architecture Team</t>
        </is>
      </c>
      <c r="E38" s="8" t="inlineStr">
        <is>
          <t>2026-06-27</t>
        </is>
      </c>
    </row>
    <row r="39" ht="15" customHeight="1" s="6">
      <c r="A39" s="8" t="inlineStr">
        <is>
          <t>GV-CRS-003</t>
        </is>
      </c>
      <c r="B39" s="8" t="inlineStr">
        <is>
          <t>BIR-GV-10</t>
        </is>
      </c>
      <c r="C39" s="8" t="inlineStr">
        <is>
          <t>Has the Board faced any no-confidence vote, mass resignation, or contested election in its history?</t>
        </is>
      </c>
      <c r="D39" s="8" t="inlineStr">
        <is>
          <t>CIL Architecture Team</t>
        </is>
      </c>
      <c r="E39" s="8" t="inlineStr">
        <is>
          <t>2026-06-27</t>
        </is>
      </c>
    </row>
    <row r="40" ht="15" customHeight="1" s="6">
      <c r="A40" s="8" t="inlineStr">
        <is>
          <t>GV-COMP-007</t>
        </is>
      </c>
      <c r="B40" s="8" t="inlineStr">
        <is>
          <t>BIR-GV-01</t>
        </is>
      </c>
      <c r="C40" s="8" t="inlineStr">
        <is>
          <t>What Board administrative governance exists, including meeting minutes retention and director &amp; officer liability insurance coverage?</t>
        </is>
      </c>
      <c r="D40" s="8" t="inlineStr">
        <is>
          <t>CIL Architecture Team</t>
        </is>
      </c>
      <c r="E40" s="8" t="inlineStr">
        <is>
          <t>2026-06-27</t>
        </is>
      </c>
    </row>
    <row r="41" ht="15" customHeight="1" s="6">
      <c r="A41" s="5" t="inlineStr">
        <is>
          <t>GV-COMP-008</t>
        </is>
      </c>
      <c r="B41" s="5" t="inlineStr">
        <is>
          <t>BIR-GV-01</t>
        </is>
      </c>
      <c r="C41" s="5" t="inlineStr">
        <is>
          <t>What workforce engagement mechanism and conflict-of-interest management process does the Board maintain, per UK Corporate Governance Code Provisions 5-8?</t>
        </is>
      </c>
      <c r="D41" s="5" t="inlineStr">
        <is>
          <t>CIL Architecture Team</t>
        </is>
      </c>
      <c r="E41" s="5" t="inlineStr">
        <is>
          <t>2026-06-27</t>
        </is>
      </c>
    </row>
    <row r="42" ht="15" customHeight="1" s="6">
      <c r="A42" s="5" t="inlineStr">
        <is>
          <t>GV-SHR-005</t>
        </is>
      </c>
      <c r="B42" s="5" t="inlineStr">
        <is>
          <t>BIR-GV-06</t>
        </is>
      </c>
      <c r="C42" s="5" t="inlineStr">
        <is>
          <t>What institutional investor stewardship engagement and governance disclosure does the enterprise receive or require, per OECD Principles Chapter III?</t>
        </is>
      </c>
      <c r="D42" s="5" t="inlineStr">
        <is>
          <t>CIL Architecture Team</t>
        </is>
      </c>
      <c r="E42" s="5" t="inlineStr">
        <is>
          <t>2026-06-27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1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12" customWidth="1" style="5" min="3" max="3"/>
    <col width="24" customWidth="1" style="5" min="4" max="5"/>
    <col width="23" customWidth="1" style="5" min="6" max="6"/>
    <col width="33" customWidth="1" style="5" min="7" max="7"/>
    <col width="47" customWidth="1" style="5" min="8" max="8"/>
    <col width="18" customWidth="1" style="5" min="9" max="9"/>
    <col width="14" customWidth="1" style="5" min="10" max="10"/>
    <col width="55" customWidth="1" style="5" min="11" max="11"/>
    <col width="26" customWidth="1" style="5" min="12" max="12"/>
    <col width="24" customWidth="1" style="5" min="13" max="13"/>
    <col width="13" customWidth="1" style="5" min="14" max="14"/>
    <col width="30" customWidth="1" style="5" min="15" max="15"/>
    <col width="55" customWidth="1" style="5" min="16" max="16"/>
    <col width="12" customWidth="1" style="5" min="17" max="17"/>
    <col width="55" customWidth="1" style="5" min="18" max="19"/>
  </cols>
  <sheetData>
    <row r="1" ht="15" customHeight="1" s="6">
      <c r="A1" s="7" t="inlineStr">
        <is>
          <t>CDE ID</t>
        </is>
      </c>
      <c r="B1" s="7" t="inlineStr">
        <is>
          <t>CDE Name</t>
        </is>
      </c>
      <c r="C1" s="7" t="inlineStr">
        <is>
          <t>Data Type</t>
        </is>
      </c>
      <c r="D1" s="7" t="inlineStr">
        <is>
          <t>Executive Criticality</t>
        </is>
      </c>
      <c r="E1" s="7" t="inlineStr">
        <is>
          <t>Framework Criticality</t>
        </is>
      </c>
      <c r="F1" s="7" t="inlineStr">
        <is>
          <t>Acquisition Priority</t>
        </is>
      </c>
      <c r="G1" s="7" t="inlineStr">
        <is>
          <t>Validation Rule</t>
        </is>
      </c>
      <c r="H1" s="7" t="inlineStr">
        <is>
          <t>Validation Rule (Parseable)</t>
        </is>
      </c>
      <c r="I1" s="7" t="inlineStr">
        <is>
          <t>Temporal</t>
        </is>
      </c>
      <c r="J1" s="7" t="inlineStr">
        <is>
          <t>Cardinality</t>
        </is>
      </c>
      <c r="K1" s="7" t="inlineStr">
        <is>
          <t>Aggregation Rule</t>
        </is>
      </c>
      <c r="L1" s="7" t="inlineStr">
        <is>
          <t>Default Evidence Source</t>
        </is>
      </c>
      <c r="M1" s="7" t="inlineStr">
        <is>
          <t>Created By</t>
        </is>
      </c>
      <c r="N1" s="7" t="inlineStr">
        <is>
          <t>Date Added</t>
        </is>
      </c>
      <c r="O1" s="7" t="inlineStr">
        <is>
          <t>Source System</t>
        </is>
      </c>
      <c r="P1" s="7" t="inlineStr">
        <is>
          <t>Node Applicability</t>
        </is>
      </c>
      <c r="Q1" s="7" t="inlineStr">
        <is>
          <t>CDE Scope</t>
        </is>
      </c>
      <c r="R1" s="7" t="inlineStr">
        <is>
          <t>Framework Tier Eligibility</t>
        </is>
      </c>
      <c r="S1" s="7" t="inlineStr">
        <is>
          <t>Domain Ownership Note (Binding 6)</t>
        </is>
      </c>
    </row>
    <row r="2" ht="15" customHeight="1" s="6">
      <c r="A2" s="8" t="inlineStr">
        <is>
          <t>CDE-G001</t>
        </is>
      </c>
      <c r="B2" s="8" t="inlineStr">
        <is>
          <t>Total Board Size (Director Count)</t>
        </is>
      </c>
      <c r="C2" s="8" t="inlineStr">
        <is>
          <t>Numeric</t>
        </is>
      </c>
      <c r="D2" s="8" t="inlineStr">
        <is>
          <t>Required</t>
        </is>
      </c>
      <c r="E2" s="8" t="inlineStr">
        <is>
          <t>Universal</t>
        </is>
      </c>
      <c r="F2" s="8" t="inlineStr">
        <is>
          <t>P1</t>
        </is>
      </c>
      <c r="G2" s="8" t="inlineStr">
        <is>
          <t>&gt;=1, integer</t>
        </is>
      </c>
      <c r="H2" s="8" t="inlineStr">
        <is>
          <t>TYPE:INTEGER|MIN:1</t>
        </is>
      </c>
      <c r="I2" s="8" t="inlineStr">
        <is>
          <t>Effective-dated</t>
        </is>
      </c>
      <c r="J2" s="8" t="inlineStr">
        <is>
          <t>One-to-one</t>
        </is>
      </c>
      <c r="K2" s="8" t="inlineStr">
        <is>
          <t>N/A — not a one-to-many numeric field</t>
        </is>
      </c>
      <c r="L2" s="8" t="inlineStr">
        <is>
          <t>Annual Report / 10-K Filing (SEC EDGAR, Company IR Site)</t>
        </is>
      </c>
      <c r="M2" s="8" t="inlineStr">
        <is>
          <t>CIL Architecture Team</t>
        </is>
      </c>
      <c r="N2" s="8" t="inlineStr">
        <is>
          <t>2026-06-27</t>
        </is>
      </c>
      <c r="O2" s="8" t="inlineStr">
        <is>
          <t>CorpStage CIL Registry v1.0</t>
        </is>
      </c>
      <c r="P2" s="8" t="inlineStr">
        <is>
          <t>Group only (single enterprise-wide fact, does not repeat per node)</t>
        </is>
      </c>
      <c r="Q2" s="8" t="inlineStr">
        <is>
          <t>Global</t>
        </is>
      </c>
      <c r="R2" s="8" t="inlineStr">
        <is>
          <t>Tier 1 (Standard) — available to all frameworks and all customers</t>
        </is>
      </c>
      <c r="S2" s="8" t="inlineStr">
        <is>
          <t>Owned by Governance Intelligence per Binding 6(a) — captures the STRUCTURAL/AGGREGATE fact (e.g. overall Board size, independence ratio). Domain 1 Enterprise Intelligence's CDE-121/122/123 (Board Member Name, Independence Status, Committee Membership) own the PER-DIRECTOR registry — this domain's aggregate facts should be derivable from that registry, not independently re-collected.</t>
        </is>
      </c>
    </row>
    <row r="3" ht="15" customHeight="1" s="6">
      <c r="A3" s="8" t="inlineStr">
        <is>
          <t>CDE-G002</t>
        </is>
      </c>
      <c r="B3" s="8" t="inlineStr">
        <is>
          <t>Executive vs Non-Executive Director Split</t>
        </is>
      </c>
      <c r="C3" s="8" t="inlineStr">
        <is>
          <t>Text</t>
        </is>
      </c>
      <c r="D3" s="8" t="inlineStr">
        <is>
          <t>Recommended</t>
        </is>
      </c>
      <c r="E3" s="8" t="inlineStr">
        <is>
          <t>Multi</t>
        </is>
      </c>
      <c r="F3" s="8" t="inlineStr">
        <is>
          <t>P2</t>
        </is>
      </c>
      <c r="G3" s="8" t="inlineStr">
        <is>
          <t>Non-empty text</t>
        </is>
      </c>
      <c r="H3" s="8" t="inlineStr">
        <is>
          <t>TYPE:TEXT</t>
        </is>
      </c>
      <c r="I3" s="8" t="inlineStr">
        <is>
          <t>Effective-dated</t>
        </is>
      </c>
      <c r="J3" s="8" t="inlineStr">
        <is>
          <t>One-to-one</t>
        </is>
      </c>
      <c r="K3" s="8" t="inlineStr">
        <is>
          <t>N/A — not a one-to-many numeric field</t>
        </is>
      </c>
      <c r="L3" s="8" t="inlineStr">
        <is>
          <t>Annual Report / 10-K Filing (SEC EDGAR, Company IR Site)</t>
        </is>
      </c>
      <c r="M3" s="8" t="inlineStr">
        <is>
          <t>CIL Architecture Team</t>
        </is>
      </c>
      <c r="N3" s="8" t="inlineStr">
        <is>
          <t>2026-06-27</t>
        </is>
      </c>
      <c r="O3" s="8" t="inlineStr">
        <is>
          <t>CorpStage CIL Registry v1.0</t>
        </is>
      </c>
      <c r="P3" s="8" t="inlineStr">
        <is>
          <t>Group only (single enterprise-wide fact, does not repeat per node)</t>
        </is>
      </c>
      <c r="Q3" s="8" t="inlineStr">
        <is>
          <t>Global</t>
        </is>
      </c>
      <c r="R3" s="8" t="inlineStr">
        <is>
          <t>Tier 1 (Standard) — available to all frameworks and all customers</t>
        </is>
      </c>
      <c r="S3" s="8" t="inlineStr">
        <is>
          <t>Owned by Governance Intelligence per Binding 6(a) — captures the STRUCTURAL/AGGREGATE fact (e.g. overall Board size, independence ratio). Domain 1 Enterprise Intelligence's CDE-121/122/123 (Board Member Name, Independence Status, Committee Membership) own the PER-DIRECTOR registry — this domain's aggregate facts should be derivable from that registry, not independently re-collected.</t>
        </is>
      </c>
    </row>
    <row r="4" ht="15" customHeight="1" s="6">
      <c r="A4" s="8" t="inlineStr">
        <is>
          <t>CDE-G003</t>
        </is>
      </c>
      <c r="B4" s="8" t="inlineStr">
        <is>
          <t>Board Independence Ratio %</t>
        </is>
      </c>
      <c r="C4" s="8" t="inlineStr">
        <is>
          <t>Numeric</t>
        </is>
      </c>
      <c r="D4" s="8" t="inlineStr">
        <is>
          <t>Required</t>
        </is>
      </c>
      <c r="E4" s="8" t="inlineStr">
        <is>
          <t>Universal</t>
        </is>
      </c>
      <c r="F4" s="8" t="inlineStr">
        <is>
          <t>P1</t>
        </is>
      </c>
      <c r="G4" s="8" t="inlineStr">
        <is>
          <t>0-100, numeric</t>
        </is>
      </c>
      <c r="H4" s="8" t="inlineStr">
        <is>
          <t>TYPE:NUMERIC|MIN:0|MAX:100</t>
        </is>
      </c>
      <c r="I4" s="8" t="inlineStr">
        <is>
          <t>Effective-dated</t>
        </is>
      </c>
      <c r="J4" s="8" t="inlineStr">
        <is>
          <t>One-to-one</t>
        </is>
      </c>
      <c r="K4" s="8" t="inlineStr">
        <is>
          <t>N/A — not a one-to-many numeric field</t>
        </is>
      </c>
      <c r="L4" s="8" t="inlineStr">
        <is>
          <t>Annual Report / 10-K Filing (SEC EDGAR, Company IR Site)</t>
        </is>
      </c>
      <c r="M4" s="8" t="inlineStr">
        <is>
          <t>CIL Architecture Team</t>
        </is>
      </c>
      <c r="N4" s="8" t="inlineStr">
        <is>
          <t>2026-06-27</t>
        </is>
      </c>
      <c r="O4" s="8" t="inlineStr">
        <is>
          <t>CorpStage CIL Registry v1.0</t>
        </is>
      </c>
      <c r="P4" s="8" t="inlineStr">
        <is>
          <t>Group only (single enterprise-wide fact, does not repeat per node)</t>
        </is>
      </c>
      <c r="Q4" s="8" t="inlineStr">
        <is>
          <t>Global</t>
        </is>
      </c>
      <c r="R4" s="8" t="inlineStr">
        <is>
          <t>Tier 1 (Standard) — available to all frameworks and all customers</t>
        </is>
      </c>
      <c r="S4" s="8" t="inlineStr">
        <is>
          <t>Owned by Governance Intelligence per Binding 6(a) — captures the STRUCTURAL/AGGREGATE fact (e.g. overall Board size, independence ratio). Domain 1 Enterprise Intelligence's CDE-121/122/123 (Board Member Name, Independence Status, Committee Membership) own the PER-DIRECTOR registry — this domain's aggregate facts should be derivable from that registry, not independently re-collected.</t>
        </is>
      </c>
    </row>
    <row r="5" ht="15" customHeight="1" s="6">
      <c r="A5" s="8" t="inlineStr">
        <is>
          <t>CDE-G004</t>
        </is>
      </c>
      <c r="B5" s="8" t="inlineStr">
        <is>
          <t>Independence Definition/Standard Applied</t>
        </is>
      </c>
      <c r="C5" s="8" t="inlineStr">
        <is>
          <t>Text</t>
        </is>
      </c>
      <c r="D5" s="8" t="inlineStr">
        <is>
          <t>Recommended</t>
        </is>
      </c>
      <c r="E5" s="8" t="inlineStr">
        <is>
          <t>Multi</t>
        </is>
      </c>
      <c r="F5" s="8" t="inlineStr">
        <is>
          <t>P2</t>
        </is>
      </c>
      <c r="G5" s="8" t="inlineStr">
        <is>
          <t>Non-empty text</t>
        </is>
      </c>
      <c r="H5" s="8" t="inlineStr">
        <is>
          <t>TYPE:TEXT</t>
        </is>
      </c>
      <c r="I5" s="8" t="inlineStr">
        <is>
          <t>Point-in-time</t>
        </is>
      </c>
      <c r="J5" s="8" t="inlineStr">
        <is>
          <t>One-to-one</t>
        </is>
      </c>
      <c r="K5" s="8" t="inlineStr">
        <is>
          <t>N/A — not a one-to-many numeric field</t>
        </is>
      </c>
      <c r="L5" s="8" t="inlineStr">
        <is>
          <t>Annual Report / 10-K Filing (SEC EDGAR, Company IR Site)</t>
        </is>
      </c>
      <c r="M5" s="8" t="inlineStr">
        <is>
          <t>CIL Architecture Team</t>
        </is>
      </c>
      <c r="N5" s="8" t="inlineStr">
        <is>
          <t>2026-06-27</t>
        </is>
      </c>
      <c r="O5" s="8" t="inlineStr">
        <is>
          <t>CorpStage CIL Registry v1.0</t>
        </is>
      </c>
      <c r="P5" s="8" t="inlineStr">
        <is>
          <t>Group only (single enterprise-wide fact, does not repeat per node)</t>
        </is>
      </c>
      <c r="Q5" s="8" t="inlineStr">
        <is>
          <t>Global</t>
        </is>
      </c>
      <c r="R5" s="8" t="inlineStr">
        <is>
          <t>Tier 1 (Standard) — available to all frameworks and all customers</t>
        </is>
      </c>
      <c r="S5" s="8" t="inlineStr">
        <is>
          <t>Owned by D05 Governance Intelligence as a board and executive governance fact. Legal obligations of directors owned by D08. D05 owns the governance structure and practice intelligence; D08 owns the legal dimension of director duties.</t>
        </is>
      </c>
    </row>
    <row r="6" ht="15" customHeight="1" s="6">
      <c r="A6" s="8" t="inlineStr">
        <is>
          <t>CDE-G005</t>
        </is>
      </c>
      <c r="B6" s="8" t="inlineStr">
        <is>
          <t>Director Skills Matrix Documented</t>
        </is>
      </c>
      <c r="C6" s="8" t="inlineStr">
        <is>
          <t>Boolean</t>
        </is>
      </c>
      <c r="D6" s="8" t="inlineStr">
        <is>
          <t>Required</t>
        </is>
      </c>
      <c r="E6" s="8" t="inlineStr">
        <is>
          <t>Multi</t>
        </is>
      </c>
      <c r="F6" s="8" t="inlineStr">
        <is>
          <t>P1</t>
        </is>
      </c>
      <c r="G6" s="8" t="inlineStr">
        <is>
          <t>True/False</t>
        </is>
      </c>
      <c r="H6" s="8" t="inlineStr">
        <is>
          <t>TYPE:BOOLEAN|ALLOWED:TRUE,FALSE</t>
        </is>
      </c>
      <c r="I6" s="8" t="inlineStr">
        <is>
          <t>Effective-dated</t>
        </is>
      </c>
      <c r="J6" s="8" t="inlineStr">
        <is>
          <t>One-to-one</t>
        </is>
      </c>
      <c r="K6" s="8" t="inlineStr">
        <is>
          <t>N/A — not a one-to-many numeric field</t>
        </is>
      </c>
      <c r="L6" s="8" t="inlineStr">
        <is>
          <t>Annual Report / 10-K Filing (SEC EDGAR, Company IR Site)</t>
        </is>
      </c>
      <c r="M6" s="8" t="inlineStr">
        <is>
          <t>CIL Architecture Team</t>
        </is>
      </c>
      <c r="N6" s="8" t="inlineStr">
        <is>
          <t>2026-06-27</t>
        </is>
      </c>
      <c r="O6" s="8" t="inlineStr">
        <is>
          <t>CorpStage CIL Registry v1.0</t>
        </is>
      </c>
      <c r="P6" s="8" t="inlineStr">
        <is>
          <t>Group only (single enterprise-wide fact, does not repeat per node)</t>
        </is>
      </c>
      <c r="Q6" s="8" t="inlineStr">
        <is>
          <t>Global</t>
        </is>
      </c>
      <c r="R6" s="8" t="inlineStr">
        <is>
          <t>Tier 1 (Standard) — available to all frameworks and all customers</t>
        </is>
      </c>
      <c r="S6" s="8" t="inlineStr">
        <is>
          <t>Owned by D05 Governance Intelligence as a board and executive governance fact. Legal obligations of directors owned by D08. D05 owns the governance structure and practice intelligence; D08 owns the legal dimension of director duties.</t>
        </is>
      </c>
    </row>
    <row r="7" ht="15" customHeight="1" s="6">
      <c r="A7" s="8" t="inlineStr">
        <is>
          <t>CDE-G006</t>
        </is>
      </c>
      <c r="B7" s="8" t="inlineStr">
        <is>
          <t>Skills Gap Identified by Board Self-Assessment</t>
        </is>
      </c>
      <c r="C7" s="8" t="inlineStr">
        <is>
          <t>Text</t>
        </is>
      </c>
      <c r="D7" s="8" t="inlineStr">
        <is>
          <t>Recommended</t>
        </is>
      </c>
      <c r="E7" s="8" t="inlineStr">
        <is>
          <t>Optional</t>
        </is>
      </c>
      <c r="F7" s="8" t="inlineStr">
        <is>
          <t>P2</t>
        </is>
      </c>
      <c r="G7" s="8" t="inlineStr">
        <is>
          <t>Non-empty text</t>
        </is>
      </c>
      <c r="H7" s="8" t="inlineStr">
        <is>
          <t>TYPE:TEXT</t>
        </is>
      </c>
      <c r="I7" s="8" t="inlineStr">
        <is>
          <t>Point-in-time</t>
        </is>
      </c>
      <c r="J7" s="8" t="inlineStr">
        <is>
          <t>One-to-many</t>
        </is>
      </c>
      <c r="K7" s="8" t="inlineStr">
        <is>
          <t>N/A — not a one-to-many numeric field</t>
        </is>
      </c>
      <c r="L7" s="8" t="inlineStr">
        <is>
          <t>Annual Report / 10-K Filing (SEC EDGAR, Company IR Site)</t>
        </is>
      </c>
      <c r="M7" s="8" t="inlineStr">
        <is>
          <t>CIL Architecture Team</t>
        </is>
      </c>
      <c r="N7" s="8" t="inlineStr">
        <is>
          <t>2026-06-27</t>
        </is>
      </c>
      <c r="O7" s="8" t="inlineStr">
        <is>
          <t>CorpStage CIL Registry v1.0</t>
        </is>
      </c>
      <c r="P7" s="8" t="inlineStr">
        <is>
          <t>Company, Group (collected per legal entity, not below Company level)</t>
        </is>
      </c>
      <c r="Q7" s="8" t="inlineStr">
        <is>
          <t>Global</t>
        </is>
      </c>
      <c r="R7" s="8" t="inlineStr">
        <is>
          <t>Tier 1 (Standard) — available to all frameworks and all customers</t>
        </is>
      </c>
      <c r="S7" s="8" t="inlineStr">
        <is>
          <t>Owned by D05 Governance Intelligence as a board and executive governance fact. Legal obligations of directors owned by D08. D05 owns the governance structure and practice intelligence; D08 owns the legal dimension of director duties.</t>
        </is>
      </c>
    </row>
    <row r="8" ht="15" customHeight="1" s="6">
      <c r="A8" s="8" t="inlineStr">
        <is>
          <t>CDE-G007</t>
        </is>
      </c>
      <c r="B8" s="8" t="inlineStr">
        <is>
          <t>Chair and CEO Roles Separated</t>
        </is>
      </c>
      <c r="C8" s="8" t="inlineStr">
        <is>
          <t>Boolean</t>
        </is>
      </c>
      <c r="D8" s="8" t="inlineStr">
        <is>
          <t>Required</t>
        </is>
      </c>
      <c r="E8" s="8" t="inlineStr">
        <is>
          <t>Universal</t>
        </is>
      </c>
      <c r="F8" s="8" t="inlineStr">
        <is>
          <t>P1</t>
        </is>
      </c>
      <c r="G8" s="8" t="inlineStr">
        <is>
          <t>True/False</t>
        </is>
      </c>
      <c r="H8" s="8" t="inlineStr">
        <is>
          <t>TYPE:BOOLEAN|ALLOWED:TRUE,FALSE</t>
        </is>
      </c>
      <c r="I8" s="8" t="inlineStr">
        <is>
          <t>Effective-dated</t>
        </is>
      </c>
      <c r="J8" s="8" t="inlineStr">
        <is>
          <t>One-to-one</t>
        </is>
      </c>
      <c r="K8" s="8" t="inlineStr">
        <is>
          <t>N/A — not a one-to-many numeric field</t>
        </is>
      </c>
      <c r="L8" s="8" t="inlineStr">
        <is>
          <t>Annual Report / 10-K Filing (SEC EDGAR, Company IR Site)</t>
        </is>
      </c>
      <c r="M8" s="8" t="inlineStr">
        <is>
          <t>CIL Architecture Team</t>
        </is>
      </c>
      <c r="N8" s="8" t="inlineStr">
        <is>
          <t>2026-06-27</t>
        </is>
      </c>
      <c r="O8" s="8" t="inlineStr">
        <is>
          <t>CorpStage CIL Registry v1.0</t>
        </is>
      </c>
      <c r="P8" s="8" t="inlineStr">
        <is>
          <t>Group only (single enterprise-wide fact, does not repeat per node)</t>
        </is>
      </c>
      <c r="Q8" s="8" t="inlineStr">
        <is>
          <t>Global</t>
        </is>
      </c>
      <c r="R8" s="8" t="inlineStr">
        <is>
          <t>Tier 1 (Standard) — available to all frameworks and all customers</t>
        </is>
      </c>
      <c r="S8" s="8" t="inlineStr">
        <is>
          <t>Owned by D05 Governance Intelligence as a board and executive governance fact. Legal obligations of directors owned by D08. D05 owns the governance structure and practice intelligence; D08 owns the legal dimension of director duties.</t>
        </is>
      </c>
    </row>
    <row r="9" ht="15" customHeight="1" s="6">
      <c r="A9" s="8" t="inlineStr">
        <is>
          <t>CDE-G008</t>
        </is>
      </c>
      <c r="B9" s="8" t="inlineStr">
        <is>
          <t>Counterbalancing Governance Mechanism Documented (If Combined Chair/CEO)</t>
        </is>
      </c>
      <c r="C9" s="8" t="inlineStr">
        <is>
          <t>Text</t>
        </is>
      </c>
      <c r="D9" s="8" t="inlineStr">
        <is>
          <t>Recommended</t>
        </is>
      </c>
      <c r="E9" s="8" t="inlineStr">
        <is>
          <t>Optional</t>
        </is>
      </c>
      <c r="F9" s="8" t="inlineStr">
        <is>
          <t>P2</t>
        </is>
      </c>
      <c r="G9" s="8" t="inlineStr">
        <is>
          <t>Non-empty text</t>
        </is>
      </c>
      <c r="H9" s="8" t="inlineStr">
        <is>
          <t>TYPE:TEXT</t>
        </is>
      </c>
      <c r="I9" s="8" t="inlineStr">
        <is>
          <t>Point-in-time</t>
        </is>
      </c>
      <c r="J9" s="8" t="inlineStr">
        <is>
          <t>One-to-one</t>
        </is>
      </c>
      <c r="K9" s="8" t="inlineStr">
        <is>
          <t>N/A — not a one-to-many numeric field</t>
        </is>
      </c>
      <c r="L9" s="8" t="inlineStr">
        <is>
          <t>Annual Report / 10-K Filing (SEC EDGAR, Company IR Site)</t>
        </is>
      </c>
      <c r="M9" s="8" t="inlineStr">
        <is>
          <t>CIL Architecture Team</t>
        </is>
      </c>
      <c r="N9" s="8" t="inlineStr">
        <is>
          <t>2026-06-27</t>
        </is>
      </c>
      <c r="O9" s="8" t="inlineStr">
        <is>
          <t>CorpStage CIL Registry v1.0</t>
        </is>
      </c>
      <c r="P9" s="8" t="inlineStr">
        <is>
          <t>Group only (single enterprise-wide fact, does not repeat per node)</t>
        </is>
      </c>
      <c r="Q9" s="8" t="inlineStr">
        <is>
          <t>Global</t>
        </is>
      </c>
      <c r="R9" s="8" t="inlineStr">
        <is>
          <t>Tier 1 (Standard) — available to all frameworks and all customers</t>
        </is>
      </c>
      <c r="S9" s="8" t="inlineStr">
        <is>
          <t>Owned by D05 Governance Intelligence as a board and executive governance fact. Legal obligations of directors owned by D08. D05 owns the governance structure and practice intelligence; D08 owns the legal dimension of director duties.</t>
        </is>
      </c>
    </row>
    <row r="10" ht="15" customHeight="1" s="6">
      <c r="A10" s="8" t="inlineStr">
        <is>
          <t>CDE-G009</t>
        </is>
      </c>
      <c r="B10" s="8" t="inlineStr">
        <is>
          <t>Average Board Tenure (Years)</t>
        </is>
      </c>
      <c r="C10" s="8" t="inlineStr">
        <is>
          <t>Numeric</t>
        </is>
      </c>
      <c r="D10" s="8" t="inlineStr">
        <is>
          <t>Recommended</t>
        </is>
      </c>
      <c r="E10" s="8" t="inlineStr">
        <is>
          <t>Optional</t>
        </is>
      </c>
      <c r="F10" s="8" t="inlineStr">
        <is>
          <t>P2</t>
        </is>
      </c>
      <c r="G10" s="8" t="inlineStr">
        <is>
          <t>&gt;=0, numeric</t>
        </is>
      </c>
      <c r="H10" s="8" t="inlineStr">
        <is>
          <t>TYPE:NUMERIC|MIN:0</t>
        </is>
      </c>
      <c r="I10" s="8" t="inlineStr">
        <is>
          <t>Effective-dated</t>
        </is>
      </c>
      <c r="J10" s="8" t="inlineStr">
        <is>
          <t>One-to-one</t>
        </is>
      </c>
      <c r="K10" s="8" t="inlineStr">
        <is>
          <t>N/A — not a one-to-many numeric field</t>
        </is>
      </c>
      <c r="L10" s="8" t="inlineStr">
        <is>
          <t>Annual Report / 10-K Filing (SEC EDGAR, Company IR Site)</t>
        </is>
      </c>
      <c r="M10" s="8" t="inlineStr">
        <is>
          <t>CIL Architecture Team</t>
        </is>
      </c>
      <c r="N10" s="8" t="inlineStr">
        <is>
          <t>2026-06-27</t>
        </is>
      </c>
      <c r="O10" s="8" t="inlineStr">
        <is>
          <t>CorpStage CIL Registry v1.0</t>
        </is>
      </c>
      <c r="P10" s="8" t="inlineStr">
        <is>
          <t>Group only (single enterprise-wide fact, does not repeat per node)</t>
        </is>
      </c>
      <c r="Q10" s="8" t="inlineStr">
        <is>
          <t>Global</t>
        </is>
      </c>
      <c r="R10" s="8" t="inlineStr">
        <is>
          <t>Tier 1 (Standard) — available to all frameworks and all customers</t>
        </is>
      </c>
      <c r="S10" s="8" t="inlineStr">
        <is>
          <t>Owned by D05 Governance Intelligence as a board and executive governance fact. Legal obligations of directors owned by D08. D05 owns the governance structure and practice intelligence; D08 owns the legal dimension of director duties.</t>
        </is>
      </c>
    </row>
    <row r="11" ht="15" customHeight="1" s="6">
      <c r="A11" s="8" t="inlineStr">
        <is>
          <t>CDE-G010</t>
        </is>
      </c>
      <c r="B11" s="8" t="inlineStr">
        <is>
          <t>Director Tenure or Retirement Age Policy Exists</t>
        </is>
      </c>
      <c r="C11" s="8" t="inlineStr">
        <is>
          <t>Boolean</t>
        </is>
      </c>
      <c r="D11" s="8" t="inlineStr">
        <is>
          <t>Recommended</t>
        </is>
      </c>
      <c r="E11" s="8" t="inlineStr">
        <is>
          <t>Optional</t>
        </is>
      </c>
      <c r="F11" s="8" t="inlineStr">
        <is>
          <t>P2</t>
        </is>
      </c>
      <c r="G11" s="8" t="inlineStr">
        <is>
          <t>True/False</t>
        </is>
      </c>
      <c r="H11" s="8" t="inlineStr">
        <is>
          <t>TYPE:BOOLEAN|ALLOWED:TRUE,FALSE</t>
        </is>
      </c>
      <c r="I11" s="8" t="inlineStr">
        <is>
          <t>Effective-dated</t>
        </is>
      </c>
      <c r="J11" s="8" t="inlineStr">
        <is>
          <t>One-to-one</t>
        </is>
      </c>
      <c r="K11" s="8" t="inlineStr">
        <is>
          <t>N/A — not a one-to-many numeric field</t>
        </is>
      </c>
      <c r="L11" s="8" t="inlineStr">
        <is>
          <t>Annual Report / 10-K Filing (SEC EDGAR, Company IR Site)</t>
        </is>
      </c>
      <c r="M11" s="8" t="inlineStr">
        <is>
          <t>CIL Architecture Team</t>
        </is>
      </c>
      <c r="N11" s="8" t="inlineStr">
        <is>
          <t>2026-06-27</t>
        </is>
      </c>
      <c r="O11" s="8" t="inlineStr">
        <is>
          <t>CorpStage CIL Registry v1.0</t>
        </is>
      </c>
      <c r="P11" s="8" t="inlineStr">
        <is>
          <t>Group only (single enterprise-wide fact, does not repeat per node)</t>
        </is>
      </c>
      <c r="Q11" s="8" t="inlineStr">
        <is>
          <t>Global</t>
        </is>
      </c>
      <c r="R11" s="8" t="inlineStr">
        <is>
          <t>Tier 1 (Standard) — available to all frameworks and all customers</t>
        </is>
      </c>
      <c r="S11" s="8" t="inlineStr">
        <is>
          <t>Owned by D05 Governance Intelligence as a board and executive governance fact. Legal obligations of directors owned by D08. D05 owns the governance structure and practice intelligence; D08 owns the legal dimension of director duties.</t>
        </is>
      </c>
    </row>
    <row r="12" ht="15" customHeight="1" s="6">
      <c r="A12" s="8" t="inlineStr">
        <is>
          <t>CDE-G011</t>
        </is>
      </c>
      <c r="B12" s="8" t="inlineStr">
        <is>
          <t>Lead Independent Director or Senior Independent Director Role Exists</t>
        </is>
      </c>
      <c r="C12" s="8" t="inlineStr">
        <is>
          <t>Boolean</t>
        </is>
      </c>
      <c r="D12" s="8" t="inlineStr">
        <is>
          <t>Required</t>
        </is>
      </c>
      <c r="E12" s="8" t="inlineStr">
        <is>
          <t>Multi</t>
        </is>
      </c>
      <c r="F12" s="8" t="inlineStr">
        <is>
          <t>P1</t>
        </is>
      </c>
      <c r="G12" s="8" t="inlineStr">
        <is>
          <t>True/False</t>
        </is>
      </c>
      <c r="H12" s="8" t="inlineStr">
        <is>
          <t>TYPE:BOOLEAN|ALLOWED:TRUE,FALSE</t>
        </is>
      </c>
      <c r="I12" s="8" t="inlineStr">
        <is>
          <t>Effective-dated</t>
        </is>
      </c>
      <c r="J12" s="8" t="inlineStr">
        <is>
          <t>One-to-one</t>
        </is>
      </c>
      <c r="K12" s="8" t="inlineStr">
        <is>
          <t>N/A — not a one-to-many numeric field</t>
        </is>
      </c>
      <c r="L12" s="8" t="inlineStr">
        <is>
          <t>Annual Report / 10-K Filing (SEC EDGAR, Company IR Site)</t>
        </is>
      </c>
      <c r="M12" s="8" t="inlineStr">
        <is>
          <t>CIL Architecture Team</t>
        </is>
      </c>
      <c r="N12" s="8" t="inlineStr">
        <is>
          <t>2026-06-27</t>
        </is>
      </c>
      <c r="O12" s="8" t="inlineStr">
        <is>
          <t>CorpStage CIL Registry v1.0</t>
        </is>
      </c>
      <c r="P12" s="8" t="inlineStr">
        <is>
          <t>Group only (single enterprise-wide fact, does not repeat per node)</t>
        </is>
      </c>
      <c r="Q12" s="8" t="inlineStr">
        <is>
          <t>Global</t>
        </is>
      </c>
      <c r="R12" s="8" t="inlineStr">
        <is>
          <t>Tier 1 (Standard) — available to all frameworks and all customers</t>
        </is>
      </c>
      <c r="S12" s="8" t="inlineStr">
        <is>
          <t>Owned by D05 Governance Intelligence as a board and executive governance fact. Legal obligations of directors owned by D08. D05 owns the governance structure and practice intelligence; D08 owns the legal dimension of director duties.</t>
        </is>
      </c>
    </row>
    <row r="13" ht="15" customHeight="1" s="6">
      <c r="A13" s="8" t="inlineStr">
        <is>
          <t>CDE-G012</t>
        </is>
      </c>
      <c r="B13" s="8" t="inlineStr">
        <is>
          <t>Lead Independent Director Name</t>
        </is>
      </c>
      <c r="C13" s="8" t="inlineStr">
        <is>
          <t>Text</t>
        </is>
      </c>
      <c r="D13" s="8" t="inlineStr">
        <is>
          <t>Supplemental</t>
        </is>
      </c>
      <c r="E13" s="8" t="inlineStr">
        <is>
          <t>Optional</t>
        </is>
      </c>
      <c r="F13" s="8" t="inlineStr">
        <is>
          <t>P3</t>
        </is>
      </c>
      <c r="G13" s="8" t="inlineStr">
        <is>
          <t>Non-empty text</t>
        </is>
      </c>
      <c r="H13" s="8" t="inlineStr">
        <is>
          <t>TYPE:TEXT</t>
        </is>
      </c>
      <c r="I13" s="8" t="inlineStr">
        <is>
          <t>Effective-dated</t>
        </is>
      </c>
      <c r="J13" s="8" t="inlineStr">
        <is>
          <t>One-to-one</t>
        </is>
      </c>
      <c r="K13" s="8" t="inlineStr">
        <is>
          <t>N/A — not a one-to-many numeric field</t>
        </is>
      </c>
      <c r="L13" s="8" t="inlineStr">
        <is>
          <t>Annual Report / 10-K Filing (SEC EDGAR, Company IR Site)</t>
        </is>
      </c>
      <c r="M13" s="8" t="inlineStr">
        <is>
          <t>CIL Architecture Team</t>
        </is>
      </c>
      <c r="N13" s="8" t="inlineStr">
        <is>
          <t>2026-06-27</t>
        </is>
      </c>
      <c r="O13" s="8" t="inlineStr">
        <is>
          <t>CorpStage CIL Registry v1.0</t>
        </is>
      </c>
      <c r="P13" s="8" t="inlineStr">
        <is>
          <t>Group only (single enterprise-wide fact, does not repeat per node)</t>
        </is>
      </c>
      <c r="Q13" s="8" t="inlineStr">
        <is>
          <t>Global</t>
        </is>
      </c>
      <c r="R13" s="8" t="inlineStr">
        <is>
          <t>Tier 1 (Standard) — available to all frameworks and all customers</t>
        </is>
      </c>
      <c r="S13" s="8" t="inlineStr">
        <is>
          <t>Owned by D05 Governance Intelligence as a board and executive governance fact. Legal obligations of directors owned by D08. D05 owns the governance structure and practice intelligence; D08 owns the legal dimension of director duties.</t>
        </is>
      </c>
    </row>
    <row r="14" ht="15" customHeight="1" s="6">
      <c r="A14" s="8" t="inlineStr">
        <is>
          <t>CDE-G013</t>
        </is>
      </c>
      <c r="B14" s="8" t="inlineStr">
        <is>
          <t>Director Nomination Process Documented</t>
        </is>
      </c>
      <c r="C14" s="8" t="inlineStr">
        <is>
          <t>Boolean</t>
        </is>
      </c>
      <c r="D14" s="8" t="inlineStr">
        <is>
          <t>Required</t>
        </is>
      </c>
      <c r="E14" s="8" t="inlineStr">
        <is>
          <t>Multi</t>
        </is>
      </c>
      <c r="F14" s="8" t="inlineStr">
        <is>
          <t>P1</t>
        </is>
      </c>
      <c r="G14" s="8" t="inlineStr">
        <is>
          <t>True/False</t>
        </is>
      </c>
      <c r="H14" s="8" t="inlineStr">
        <is>
          <t>TYPE:BOOLEAN|ALLOWED:TRUE,FALSE</t>
        </is>
      </c>
      <c r="I14" s="8" t="inlineStr">
        <is>
          <t>Effective-dated</t>
        </is>
      </c>
      <c r="J14" s="8" t="inlineStr">
        <is>
          <t>One-to-one</t>
        </is>
      </c>
      <c r="K14" s="8" t="inlineStr">
        <is>
          <t>N/A — not a one-to-many numeric field</t>
        </is>
      </c>
      <c r="L14" s="8" t="inlineStr">
        <is>
          <t>Annual Report / 10-K Filing (SEC EDGAR, Company IR Site)</t>
        </is>
      </c>
      <c r="M14" s="8" t="inlineStr">
        <is>
          <t>CIL Architecture Team</t>
        </is>
      </c>
      <c r="N14" s="8" t="inlineStr">
        <is>
          <t>2026-06-27</t>
        </is>
      </c>
      <c r="O14" s="8" t="inlineStr">
        <is>
          <t>CorpStage CIL Registry v1.0</t>
        </is>
      </c>
      <c r="P14" s="8" t="inlineStr">
        <is>
          <t>Group only (single enterprise-wide fact, does not repeat per node)</t>
        </is>
      </c>
      <c r="Q14" s="8" t="inlineStr">
        <is>
          <t>Global</t>
        </is>
      </c>
      <c r="R14" s="8" t="inlineStr">
        <is>
          <t>Tier 1 (Standard) — available to all frameworks and all customers</t>
        </is>
      </c>
      <c r="S14" s="8" t="inlineStr">
        <is>
          <t>Owned by D05 Governance Intelligence as a board and executive governance fact. Legal obligations of directors owned by D08. D05 owns the governance structure and practice intelligence; D08 owns the legal dimension of director duties.</t>
        </is>
      </c>
    </row>
    <row r="15" ht="15" customHeight="1" s="6">
      <c r="A15" s="8" t="inlineStr">
        <is>
          <t>CDE-G014</t>
        </is>
      </c>
      <c r="B15" s="8" t="inlineStr">
        <is>
          <t>Director Candidate Sourcing Method (Search Firm/Internal/Shareholder Proposal)</t>
        </is>
      </c>
      <c r="C15" s="8" t="inlineStr">
        <is>
          <t>Text</t>
        </is>
      </c>
      <c r="D15" s="8" t="inlineStr">
        <is>
          <t>Recommended</t>
        </is>
      </c>
      <c r="E15" s="8" t="inlineStr">
        <is>
          <t>Optional</t>
        </is>
      </c>
      <c r="F15" s="8" t="inlineStr">
        <is>
          <t>P2</t>
        </is>
      </c>
      <c r="G15" s="8" t="inlineStr">
        <is>
          <t>Non-empty text</t>
        </is>
      </c>
      <c r="H15" s="8" t="inlineStr">
        <is>
          <t>TYPE:TEXT</t>
        </is>
      </c>
      <c r="I15" s="8" t="inlineStr">
        <is>
          <t>Point-in-time</t>
        </is>
      </c>
      <c r="J15" s="8" t="inlineStr">
        <is>
          <t>One-to-one</t>
        </is>
      </c>
      <c r="K15" s="8" t="inlineStr">
        <is>
          <t>N/A — not a one-to-many numeric field</t>
        </is>
      </c>
      <c r="L15" s="8" t="inlineStr">
        <is>
          <t>Annual Report / 10-K Filing (SEC EDGAR, Company IR Site)</t>
        </is>
      </c>
      <c r="M15" s="8" t="inlineStr">
        <is>
          <t>CIL Architecture Team</t>
        </is>
      </c>
      <c r="N15" s="8" t="inlineStr">
        <is>
          <t>2026-06-27</t>
        </is>
      </c>
      <c r="O15" s="8" t="inlineStr">
        <is>
          <t>CorpStage CIL Registry v1.0</t>
        </is>
      </c>
      <c r="P15" s="8" t="inlineStr">
        <is>
          <t>Group only (single enterprise-wide fact, does not repeat per node)</t>
        </is>
      </c>
      <c r="Q15" s="8" t="inlineStr">
        <is>
          <t>Global</t>
        </is>
      </c>
      <c r="R15" s="8" t="inlineStr">
        <is>
          <t>Tier 1 (Standard) — available to all frameworks and all customers</t>
        </is>
      </c>
      <c r="S15" s="8" t="inlineStr">
        <is>
          <t>Owned by D05 Governance Intelligence as a board and executive governance fact. Legal obligations of directors owned by D08. D05 owns the governance structure and practice intelligence; D08 owns the legal dimension of director duties.</t>
        </is>
      </c>
    </row>
    <row r="16" ht="15" customHeight="1" s="6">
      <c r="A16" s="8" t="inlineStr">
        <is>
          <t>CDE-G015</t>
        </is>
      </c>
      <c r="B16" s="8" t="inlineStr">
        <is>
          <t>Director Succession Plan Documented</t>
        </is>
      </c>
      <c r="C16" s="8" t="inlineStr">
        <is>
          <t>Boolean</t>
        </is>
      </c>
      <c r="D16" s="8" t="inlineStr">
        <is>
          <t>Required</t>
        </is>
      </c>
      <c r="E16" s="8" t="inlineStr">
        <is>
          <t>Multi</t>
        </is>
      </c>
      <c r="F16" s="8" t="inlineStr">
        <is>
          <t>P1</t>
        </is>
      </c>
      <c r="G16" s="8" t="inlineStr">
        <is>
          <t>True/False/Unknown (tri-state)</t>
        </is>
      </c>
      <c r="H16" s="8" t="inlineStr">
        <is>
          <t>TYPE:BOOLEAN|ALLOWED:TRUE,FALSE,UNKNOWN</t>
        </is>
      </c>
      <c r="I16" s="8" t="inlineStr">
        <is>
          <t>Effective-dated</t>
        </is>
      </c>
      <c r="J16" s="8" t="inlineStr">
        <is>
          <t>One-to-one</t>
        </is>
      </c>
      <c r="K16" s="8" t="inlineStr">
        <is>
          <t>N/A — not a one-to-many numeric field</t>
        </is>
      </c>
      <c r="L16" s="8" t="inlineStr">
        <is>
          <t>Annual Report / 10-K Filing (SEC EDGAR, Company IR Site)</t>
        </is>
      </c>
      <c r="M16" s="8" t="inlineStr">
        <is>
          <t>CIL Architecture Team</t>
        </is>
      </c>
      <c r="N16" s="8" t="inlineStr">
        <is>
          <t>2026-06-27</t>
        </is>
      </c>
      <c r="O16" s="8" t="inlineStr">
        <is>
          <t>CorpStage CIL Registry v1.0</t>
        </is>
      </c>
      <c r="P16" s="8" t="inlineStr">
        <is>
          <t>Group only (single enterprise-wide fact, does not repeat per node)</t>
        </is>
      </c>
      <c r="Q16" s="8" t="inlineStr">
        <is>
          <t>Global</t>
        </is>
      </c>
      <c r="R16" s="8" t="inlineStr">
        <is>
          <t>Tier 1 (Standard) — available to all frameworks and all customers</t>
        </is>
      </c>
      <c r="S16" s="8" t="inlineStr">
        <is>
          <t>Owned by D05 Governance Intelligence as a board and executive governance fact. Legal obligations of directors owned by D08. D05 owns the governance structure and practice intelligence; D08 owns the legal dimension of director duties.</t>
        </is>
      </c>
    </row>
    <row r="17" ht="15" customHeight="1" s="6">
      <c r="A17" s="8" t="inlineStr">
        <is>
          <t>CDE-G016</t>
        </is>
      </c>
      <c r="B17" s="8" t="inlineStr">
        <is>
          <t>Anticipated Director Vacancy Count (Next 24 Months)</t>
        </is>
      </c>
      <c r="C17" s="8" t="inlineStr">
        <is>
          <t>Numeric</t>
        </is>
      </c>
      <c r="D17" s="8" t="inlineStr">
        <is>
          <t>Supplemental</t>
        </is>
      </c>
      <c r="E17" s="8" t="inlineStr">
        <is>
          <t>Optional</t>
        </is>
      </c>
      <c r="F17" s="8" t="inlineStr">
        <is>
          <t>P3</t>
        </is>
      </c>
      <c r="G17" s="8" t="inlineStr">
        <is>
          <t>&gt;=0, integer</t>
        </is>
      </c>
      <c r="H17" s="8" t="inlineStr">
        <is>
          <t>TYPE:INTEGER|MIN:0</t>
        </is>
      </c>
      <c r="I17" s="8" t="inlineStr">
        <is>
          <t>Point-in-time</t>
        </is>
      </c>
      <c r="J17" s="8" t="inlineStr">
        <is>
          <t>One-to-one</t>
        </is>
      </c>
      <c r="K17" s="8" t="inlineStr">
        <is>
          <t>N/A — not a one-to-many numeric field</t>
        </is>
      </c>
      <c r="L17" s="8" t="inlineStr">
        <is>
          <t>User Validation</t>
        </is>
      </c>
      <c r="M17" s="8" t="inlineStr">
        <is>
          <t>CIL Architecture Team</t>
        </is>
      </c>
      <c r="N17" s="8" t="inlineStr">
        <is>
          <t>2026-06-27</t>
        </is>
      </c>
      <c r="O17" s="8" t="inlineStr">
        <is>
          <t>CorpStage CIL Registry v1.0</t>
        </is>
      </c>
      <c r="P17" s="8" t="inlineStr">
        <is>
          <t>Group only (single enterprise-wide fact, does not repeat per node)</t>
        </is>
      </c>
      <c r="Q17" s="8" t="inlineStr">
        <is>
          <t>Global</t>
        </is>
      </c>
      <c r="R17" s="8" t="inlineStr">
        <is>
          <t>Tier 1 (Standard) — available to all frameworks and all customers</t>
        </is>
      </c>
      <c r="S17" s="8" t="inlineStr">
        <is>
          <t>Owned by D05 Governance Intelligence as a board and executive governance fact. Legal obligations of directors owned by D08. D05 owns the governance structure and practice intelligence; D08 owns the legal dimension of director duties.</t>
        </is>
      </c>
    </row>
    <row r="18" ht="15" customHeight="1" s="6">
      <c r="A18" s="8" t="inlineStr">
        <is>
          <t>CDE-G017</t>
        </is>
      </c>
      <c r="B18" s="8" t="inlineStr">
        <is>
          <t>Director Onboarding Program Documented</t>
        </is>
      </c>
      <c r="C18" s="8" t="inlineStr">
        <is>
          <t>Boolean</t>
        </is>
      </c>
      <c r="D18" s="8" t="inlineStr">
        <is>
          <t>Recommended</t>
        </is>
      </c>
      <c r="E18" s="8" t="inlineStr">
        <is>
          <t>Optional</t>
        </is>
      </c>
      <c r="F18" s="8" t="inlineStr">
        <is>
          <t>P2</t>
        </is>
      </c>
      <c r="G18" s="8" t="inlineStr">
        <is>
          <t>True/False</t>
        </is>
      </c>
      <c r="H18" s="8" t="inlineStr">
        <is>
          <t>TYPE:BOOLEAN|ALLOWED:TRUE,FALSE</t>
        </is>
      </c>
      <c r="I18" s="8" t="inlineStr">
        <is>
          <t>Effective-dated</t>
        </is>
      </c>
      <c r="J18" s="8" t="inlineStr">
        <is>
          <t>One-to-one</t>
        </is>
      </c>
      <c r="K18" s="8" t="inlineStr">
        <is>
          <t>N/A — not a one-to-many numeric field</t>
        </is>
      </c>
      <c r="L18" s="8" t="inlineStr">
        <is>
          <t>Annual Report / 10-K Filing (SEC EDGAR, Company IR Site)</t>
        </is>
      </c>
      <c r="M18" s="8" t="inlineStr">
        <is>
          <t>CIL Architecture Team</t>
        </is>
      </c>
      <c r="N18" s="8" t="inlineStr">
        <is>
          <t>2026-06-27</t>
        </is>
      </c>
      <c r="O18" s="8" t="inlineStr">
        <is>
          <t>CorpStage CIL Registry v1.0</t>
        </is>
      </c>
      <c r="P18" s="8" t="inlineStr">
        <is>
          <t>Group only (single enterprise-wide fact, does not repeat per node)</t>
        </is>
      </c>
      <c r="Q18" s="8" t="inlineStr">
        <is>
          <t>Global</t>
        </is>
      </c>
      <c r="R18" s="8" t="inlineStr">
        <is>
          <t>Tier 1 (Standard) — available to all frameworks and all customers</t>
        </is>
      </c>
      <c r="S18" s="8" t="inlineStr">
        <is>
          <t>Owned by D05 Governance Intelligence as a board and executive governance fact. Legal obligations of directors owned by D08. D05 owns the governance structure and practice intelligence; D08 owns the legal dimension of director duties.</t>
        </is>
      </c>
    </row>
    <row r="19" ht="15" customHeight="1" s="6">
      <c r="A19" s="8" t="inlineStr">
        <is>
          <t>CDE-G018</t>
        </is>
      </c>
      <c r="B19" s="8" t="inlineStr">
        <is>
          <t>Director Continuing Education Hours (Annual Average)</t>
        </is>
      </c>
      <c r="C19" s="8" t="inlineStr">
        <is>
          <t>Numeric</t>
        </is>
      </c>
      <c r="D19" s="8" t="inlineStr">
        <is>
          <t>Supplemental</t>
        </is>
      </c>
      <c r="E19" s="8" t="inlineStr">
        <is>
          <t>Optional</t>
        </is>
      </c>
      <c r="F19" s="8" t="inlineStr">
        <is>
          <t>P3</t>
        </is>
      </c>
      <c r="G19" s="8" t="inlineStr">
        <is>
          <t>&gt;=0, numeric</t>
        </is>
      </c>
      <c r="H19" s="8" t="inlineStr">
        <is>
          <t>TYPE:NUMERIC|MIN:0</t>
        </is>
      </c>
      <c r="I19" s="8" t="inlineStr">
        <is>
          <t>Effective-dated</t>
        </is>
      </c>
      <c r="J19" s="8" t="inlineStr">
        <is>
          <t>One-to-one</t>
        </is>
      </c>
      <c r="K19" s="8" t="inlineStr">
        <is>
          <t>N/A — not a one-to-many numeric field</t>
        </is>
      </c>
      <c r="L19" s="8" t="inlineStr">
        <is>
          <t>User Validation</t>
        </is>
      </c>
      <c r="M19" s="8" t="inlineStr">
        <is>
          <t>CIL Architecture Team</t>
        </is>
      </c>
      <c r="N19" s="8" t="inlineStr">
        <is>
          <t>2026-06-27</t>
        </is>
      </c>
      <c r="O19" s="8" t="inlineStr">
        <is>
          <t>CorpStage CIL Registry v1.0</t>
        </is>
      </c>
      <c r="P19" s="8" t="inlineStr">
        <is>
          <t>Group only (single enterprise-wide fact, does not repeat per node)</t>
        </is>
      </c>
      <c r="Q19" s="8" t="inlineStr">
        <is>
          <t>Global</t>
        </is>
      </c>
      <c r="R19" s="8" t="inlineStr">
        <is>
          <t>Tier 1 (Standard) — available to all frameworks and all customers</t>
        </is>
      </c>
      <c r="S19" s="8" t="inlineStr">
        <is>
          <t>Owned by D05 Governance Intelligence as a board and executive governance fact. Legal obligations of directors owned by D08. D05 owns the governance structure and practice intelligence; D08 owns the legal dimension of director duties.</t>
        </is>
      </c>
    </row>
    <row r="20" ht="15" customHeight="1" s="6">
      <c r="A20" s="8" t="inlineStr">
        <is>
          <t>CDE-G019</t>
        </is>
      </c>
      <c r="B20" s="8" t="inlineStr">
        <is>
          <t>Directors Up for Re-Election (Current Cycle)</t>
        </is>
      </c>
      <c r="C20" s="8" t="inlineStr">
        <is>
          <t>Numeric</t>
        </is>
      </c>
      <c r="D20" s="8" t="inlineStr">
        <is>
          <t>Recommended</t>
        </is>
      </c>
      <c r="E20" s="8" t="inlineStr">
        <is>
          <t>Optional</t>
        </is>
      </c>
      <c r="F20" s="8" t="inlineStr">
        <is>
          <t>P2</t>
        </is>
      </c>
      <c r="G20" s="8" t="inlineStr">
        <is>
          <t>&gt;=0, integer</t>
        </is>
      </c>
      <c r="H20" s="8" t="inlineStr">
        <is>
          <t>TYPE:INTEGER|MIN:0</t>
        </is>
      </c>
      <c r="I20" s="8" t="inlineStr">
        <is>
          <t>Point-in-time</t>
        </is>
      </c>
      <c r="J20" s="8" t="inlineStr">
        <is>
          <t>One-to-one</t>
        </is>
      </c>
      <c r="K20" s="8" t="inlineStr">
        <is>
          <t>N/A — not a one-to-many numeric field</t>
        </is>
      </c>
      <c r="L20" s="8" t="inlineStr">
        <is>
          <t>Annual Report / 10-K Filing (SEC EDGAR, Company IR Site)</t>
        </is>
      </c>
      <c r="M20" s="8" t="inlineStr">
        <is>
          <t>CIL Architecture Team</t>
        </is>
      </c>
      <c r="N20" s="8" t="inlineStr">
        <is>
          <t>2026-06-27</t>
        </is>
      </c>
      <c r="O20" s="8" t="inlineStr">
        <is>
          <t>CorpStage CIL Registry v1.0</t>
        </is>
      </c>
      <c r="P20" s="8" t="inlineStr">
        <is>
          <t>Group only (single enterprise-wide fact, does not repeat per node)</t>
        </is>
      </c>
      <c r="Q20" s="8" t="inlineStr">
        <is>
          <t>Global</t>
        </is>
      </c>
      <c r="R20" s="8" t="inlineStr">
        <is>
          <t>Tier 1 (Standard) — available to all frameworks and all customers</t>
        </is>
      </c>
      <c r="S20" s="8" t="inlineStr">
        <is>
          <t>Owned by D05 Governance Intelligence as a board and executive governance fact. Legal obligations of directors owned by D08. D05 owns the governance structure and practice intelligence; D08 owns the legal dimension of director duties.</t>
        </is>
      </c>
    </row>
    <row r="21" ht="15" customHeight="1" s="6">
      <c r="A21" s="8" t="inlineStr">
        <is>
          <t>CDE-G020</t>
        </is>
      </c>
      <c r="B21" s="8" t="inlineStr">
        <is>
          <t>Prior Election Shareholder Support Level %</t>
        </is>
      </c>
      <c r="C21" s="8" t="inlineStr">
        <is>
          <t>Numeric</t>
        </is>
      </c>
      <c r="D21" s="8" t="inlineStr">
        <is>
          <t>Recommended</t>
        </is>
      </c>
      <c r="E21" s="8" t="inlineStr">
        <is>
          <t>Optional</t>
        </is>
      </c>
      <c r="F21" s="8" t="inlineStr">
        <is>
          <t>P2</t>
        </is>
      </c>
      <c r="G21" s="8" t="inlineStr">
        <is>
          <t>0-100, numeric</t>
        </is>
      </c>
      <c r="H21" s="8" t="inlineStr">
        <is>
          <t>TYPE:NUMERIC|MIN:0|MAX:100</t>
        </is>
      </c>
      <c r="I21" s="8" t="inlineStr">
        <is>
          <t>Point-in-time</t>
        </is>
      </c>
      <c r="J21" s="8" t="inlineStr">
        <is>
          <t>One-to-many</t>
        </is>
      </c>
      <c r="K21" s="8" t="inlineStr">
        <is>
          <t>Independent per director; not aggregated (election support % is a ratio, not summable across directors)</t>
        </is>
      </c>
      <c r="L21" s="8" t="inlineStr">
        <is>
          <t>Regulatory Filings (SEC EDGAR, Companies House, National Business Registry)</t>
        </is>
      </c>
      <c r="M21" s="8" t="inlineStr">
        <is>
          <t>CIL Architecture Team</t>
        </is>
      </c>
      <c r="N21" s="8" t="inlineStr">
        <is>
          <t>2026-06-27</t>
        </is>
      </c>
      <c r="O21" s="8" t="inlineStr">
        <is>
          <t>CorpStage CIL Registry v1.0</t>
        </is>
      </c>
      <c r="P21" s="8" t="inlineStr">
        <is>
          <t>Company, Group (collected per legal entity, not below Company level)</t>
        </is>
      </c>
      <c r="Q21" s="8" t="inlineStr">
        <is>
          <t>Global</t>
        </is>
      </c>
      <c r="R21" s="8" t="inlineStr">
        <is>
          <t>Tier 1 (Standard) — available to all frameworks and all customers</t>
        </is>
      </c>
      <c r="S21" s="8" t="inlineStr">
        <is>
          <t>Owned by D05 Governance Intelligence as a board and executive governance fact. Legal obligations of directors owned by D08. D05 owns the governance structure and practice intelligence; D08 owns the legal dimension of director duties.</t>
        </is>
      </c>
    </row>
    <row r="22" ht="15" customHeight="1" s="6">
      <c r="A22" s="8" t="inlineStr">
        <is>
          <t>CDE-G021</t>
        </is>
      </c>
      <c r="B22" s="8" t="inlineStr">
        <is>
          <t>Standing Board Committee Inventory (Full List, All Committees)</t>
        </is>
      </c>
      <c r="C22" s="8" t="inlineStr">
        <is>
          <t>Text</t>
        </is>
      </c>
      <c r="D22" s="8" t="inlineStr">
        <is>
          <t>Required</t>
        </is>
      </c>
      <c r="E22" s="8" t="inlineStr">
        <is>
          <t>Multi</t>
        </is>
      </c>
      <c r="F22" s="8" t="inlineStr">
        <is>
          <t>P1</t>
        </is>
      </c>
      <c r="G22" s="8" t="inlineStr">
        <is>
          <t>Non-empty text</t>
        </is>
      </c>
      <c r="H22" s="8" t="inlineStr">
        <is>
          <t>TYPE:TEXT</t>
        </is>
      </c>
      <c r="I22" s="8" t="inlineStr">
        <is>
          <t>Effective-dated</t>
        </is>
      </c>
      <c r="J22" s="8" t="inlineStr">
        <is>
          <t>One-to-many</t>
        </is>
      </c>
      <c r="K22" s="8" t="inlineStr">
        <is>
          <t>N/A — not a one-to-many numeric field</t>
        </is>
      </c>
      <c r="L22" s="8" t="inlineStr">
        <is>
          <t>Annual Report / 10-K Filing (SEC EDGAR, Company IR Site)</t>
        </is>
      </c>
      <c r="M22" s="8" t="inlineStr">
        <is>
          <t>CIL Architecture Team</t>
        </is>
      </c>
      <c r="N22" s="8" t="inlineStr">
        <is>
          <t>2026-06-27</t>
        </is>
      </c>
      <c r="O22" s="8" t="inlineStr">
        <is>
          <t>CorpStage CIL Registry v1.0</t>
        </is>
      </c>
      <c r="P22" s="8" t="inlineStr">
        <is>
          <t>Company, Group (collected per legal entity, not below Company level)</t>
        </is>
      </c>
      <c r="Q22" s="8" t="inlineStr">
        <is>
          <t>Global</t>
        </is>
      </c>
      <c r="R22" s="8" t="inlineStr">
        <is>
          <t>Tier 1 (Standard) — available to all frameworks and all customers</t>
        </is>
      </c>
      <c r="S22" s="8" t="inlineStr">
        <is>
          <t>Owned by Governance Intelligence per Binding 6(a) — this domain owns the CROSS-COMMITTEE ARCHITECTURE VIEW (full committee inventory, oversight-allocation logic). Domain 4 Risk Intelligence's CDE-R005 through R008 (Board Risk Committee existence/frequency/chair/size) and Domain 6 Compliance &amp; Regulatory Intelligence's CDE-C019/020/126 (Board Compliance Committee existence/frequency/chair) own those TWO SPECIFIC committees' operational detail in full — this domain must reference those CDEs for Risk and Compliance committee facts, not duplicate them.</t>
        </is>
      </c>
    </row>
    <row r="23" ht="15" customHeight="1" s="6">
      <c r="A23" s="8" t="inlineStr">
        <is>
          <t>CDE-G022</t>
        </is>
      </c>
      <c r="B23" s="8" t="inlineStr">
        <is>
          <t>Committee Charter Document Exists (Per Committee)</t>
        </is>
      </c>
      <c r="C23" s="8" t="inlineStr">
        <is>
          <t>Boolean</t>
        </is>
      </c>
      <c r="D23" s="8" t="inlineStr">
        <is>
          <t>Recommended</t>
        </is>
      </c>
      <c r="E23" s="8" t="inlineStr">
        <is>
          <t>Optional</t>
        </is>
      </c>
      <c r="F23" s="8" t="inlineStr">
        <is>
          <t>P2</t>
        </is>
      </c>
      <c r="G23" s="8" t="inlineStr">
        <is>
          <t>True/False</t>
        </is>
      </c>
      <c r="H23" s="8" t="inlineStr">
        <is>
          <t>TYPE:BOOLEAN|ALLOWED:TRUE,FALSE</t>
        </is>
      </c>
      <c r="I23" s="8" t="inlineStr">
        <is>
          <t>Effective-dated</t>
        </is>
      </c>
      <c r="J23" s="8" t="inlineStr">
        <is>
          <t>One-to-many</t>
        </is>
      </c>
      <c r="K23" s="8" t="inlineStr">
        <is>
          <t>N/A — not a one-to-many numeric field</t>
        </is>
      </c>
      <c r="L23" s="8" t="inlineStr">
        <is>
          <t>Annual Report / 10-K Filing (SEC EDGAR, Company IR Site)</t>
        </is>
      </c>
      <c r="M23" s="8" t="inlineStr">
        <is>
          <t>CIL Architecture Team</t>
        </is>
      </c>
      <c r="N23" s="8" t="inlineStr">
        <is>
          <t>2026-06-27</t>
        </is>
      </c>
      <c r="O23" s="8" t="inlineStr">
        <is>
          <t>CorpStage CIL Registry v1.0</t>
        </is>
      </c>
      <c r="P23" s="8" t="inlineStr">
        <is>
          <t>Company, Group (collected per legal entity, not below Company level)</t>
        </is>
      </c>
      <c r="Q23" s="8" t="inlineStr">
        <is>
          <t>Global</t>
        </is>
      </c>
      <c r="R23" s="8" t="inlineStr">
        <is>
          <t>Tier 1 (Standard) — available to all frameworks and all customers</t>
        </is>
      </c>
      <c r="S23" s="8" t="inlineStr">
        <is>
          <t>Owned by D05 Governance Intelligence as a board and executive governance fact. Legal obligations of directors owned by D08. D05 owns the governance structure and practice intelligence; D08 owns the legal dimension of director duties.</t>
        </is>
      </c>
    </row>
    <row r="24" ht="15" customHeight="1" s="6">
      <c r="A24" s="8" t="inlineStr">
        <is>
          <t>CDE-G023</t>
        </is>
      </c>
      <c r="B24" s="8" t="inlineStr">
        <is>
          <t>Nomination &amp; Governance Committee Exists</t>
        </is>
      </c>
      <c r="C24" s="8" t="inlineStr">
        <is>
          <t>Boolean</t>
        </is>
      </c>
      <c r="D24" s="8" t="inlineStr">
        <is>
          <t>Required</t>
        </is>
      </c>
      <c r="E24" s="8" t="inlineStr">
        <is>
          <t>Multi</t>
        </is>
      </c>
      <c r="F24" s="8" t="inlineStr">
        <is>
          <t>P1</t>
        </is>
      </c>
      <c r="G24" s="8" t="inlineStr">
        <is>
          <t>True/False</t>
        </is>
      </c>
      <c r="H24" s="8" t="inlineStr">
        <is>
          <t>TYPE:BOOLEAN|ALLOWED:TRUE,FALSE</t>
        </is>
      </c>
      <c r="I24" s="8" t="inlineStr">
        <is>
          <t>Effective-dated</t>
        </is>
      </c>
      <c r="J24" s="8" t="inlineStr">
        <is>
          <t>One-to-one</t>
        </is>
      </c>
      <c r="K24" s="8" t="inlineStr">
        <is>
          <t>N/A — not a one-to-many numeric field</t>
        </is>
      </c>
      <c r="L24" s="8" t="inlineStr">
        <is>
          <t>Annual Report / 10-K Filing (SEC EDGAR, Company IR Site)</t>
        </is>
      </c>
      <c r="M24" s="8" t="inlineStr">
        <is>
          <t>CIL Architecture Team</t>
        </is>
      </c>
      <c r="N24" s="8" t="inlineStr">
        <is>
          <t>2026-06-27</t>
        </is>
      </c>
      <c r="O24" s="8" t="inlineStr">
        <is>
          <t>CorpStage CIL Registry v1.0</t>
        </is>
      </c>
      <c r="P24" s="8" t="inlineStr">
        <is>
          <t>Group only (single enterprise-wide fact, does not repeat per node)</t>
        </is>
      </c>
      <c r="Q24" s="8" t="inlineStr">
        <is>
          <t>Global</t>
        </is>
      </c>
      <c r="R24" s="8" t="inlineStr">
        <is>
          <t>Tier 1 (Standard) — available to all frameworks and all customers</t>
        </is>
      </c>
      <c r="S24" s="8" t="inlineStr">
        <is>
          <t>Owned by D05 Governance Intelligence as a board and executive governance fact. Legal obligations of directors owned by D08. D05 owns the governance structure and practice intelligence; D08 owns the legal dimension of director duties.</t>
        </is>
      </c>
    </row>
    <row r="25" ht="15" customHeight="1" s="6">
      <c r="A25" s="8" t="inlineStr">
        <is>
          <t>CDE-G024</t>
        </is>
      </c>
      <c r="B25" s="8" t="inlineStr">
        <is>
          <t>Nomination &amp; Governance Committee Member Count</t>
        </is>
      </c>
      <c r="C25" s="8" t="inlineStr">
        <is>
          <t>Numeric</t>
        </is>
      </c>
      <c r="D25" s="8" t="inlineStr">
        <is>
          <t>Recommended</t>
        </is>
      </c>
      <c r="E25" s="8" t="inlineStr">
        <is>
          <t>Optional</t>
        </is>
      </c>
      <c r="F25" s="8" t="inlineStr">
        <is>
          <t>P2</t>
        </is>
      </c>
      <c r="G25" s="8" t="inlineStr">
        <is>
          <t>&gt;=0, integer</t>
        </is>
      </c>
      <c r="H25" s="8" t="inlineStr">
        <is>
          <t>TYPE:INTEGER|MIN:0</t>
        </is>
      </c>
      <c r="I25" s="8" t="inlineStr">
        <is>
          <t>Effective-dated</t>
        </is>
      </c>
      <c r="J25" s="8" t="inlineStr">
        <is>
          <t>One-to-one</t>
        </is>
      </c>
      <c r="K25" s="8" t="inlineStr">
        <is>
          <t>N/A — not a one-to-many numeric field</t>
        </is>
      </c>
      <c r="L25" s="8" t="inlineStr">
        <is>
          <t>Annual Report / 10-K Filing (SEC EDGAR, Company IR Site)</t>
        </is>
      </c>
      <c r="M25" s="8" t="inlineStr">
        <is>
          <t>CIL Architecture Team</t>
        </is>
      </c>
      <c r="N25" s="8" t="inlineStr">
        <is>
          <t>2026-06-27</t>
        </is>
      </c>
      <c r="O25" s="8" t="inlineStr">
        <is>
          <t>CorpStage CIL Registry v1.0</t>
        </is>
      </c>
      <c r="P25" s="8" t="inlineStr">
        <is>
          <t>Group only (single enterprise-wide fact, does not repeat per node)</t>
        </is>
      </c>
      <c r="Q25" s="8" t="inlineStr">
        <is>
          <t>Global</t>
        </is>
      </c>
      <c r="R25" s="8" t="inlineStr">
        <is>
          <t>Tier 1 (Standard) — available to all frameworks and all customers</t>
        </is>
      </c>
      <c r="S25" s="8" t="inlineStr">
        <is>
          <t>Owned by D05 Governance Intelligence as a board and executive governance fact. Legal obligations of directors owned by D08. D05 owns the governance structure and practice intelligence; D08 owns the legal dimension of director duties.</t>
        </is>
      </c>
    </row>
    <row r="26" ht="15" customHeight="1" s="6">
      <c r="A26" s="8" t="inlineStr">
        <is>
          <t>CDE-G025</t>
        </is>
      </c>
      <c r="B26" s="8" t="inlineStr">
        <is>
          <t>Nomination &amp; Governance Committee Chair Name</t>
        </is>
      </c>
      <c r="C26" s="8" t="inlineStr">
        <is>
          <t>Text</t>
        </is>
      </c>
      <c r="D26" s="8" t="inlineStr">
        <is>
          <t>Supplemental</t>
        </is>
      </c>
      <c r="E26" s="8" t="inlineStr">
        <is>
          <t>Optional</t>
        </is>
      </c>
      <c r="F26" s="8" t="inlineStr">
        <is>
          <t>P3</t>
        </is>
      </c>
      <c r="G26" s="8" t="inlineStr">
        <is>
          <t>Non-empty text</t>
        </is>
      </c>
      <c r="H26" s="8" t="inlineStr">
        <is>
          <t>TYPE:TEXT</t>
        </is>
      </c>
      <c r="I26" s="8" t="inlineStr">
        <is>
          <t>Effective-dated</t>
        </is>
      </c>
      <c r="J26" s="8" t="inlineStr">
        <is>
          <t>One-to-one</t>
        </is>
      </c>
      <c r="K26" s="8" t="inlineStr">
        <is>
          <t>N/A — not a one-to-many numeric field</t>
        </is>
      </c>
      <c r="L26" s="8" t="inlineStr">
        <is>
          <t>Annual Report / 10-K Filing (SEC EDGAR, Company IR Site)</t>
        </is>
      </c>
      <c r="M26" s="8" t="inlineStr">
        <is>
          <t>CIL Architecture Team</t>
        </is>
      </c>
      <c r="N26" s="8" t="inlineStr">
        <is>
          <t>2026-06-27</t>
        </is>
      </c>
      <c r="O26" s="8" t="inlineStr">
        <is>
          <t>CorpStage CIL Registry v1.0</t>
        </is>
      </c>
      <c r="P26" s="8" t="inlineStr">
        <is>
          <t>Group only (single enterprise-wide fact, does not repeat per node)</t>
        </is>
      </c>
      <c r="Q26" s="8" t="inlineStr">
        <is>
          <t>Global</t>
        </is>
      </c>
      <c r="R26" s="8" t="inlineStr">
        <is>
          <t>Tier 1 (Standard) — available to all frameworks and all customers</t>
        </is>
      </c>
      <c r="S26" s="8" t="inlineStr">
        <is>
          <t>Owned by D05 Governance Intelligence as a board and executive governance fact. Legal obligations of directors owned by D08. D05 owns the governance structure and practice intelligence; D08 owns the legal dimension of director duties.</t>
        </is>
      </c>
    </row>
    <row r="27" ht="15" customHeight="1" s="6">
      <c r="A27" s="8" t="inlineStr">
        <is>
          <t>CDE-G026</t>
        </is>
      </c>
      <c r="B27" s="8" t="inlineStr">
        <is>
          <t>Risk-Category-to-Committee Allocation Matrix Documented</t>
        </is>
      </c>
      <c r="C27" s="8" t="inlineStr">
        <is>
          <t>Boolean</t>
        </is>
      </c>
      <c r="D27" s="8" t="inlineStr">
        <is>
          <t>Required</t>
        </is>
      </c>
      <c r="E27" s="8" t="inlineStr">
        <is>
          <t>Optional</t>
        </is>
      </c>
      <c r="F27" s="8" t="inlineStr">
        <is>
          <t>P1</t>
        </is>
      </c>
      <c r="G27" s="8" t="inlineStr">
        <is>
          <t>True/False/Unknown (tri-state)</t>
        </is>
      </c>
      <c r="H27" s="8" t="inlineStr">
        <is>
          <t>TYPE:BOOLEAN|ALLOWED:TRUE,FALSE,UNKNOWN</t>
        </is>
      </c>
      <c r="I27" s="8" t="inlineStr">
        <is>
          <t>Effective-dated</t>
        </is>
      </c>
      <c r="J27" s="8" t="inlineStr">
        <is>
          <t>One-to-one</t>
        </is>
      </c>
      <c r="K27" s="8" t="inlineStr">
        <is>
          <t>N/A — not a one-to-many numeric field</t>
        </is>
      </c>
      <c r="L27" s="8" t="inlineStr">
        <is>
          <t>User Validation</t>
        </is>
      </c>
      <c r="M27" s="8" t="inlineStr">
        <is>
          <t>CIL Architecture Team</t>
        </is>
      </c>
      <c r="N27" s="8" t="inlineStr">
        <is>
          <t>2026-06-27</t>
        </is>
      </c>
      <c r="O27" s="8" t="inlineStr">
        <is>
          <t>CorpStage CIL Registry v1.0</t>
        </is>
      </c>
      <c r="P27" s="8" t="inlineStr">
        <is>
          <t>Group only (single enterprise-wide fact, does not repeat per node)</t>
        </is>
      </c>
      <c r="Q27" s="8" t="inlineStr">
        <is>
          <t>Global</t>
        </is>
      </c>
      <c r="R27" s="8" t="inlineStr">
        <is>
          <t>Tier 1 (Standard) — available to all frameworks and all customers</t>
        </is>
      </c>
      <c r="S27" s="8" t="inlineStr">
        <is>
          <t>Owned by Governance Intelligence per Binding 6(a) — this domain owns the CROSS-COMMITTEE ARCHITECTURE VIEW (full committee inventory, oversight-allocation logic). Domain 4 Risk Intelligence's CDE-R005 through R008 (Board Risk Committee existence/frequency/chair/size) and Domain 6 Compliance &amp; Regulatory Intelligence's CDE-C019/020/126 (Board Compliance Committee existence/frequency/chair) own those TWO SPECIFIC committees' operational detail in full — this domain must reference those CDEs for Risk and Compliance committee facts, not duplicate them.</t>
        </is>
      </c>
    </row>
    <row r="28" ht="15" customHeight="1" s="6">
      <c r="A28" s="8" t="inlineStr">
        <is>
          <t>CDE-G027</t>
        </is>
      </c>
      <c r="B28" s="8" t="inlineStr">
        <is>
          <t>Oversight Gap or Duplication Identified Across Committees</t>
        </is>
      </c>
      <c r="C28" s="8" t="inlineStr">
        <is>
          <t>Text</t>
        </is>
      </c>
      <c r="D28" s="8" t="inlineStr">
        <is>
          <t>Supplemental</t>
        </is>
      </c>
      <c r="E28" s="8" t="inlineStr">
        <is>
          <t>Optional</t>
        </is>
      </c>
      <c r="F28" s="8" t="inlineStr">
        <is>
          <t>P3</t>
        </is>
      </c>
      <c r="G28" s="8" t="inlineStr">
        <is>
          <t>Non-empty text</t>
        </is>
      </c>
      <c r="H28" s="8" t="inlineStr">
        <is>
          <t>TYPE:TEXT</t>
        </is>
      </c>
      <c r="I28" s="8" t="inlineStr">
        <is>
          <t>Point-in-time</t>
        </is>
      </c>
      <c r="J28" s="8" t="inlineStr">
        <is>
          <t>One-to-many</t>
        </is>
      </c>
      <c r="K28" s="8" t="inlineStr">
        <is>
          <t>N/A — not a one-to-many numeric field</t>
        </is>
      </c>
      <c r="L28" s="8" t="inlineStr">
        <is>
          <t>User Validation</t>
        </is>
      </c>
      <c r="M28" s="8" t="inlineStr">
        <is>
          <t>CIL Architecture Team</t>
        </is>
      </c>
      <c r="N28" s="8" t="inlineStr">
        <is>
          <t>2026-06-27</t>
        </is>
      </c>
      <c r="O28" s="8" t="inlineStr">
        <is>
          <t>CorpStage CIL Registry v1.0</t>
        </is>
      </c>
      <c r="P28" s="8" t="inlineStr">
        <is>
          <t>Company, Group (collected per legal entity, not below Company level)</t>
        </is>
      </c>
      <c r="Q28" s="8" t="inlineStr">
        <is>
          <t>Global</t>
        </is>
      </c>
      <c r="R28" s="8" t="inlineStr">
        <is>
          <t>Tier 1 (Standard) — available to all frameworks and all customers</t>
        </is>
      </c>
      <c r="S28" s="8" t="inlineStr">
        <is>
          <t>Owned by D05 Governance Intelligence as a board and executive governance fact. Legal obligations of directors owned by D08. D05 owns the governance structure and practice intelligence; D08 owns the legal dimension of director duties.</t>
        </is>
      </c>
    </row>
    <row r="29" ht="15" customHeight="1" s="6">
      <c r="A29" s="8" t="inlineStr">
        <is>
          <t>CDE-G028</t>
        </is>
      </c>
      <c r="B29" s="8" t="inlineStr">
        <is>
          <t>Audit Committee Financial Expert Requirement Met</t>
        </is>
      </c>
      <c r="C29" s="8" t="inlineStr">
        <is>
          <t>Boolean</t>
        </is>
      </c>
      <c r="D29" s="8" t="inlineStr">
        <is>
          <t>Required</t>
        </is>
      </c>
      <c r="E29" s="8" t="inlineStr">
        <is>
          <t>Multi</t>
        </is>
      </c>
      <c r="F29" s="8" t="inlineStr">
        <is>
          <t>P1</t>
        </is>
      </c>
      <c r="G29" s="8" t="inlineStr">
        <is>
          <t>True/False</t>
        </is>
      </c>
      <c r="H29" s="8" t="inlineStr">
        <is>
          <t>TYPE:BOOLEAN|ALLOWED:TRUE,FALSE</t>
        </is>
      </c>
      <c r="I29" s="8" t="inlineStr">
        <is>
          <t>Effective-dated</t>
        </is>
      </c>
      <c r="J29" s="8" t="inlineStr">
        <is>
          <t>One-to-one</t>
        </is>
      </c>
      <c r="K29" s="8" t="inlineStr">
        <is>
          <t>N/A — not a one-to-many numeric field</t>
        </is>
      </c>
      <c r="L29" s="8" t="inlineStr">
        <is>
          <t>Annual Report / 10-K Filing (SEC EDGAR, Company IR Site)</t>
        </is>
      </c>
      <c r="M29" s="8" t="inlineStr">
        <is>
          <t>CIL Architecture Team</t>
        </is>
      </c>
      <c r="N29" s="8" t="inlineStr">
        <is>
          <t>2026-06-27</t>
        </is>
      </c>
      <c r="O29" s="8" t="inlineStr">
        <is>
          <t>CorpStage CIL Registry v1.0</t>
        </is>
      </c>
      <c r="P29" s="8" t="inlineStr">
        <is>
          <t>Group only (single enterprise-wide fact, does not repeat per node)</t>
        </is>
      </c>
      <c r="Q29" s="8" t="inlineStr">
        <is>
          <t>Global</t>
        </is>
      </c>
      <c r="R29" s="8" t="inlineStr">
        <is>
          <t>Tier 1 (Standard) — available to all frameworks and all customers</t>
        </is>
      </c>
      <c r="S29" s="8" t="inlineStr">
        <is>
          <t>Owned by D05 Governance Intelligence as a board and executive governance fact. Legal obligations of directors owned by D08. D05 owns the governance structure and practice intelligence; D08 owns the legal dimension of director duties.</t>
        </is>
      </c>
    </row>
    <row r="30" ht="15" customHeight="1" s="6">
      <c r="A30" s="8" t="inlineStr">
        <is>
          <t>CDE-G029</t>
        </is>
      </c>
      <c r="B30" s="8" t="inlineStr">
        <is>
          <t>Audit Committee Member Count</t>
        </is>
      </c>
      <c r="C30" s="8" t="inlineStr">
        <is>
          <t>Numeric</t>
        </is>
      </c>
      <c r="D30" s="8" t="inlineStr">
        <is>
          <t>Recommended</t>
        </is>
      </c>
      <c r="E30" s="8" t="inlineStr">
        <is>
          <t>Optional</t>
        </is>
      </c>
      <c r="F30" s="8" t="inlineStr">
        <is>
          <t>P2</t>
        </is>
      </c>
      <c r="G30" s="8" t="inlineStr">
        <is>
          <t>&gt;=0, integer</t>
        </is>
      </c>
      <c r="H30" s="8" t="inlineStr">
        <is>
          <t>TYPE:INTEGER|MIN:0</t>
        </is>
      </c>
      <c r="I30" s="8" t="inlineStr">
        <is>
          <t>Effective-dated</t>
        </is>
      </c>
      <c r="J30" s="8" t="inlineStr">
        <is>
          <t>One-to-one</t>
        </is>
      </c>
      <c r="K30" s="8" t="inlineStr">
        <is>
          <t>N/A — not a one-to-many numeric field</t>
        </is>
      </c>
      <c r="L30" s="8" t="inlineStr">
        <is>
          <t>Annual Report / 10-K Filing (SEC EDGAR, Company IR Site)</t>
        </is>
      </c>
      <c r="M30" s="8" t="inlineStr">
        <is>
          <t>CIL Architecture Team</t>
        </is>
      </c>
      <c r="N30" s="8" t="inlineStr">
        <is>
          <t>2026-06-27</t>
        </is>
      </c>
      <c r="O30" s="8" t="inlineStr">
        <is>
          <t>CorpStage CIL Registry v1.0</t>
        </is>
      </c>
      <c r="P30" s="8" t="inlineStr">
        <is>
          <t>Group only (single enterprise-wide fact, does not repeat per node)</t>
        </is>
      </c>
      <c r="Q30" s="8" t="inlineStr">
        <is>
          <t>Global</t>
        </is>
      </c>
      <c r="R30" s="8" t="inlineStr">
        <is>
          <t>Tier 1 (Standard) — available to all frameworks and all customers</t>
        </is>
      </c>
      <c r="S30" s="8" t="inlineStr">
        <is>
          <t>Owned by D05 Governance Intelligence as a board and executive governance fact. Legal obligations of directors owned by D08. D05 owns the governance structure and practice intelligence; D08 owns the legal dimension of director duties.</t>
        </is>
      </c>
    </row>
    <row r="31" ht="15" customHeight="1" s="6">
      <c r="A31" s="8" t="inlineStr">
        <is>
          <t>CDE-G030</t>
        </is>
      </c>
      <c r="B31" s="8" t="inlineStr">
        <is>
          <t>Audit Committee Independence %</t>
        </is>
      </c>
      <c r="C31" s="8" t="inlineStr">
        <is>
          <t>Numeric</t>
        </is>
      </c>
      <c r="D31" s="8" t="inlineStr">
        <is>
          <t>Recommended</t>
        </is>
      </c>
      <c r="E31" s="8" t="inlineStr">
        <is>
          <t>Multi</t>
        </is>
      </c>
      <c r="F31" s="8" t="inlineStr">
        <is>
          <t>P2</t>
        </is>
      </c>
      <c r="G31" s="8" t="inlineStr">
        <is>
          <t>0-100, numeric</t>
        </is>
      </c>
      <c r="H31" s="8" t="inlineStr">
        <is>
          <t>TYPE:NUMERIC|MIN:0|MAX:100</t>
        </is>
      </c>
      <c r="I31" s="8" t="inlineStr">
        <is>
          <t>Effective-dated</t>
        </is>
      </c>
      <c r="J31" s="8" t="inlineStr">
        <is>
          <t>One-to-one</t>
        </is>
      </c>
      <c r="K31" s="8" t="inlineStr">
        <is>
          <t>N/A — not a one-to-many numeric field</t>
        </is>
      </c>
      <c r="L31" s="8" t="inlineStr">
        <is>
          <t>Annual Report / 10-K Filing (SEC EDGAR, Company IR Site)</t>
        </is>
      </c>
      <c r="M31" s="8" t="inlineStr">
        <is>
          <t>CIL Architecture Team</t>
        </is>
      </c>
      <c r="N31" s="8" t="inlineStr">
        <is>
          <t>2026-06-27</t>
        </is>
      </c>
      <c r="O31" s="8" t="inlineStr">
        <is>
          <t>CorpStage CIL Registry v1.0</t>
        </is>
      </c>
      <c r="P31" s="8" t="inlineStr">
        <is>
          <t>Group only (single enterprise-wide fact, does not repeat per node)</t>
        </is>
      </c>
      <c r="Q31" s="8" t="inlineStr">
        <is>
          <t>Global</t>
        </is>
      </c>
      <c r="R31" s="8" t="inlineStr">
        <is>
          <t>Tier 1 (Standard) — available to all frameworks and all customers</t>
        </is>
      </c>
      <c r="S31" s="8" t="inlineStr">
        <is>
          <t>Owned by D05 Governance Intelligence as a board and executive governance fact. Legal obligations of directors owned by D08. D05 owns the governance structure and practice intelligence; D08 owns the legal dimension of director duties.</t>
        </is>
      </c>
    </row>
    <row r="32" ht="15" customHeight="1" s="6">
      <c r="A32" s="8" t="inlineStr">
        <is>
          <t>CDE-G031</t>
        </is>
      </c>
      <c r="B32" s="8" t="inlineStr">
        <is>
          <t>CEO Succession Plan Documented</t>
        </is>
      </c>
      <c r="C32" s="8" t="inlineStr">
        <is>
          <t>Boolean</t>
        </is>
      </c>
      <c r="D32" s="8" t="inlineStr">
        <is>
          <t>Required</t>
        </is>
      </c>
      <c r="E32" s="8" t="inlineStr">
        <is>
          <t>Universal</t>
        </is>
      </c>
      <c r="F32" s="8" t="inlineStr">
        <is>
          <t>P1</t>
        </is>
      </c>
      <c r="G32" s="8" t="inlineStr">
        <is>
          <t>True/False</t>
        </is>
      </c>
      <c r="H32" s="8" t="inlineStr">
        <is>
          <t>TYPE:BOOLEAN|ALLOWED:TRUE,FALSE</t>
        </is>
      </c>
      <c r="I32" s="8" t="inlineStr">
        <is>
          <t>Effective-dated</t>
        </is>
      </c>
      <c r="J32" s="8" t="inlineStr">
        <is>
          <t>One-to-one</t>
        </is>
      </c>
      <c r="K32" s="8" t="inlineStr">
        <is>
          <t>N/A — not a one-to-many numeric field</t>
        </is>
      </c>
      <c r="L32" s="8" t="inlineStr">
        <is>
          <t>Annual Report / 10-K Filing (SEC EDGAR, Company IR Site)</t>
        </is>
      </c>
      <c r="M32" s="8" t="inlineStr">
        <is>
          <t>CIL Architecture Team</t>
        </is>
      </c>
      <c r="N32" s="8" t="inlineStr">
        <is>
          <t>2026-06-27</t>
        </is>
      </c>
      <c r="O32" s="8" t="inlineStr">
        <is>
          <t>CorpStage CIL Registry v1.0</t>
        </is>
      </c>
      <c r="P32" s="8" t="inlineStr">
        <is>
          <t>Group only (single enterprise-wide fact, does not repeat per node)</t>
        </is>
      </c>
      <c r="Q32" s="8" t="inlineStr">
        <is>
          <t>Global</t>
        </is>
      </c>
      <c r="R32" s="8" t="inlineStr">
        <is>
          <t>Tier 1 (Standard) — available to all frameworks and all customers</t>
        </is>
      </c>
      <c r="S32" s="8" t="inlineStr">
        <is>
          <t>Owned by D05 Governance Intelligence as a board and executive governance fact. Legal obligations of directors owned by D08. D05 owns the governance structure and practice intelligence; D08 owns the legal dimension of director duties.</t>
        </is>
      </c>
    </row>
    <row r="33" ht="15" customHeight="1" s="6">
      <c r="A33" s="8" t="inlineStr">
        <is>
          <t>CDE-G032</t>
        </is>
      </c>
      <c r="B33" s="8" t="inlineStr">
        <is>
          <t>CEO Succession Plan Last Reviewed Date</t>
        </is>
      </c>
      <c r="C33" s="8" t="inlineStr">
        <is>
          <t>Date</t>
        </is>
      </c>
      <c r="D33" s="8" t="inlineStr">
        <is>
          <t>Recommended</t>
        </is>
      </c>
      <c r="E33" s="8" t="inlineStr">
        <is>
          <t>Multi</t>
        </is>
      </c>
      <c r="F33" s="8" t="inlineStr">
        <is>
          <t>P2</t>
        </is>
      </c>
      <c r="G33" s="8" t="inlineStr">
        <is>
          <t>Valid date</t>
        </is>
      </c>
      <c r="H33" s="8" t="inlineStr">
        <is>
          <t>TYPE:DATE</t>
        </is>
      </c>
      <c r="I33" s="8" t="inlineStr">
        <is>
          <t>Point-in-time</t>
        </is>
      </c>
      <c r="J33" s="8" t="inlineStr">
        <is>
          <t>One-to-one</t>
        </is>
      </c>
      <c r="K33" s="8" t="inlineStr">
        <is>
          <t>N/A — not a one-to-many numeric field</t>
        </is>
      </c>
      <c r="L33" s="8" t="inlineStr">
        <is>
          <t>Board Portal / Governance Records (Diligent, BoardEffect)</t>
        </is>
      </c>
      <c r="M33" s="8" t="inlineStr">
        <is>
          <t>CIL Architecture Team</t>
        </is>
      </c>
      <c r="N33" s="8" t="inlineStr">
        <is>
          <t>2026-06-27</t>
        </is>
      </c>
      <c r="O33" s="8" t="inlineStr">
        <is>
          <t>CorpStage CIL Registry v1.0</t>
        </is>
      </c>
      <c r="P33" s="8" t="inlineStr">
        <is>
          <t>Group only (single enterprise-wide fact, does not repeat per node)</t>
        </is>
      </c>
      <c r="Q33" s="8" t="inlineStr">
        <is>
          <t>Global</t>
        </is>
      </c>
      <c r="R33" s="8" t="inlineStr">
        <is>
          <t>Tier 1 (Standard) — available to all frameworks and all customers</t>
        </is>
      </c>
      <c r="S33" s="8" t="inlineStr">
        <is>
          <t>Owned by D05 Governance Intelligence as a board and executive governance fact. Legal obligations of directors owned by D08. D05 owns the governance structure and practice intelligence; D08 owns the legal dimension of director duties.</t>
        </is>
      </c>
    </row>
    <row r="34" ht="15" customHeight="1" s="6">
      <c r="A34" s="8" t="inlineStr">
        <is>
          <t>CDE-G033</t>
        </is>
      </c>
      <c r="B34" s="8" t="inlineStr">
        <is>
          <t>Emergency/Interim CEO Succession Protocol Documented</t>
        </is>
      </c>
      <c r="C34" s="8" t="inlineStr">
        <is>
          <t>Boolean</t>
        </is>
      </c>
      <c r="D34" s="8" t="inlineStr">
        <is>
          <t>Required</t>
        </is>
      </c>
      <c r="E34" s="8" t="inlineStr">
        <is>
          <t>Multi</t>
        </is>
      </c>
      <c r="F34" s="8" t="inlineStr">
        <is>
          <t>P1</t>
        </is>
      </c>
      <c r="G34" s="8" t="inlineStr">
        <is>
          <t>True/False</t>
        </is>
      </c>
      <c r="H34" s="8" t="inlineStr">
        <is>
          <t>TYPE:BOOLEAN|ALLOWED:TRUE,FALSE</t>
        </is>
      </c>
      <c r="I34" s="8" t="inlineStr">
        <is>
          <t>Effective-dated</t>
        </is>
      </c>
      <c r="J34" s="8" t="inlineStr">
        <is>
          <t>One-to-one</t>
        </is>
      </c>
      <c r="K34" s="8" t="inlineStr">
        <is>
          <t>N/A — not a one-to-many numeric field</t>
        </is>
      </c>
      <c r="L34" s="8" t="inlineStr">
        <is>
          <t>Board Portal / Governance Records (Diligent, BoardEffect)</t>
        </is>
      </c>
      <c r="M34" s="8" t="inlineStr">
        <is>
          <t>CIL Architecture Team</t>
        </is>
      </c>
      <c r="N34" s="8" t="inlineStr">
        <is>
          <t>2026-06-27</t>
        </is>
      </c>
      <c r="O34" s="8" t="inlineStr">
        <is>
          <t>CorpStage CIL Registry v1.0</t>
        </is>
      </c>
      <c r="P34" s="8" t="inlineStr">
        <is>
          <t>Group only (single enterprise-wide fact, does not repeat per node)</t>
        </is>
      </c>
      <c r="Q34" s="8" t="inlineStr">
        <is>
          <t>Global</t>
        </is>
      </c>
      <c r="R34" s="8" t="inlineStr">
        <is>
          <t>Tier 1 (Standard) — available to all frameworks and all customers</t>
        </is>
      </c>
      <c r="S34" s="8" t="inlineStr">
        <is>
          <t>Owned by D05 Governance Intelligence as a board and executive governance fact. Legal obligations of directors owned by D08. D05 owns the governance structure and practice intelligence; D08 owns the legal dimension of director duties.</t>
        </is>
      </c>
    </row>
    <row r="35" ht="15" customHeight="1" s="6">
      <c r="A35" s="8" t="inlineStr">
        <is>
          <t>CDE-G034</t>
        </is>
      </c>
      <c r="B35" s="8" t="inlineStr">
        <is>
          <t>Designated Interim CEO Successor Identified</t>
        </is>
      </c>
      <c r="C35" s="8" t="inlineStr">
        <is>
          <t>Boolean</t>
        </is>
      </c>
      <c r="D35" s="8" t="inlineStr">
        <is>
          <t>Recommended</t>
        </is>
      </c>
      <c r="E35" s="8" t="inlineStr">
        <is>
          <t>Optional</t>
        </is>
      </c>
      <c r="F35" s="8" t="inlineStr">
        <is>
          <t>P2</t>
        </is>
      </c>
      <c r="G35" s="8" t="inlineStr">
        <is>
          <t>True/False/Unknown (tri-state)</t>
        </is>
      </c>
      <c r="H35" s="8" t="inlineStr">
        <is>
          <t>TYPE:BOOLEAN|ALLOWED:TRUE,FALSE,UNKNOWN</t>
        </is>
      </c>
      <c r="I35" s="8" t="inlineStr">
        <is>
          <t>Effective-dated</t>
        </is>
      </c>
      <c r="J35" s="8" t="inlineStr">
        <is>
          <t>One-to-one</t>
        </is>
      </c>
      <c r="K35" s="8" t="inlineStr">
        <is>
          <t>N/A — not a one-to-many numeric field</t>
        </is>
      </c>
      <c r="L35" s="8" t="inlineStr">
        <is>
          <t>Board Portal / Governance Records (Diligent, BoardEffect)</t>
        </is>
      </c>
      <c r="M35" s="8" t="inlineStr">
        <is>
          <t>CIL Architecture Team</t>
        </is>
      </c>
      <c r="N35" s="8" t="inlineStr">
        <is>
          <t>2026-06-27</t>
        </is>
      </c>
      <c r="O35" s="8" t="inlineStr">
        <is>
          <t>CorpStage CIL Registry v1.0</t>
        </is>
      </c>
      <c r="P35" s="8" t="inlineStr">
        <is>
          <t>Group only (single enterprise-wide fact, does not repeat per node)</t>
        </is>
      </c>
      <c r="Q35" s="8" t="inlineStr">
        <is>
          <t>Global</t>
        </is>
      </c>
      <c r="R35" s="8" t="inlineStr">
        <is>
          <t>Tier 1 (Standard) — available to all frameworks and all customers</t>
        </is>
      </c>
      <c r="S35" s="8" t="inlineStr">
        <is>
          <t>Owned by D05 Governance Intelligence as a board and executive governance fact. Legal obligations of directors owned by D08. D05 owns the governance structure and practice intelligence; D08 owns the legal dimension of director duties.</t>
        </is>
      </c>
    </row>
    <row r="36" ht="15" customHeight="1" s="6">
      <c r="A36" s="8" t="inlineStr">
        <is>
          <t>CDE-G035</t>
        </is>
      </c>
      <c r="B36" s="8" t="inlineStr">
        <is>
          <t>Formal CEO Performance Evaluation Process Exists</t>
        </is>
      </c>
      <c r="C36" s="8" t="inlineStr">
        <is>
          <t>Boolean</t>
        </is>
      </c>
      <c r="D36" s="8" t="inlineStr">
        <is>
          <t>Required</t>
        </is>
      </c>
      <c r="E36" s="8" t="inlineStr">
        <is>
          <t>Multi</t>
        </is>
      </c>
      <c r="F36" s="8" t="inlineStr">
        <is>
          <t>P1</t>
        </is>
      </c>
      <c r="G36" s="8" t="inlineStr">
        <is>
          <t>True/False</t>
        </is>
      </c>
      <c r="H36" s="8" t="inlineStr">
        <is>
          <t>TYPE:BOOLEAN|ALLOWED:TRUE,FALSE</t>
        </is>
      </c>
      <c r="I36" s="8" t="inlineStr">
        <is>
          <t>Effective-dated</t>
        </is>
      </c>
      <c r="J36" s="8" t="inlineStr">
        <is>
          <t>One-to-one</t>
        </is>
      </c>
      <c r="K36" s="8" t="inlineStr">
        <is>
          <t>N/A — not a one-to-many numeric field</t>
        </is>
      </c>
      <c r="L36" s="8" t="inlineStr">
        <is>
          <t>Annual Report / 10-K Filing (SEC EDGAR, Company IR Site)</t>
        </is>
      </c>
      <c r="M36" s="8" t="inlineStr">
        <is>
          <t>CIL Architecture Team</t>
        </is>
      </c>
      <c r="N36" s="8" t="inlineStr">
        <is>
          <t>2026-06-27</t>
        </is>
      </c>
      <c r="O36" s="8" t="inlineStr">
        <is>
          <t>CorpStage CIL Registry v1.0</t>
        </is>
      </c>
      <c r="P36" s="8" t="inlineStr">
        <is>
          <t>Group only (single enterprise-wide fact, does not repeat per node)</t>
        </is>
      </c>
      <c r="Q36" s="8" t="inlineStr">
        <is>
          <t>Global</t>
        </is>
      </c>
      <c r="R36" s="8" t="inlineStr">
        <is>
          <t>Tier 1 (Standard) — available to all frameworks and all customers</t>
        </is>
      </c>
      <c r="S36" s="8" t="inlineStr">
        <is>
          <t>Owned by D05 Governance Intelligence as a board and executive governance fact. Legal obligations of directors owned by D08. D05 owns the governance structure and practice intelligence; D08 owns the legal dimension of director duties.</t>
        </is>
      </c>
    </row>
    <row r="37" ht="15" customHeight="1" s="6">
      <c r="A37" s="8" t="inlineStr">
        <is>
          <t>CDE-G036</t>
        </is>
      </c>
      <c r="B37" s="8" t="inlineStr">
        <is>
          <t>CEO Evaluation Frequency</t>
        </is>
      </c>
      <c r="C37" s="8" t="inlineStr">
        <is>
          <t>Text</t>
        </is>
      </c>
      <c r="D37" s="8" t="inlineStr">
        <is>
          <t>Recommended</t>
        </is>
      </c>
      <c r="E37" s="8" t="inlineStr">
        <is>
          <t>Optional</t>
        </is>
      </c>
      <c r="F37" s="8" t="inlineStr">
        <is>
          <t>P2</t>
        </is>
      </c>
      <c r="G37" s="8" t="inlineStr">
        <is>
          <t>Annual/Semi-Annual/Other</t>
        </is>
      </c>
      <c r="H37" s="8" t="inlineStr">
        <is>
          <t>TYPE:ENUM|ALLOWED:ANNUAL,SEMI_ANNUAL,OTHER</t>
        </is>
      </c>
      <c r="I37" s="8" t="inlineStr">
        <is>
          <t>Effective-dated</t>
        </is>
      </c>
      <c r="J37" s="8" t="inlineStr">
        <is>
          <t>One-to-one</t>
        </is>
      </c>
      <c r="K37" s="8" t="inlineStr">
        <is>
          <t>N/A — not a one-to-many numeric field</t>
        </is>
      </c>
      <c r="L37" s="8" t="inlineStr">
        <is>
          <t>Board Portal / Governance Records (Diligent, BoardEffect)</t>
        </is>
      </c>
      <c r="M37" s="8" t="inlineStr">
        <is>
          <t>CIL Architecture Team</t>
        </is>
      </c>
      <c r="N37" s="8" t="inlineStr">
        <is>
          <t>2026-06-27</t>
        </is>
      </c>
      <c r="O37" s="8" t="inlineStr">
        <is>
          <t>CorpStage CIL Registry v1.0</t>
        </is>
      </c>
      <c r="P37" s="8" t="inlineStr">
        <is>
          <t>Group only (single enterprise-wide fact, does not repeat per node)</t>
        </is>
      </c>
      <c r="Q37" s="8" t="inlineStr">
        <is>
          <t>Global</t>
        </is>
      </c>
      <c r="R37" s="8" t="inlineStr">
        <is>
          <t>Tier 1 (Standard) — available to all frameworks and all customers</t>
        </is>
      </c>
      <c r="S37" s="8" t="inlineStr">
        <is>
          <t>Owned by D05 Governance Intelligence as a board and executive governance fact. Legal obligations of directors owned by D08. D05 owns the governance structure and practice intelligence; D08 owns the legal dimension of director duties.</t>
        </is>
      </c>
    </row>
    <row r="38" ht="15" customHeight="1" s="6">
      <c r="A38" s="8" t="inlineStr">
        <is>
          <t>CDE-G037</t>
        </is>
      </c>
      <c r="B38" s="8" t="inlineStr">
        <is>
          <t>Executive Succession Pipeline Depth Documented (Below CEO Level)</t>
        </is>
      </c>
      <c r="C38" s="8" t="inlineStr">
        <is>
          <t>Boolean</t>
        </is>
      </c>
      <c r="D38" s="8" t="inlineStr">
        <is>
          <t>Recommended</t>
        </is>
      </c>
      <c r="E38" s="8" t="inlineStr">
        <is>
          <t>Optional</t>
        </is>
      </c>
      <c r="F38" s="8" t="inlineStr">
        <is>
          <t>P2</t>
        </is>
      </c>
      <c r="G38" s="8" t="inlineStr">
        <is>
          <t>True/False/Unknown (tri-state)</t>
        </is>
      </c>
      <c r="H38" s="8" t="inlineStr">
        <is>
          <t>TYPE:BOOLEAN|ALLOWED:TRUE,FALSE,UNKNOWN</t>
        </is>
      </c>
      <c r="I38" s="8" t="inlineStr">
        <is>
          <t>Effective-dated</t>
        </is>
      </c>
      <c r="J38" s="8" t="inlineStr">
        <is>
          <t>One-to-one</t>
        </is>
      </c>
      <c r="K38" s="8" t="inlineStr">
        <is>
          <t>N/A — not a one-to-many numeric field</t>
        </is>
      </c>
      <c r="L38" s="8" t="inlineStr">
        <is>
          <t>User Validation</t>
        </is>
      </c>
      <c r="M38" s="8" t="inlineStr">
        <is>
          <t>CIL Architecture Team</t>
        </is>
      </c>
      <c r="N38" s="8" t="inlineStr">
        <is>
          <t>2026-06-27</t>
        </is>
      </c>
      <c r="O38" s="8" t="inlineStr">
        <is>
          <t>CorpStage CIL Registry v1.0</t>
        </is>
      </c>
      <c r="P38" s="8" t="inlineStr">
        <is>
          <t>Group only (single enterprise-wide fact, does not repeat per node)</t>
        </is>
      </c>
      <c r="Q38" s="8" t="inlineStr">
        <is>
          <t>Global</t>
        </is>
      </c>
      <c r="R38" s="8" t="inlineStr">
        <is>
          <t>Tier 1 (Standard) — available to all frameworks and all customers</t>
        </is>
      </c>
      <c r="S38" s="8" t="inlineStr">
        <is>
          <t>Owned by D05 Governance Intelligence as a board and executive governance fact. Legal obligations of directors owned by D08. D05 owns the governance structure and practice intelligence; D08 owns the legal dimension of director duties.</t>
        </is>
      </c>
    </row>
    <row r="39" ht="15" customHeight="1" s="6">
      <c r="A39" s="8" t="inlineStr">
        <is>
          <t>CDE-G038</t>
        </is>
      </c>
      <c r="B39" s="8" t="inlineStr">
        <is>
          <t>Critical Executive Roles Without an Identified Successor (Count)</t>
        </is>
      </c>
      <c r="C39" s="8" t="inlineStr">
        <is>
          <t>Numeric</t>
        </is>
      </c>
      <c r="D39" s="8" t="inlineStr">
        <is>
          <t>Supplemental</t>
        </is>
      </c>
      <c r="E39" s="8" t="inlineStr">
        <is>
          <t>Optional</t>
        </is>
      </c>
      <c r="F39" s="8" t="inlineStr">
        <is>
          <t>P3</t>
        </is>
      </c>
      <c r="G39" s="8" t="inlineStr">
        <is>
          <t>&gt;=0, integer</t>
        </is>
      </c>
      <c r="H39" s="8" t="inlineStr">
        <is>
          <t>TYPE:INTEGER|MIN:0</t>
        </is>
      </c>
      <c r="I39" s="8" t="inlineStr">
        <is>
          <t>Point-in-time</t>
        </is>
      </c>
      <c r="J39" s="8" t="inlineStr">
        <is>
          <t>One-to-one</t>
        </is>
      </c>
      <c r="K39" s="8" t="inlineStr">
        <is>
          <t>N/A — not a one-to-many numeric field</t>
        </is>
      </c>
      <c r="L39" s="8" t="inlineStr">
        <is>
          <t>User Validation</t>
        </is>
      </c>
      <c r="M39" s="8" t="inlineStr">
        <is>
          <t>CIL Architecture Team</t>
        </is>
      </c>
      <c r="N39" s="8" t="inlineStr">
        <is>
          <t>2026-06-27</t>
        </is>
      </c>
      <c r="O39" s="8" t="inlineStr">
        <is>
          <t>CorpStage CIL Registry v1.0</t>
        </is>
      </c>
      <c r="P39" s="8" t="inlineStr">
        <is>
          <t>Group only (single enterprise-wide fact, does not repeat per node)</t>
        </is>
      </c>
      <c r="Q39" s="8" t="inlineStr">
        <is>
          <t>Global</t>
        </is>
      </c>
      <c r="R39" s="8" t="inlineStr">
        <is>
          <t>Tier 1 (Standard) — available to all frameworks and all customers</t>
        </is>
      </c>
      <c r="S39" s="8" t="inlineStr">
        <is>
          <t>Owned by D05 Governance Intelligence as a board and executive governance fact. Legal obligations of directors owned by D08. D05 owns the governance structure and practice intelligence; D08 owns the legal dimension of director duties.</t>
        </is>
      </c>
    </row>
    <row r="40" ht="15" customHeight="1" s="6">
      <c r="A40" s="8" t="inlineStr">
        <is>
          <t>CDE-G039</t>
        </is>
      </c>
      <c r="B40" s="8" t="inlineStr">
        <is>
          <t>Compensation Committee Exists and Governs Executive Pay Design</t>
        </is>
      </c>
      <c r="C40" s="8" t="inlineStr">
        <is>
          <t>Boolean</t>
        </is>
      </c>
      <c r="D40" s="8" t="inlineStr">
        <is>
          <t>Required</t>
        </is>
      </c>
      <c r="E40" s="8" t="inlineStr">
        <is>
          <t>Universal</t>
        </is>
      </c>
      <c r="F40" s="8" t="inlineStr">
        <is>
          <t>P1</t>
        </is>
      </c>
      <c r="G40" s="8" t="inlineStr">
        <is>
          <t>True/False</t>
        </is>
      </c>
      <c r="H40" s="8" t="inlineStr">
        <is>
          <t>TYPE:BOOLEAN|ALLOWED:TRUE,FALSE</t>
        </is>
      </c>
      <c r="I40" s="8" t="inlineStr">
        <is>
          <t>Effective-dated</t>
        </is>
      </c>
      <c r="J40" s="8" t="inlineStr">
        <is>
          <t>One-to-one</t>
        </is>
      </c>
      <c r="K40" s="8" t="inlineStr">
        <is>
          <t>N/A — not a one-to-many numeric field</t>
        </is>
      </c>
      <c r="L40" s="8" t="inlineStr">
        <is>
          <t>Annual Report / 10-K Filing (SEC EDGAR, Company IR Site)</t>
        </is>
      </c>
      <c r="M40" s="8" t="inlineStr">
        <is>
          <t>CIL Architecture Team</t>
        </is>
      </c>
      <c r="N40" s="8" t="inlineStr">
        <is>
          <t>2026-06-27</t>
        </is>
      </c>
      <c r="O40" s="8" t="inlineStr">
        <is>
          <t>CorpStage CIL Registry v1.0</t>
        </is>
      </c>
      <c r="P40" s="8" t="inlineStr">
        <is>
          <t>Group only (single enterprise-wide fact, does not repeat per node)</t>
        </is>
      </c>
      <c r="Q40" s="8" t="inlineStr">
        <is>
          <t>Global</t>
        </is>
      </c>
      <c r="R40" s="8" t="inlineStr">
        <is>
          <t>Tier 1 (Standard) — available to all frameworks and all customers</t>
        </is>
      </c>
      <c r="S40" s="8" t="inlineStr">
        <is>
          <t>Owned by Governance Intelligence per Binding 6(a) — distinct from Domain 7 ESG &amp; Sustainability Intelligence's CDE-E080/081 (Executive Compensation Linked to Sustainability Metrics), which capture only the sustainability-linkage slice of compensation. This domain owns the full compensation-governance architecture (process, ratio, say-on-pay).</t>
        </is>
      </c>
    </row>
    <row r="41" ht="15" customHeight="1" s="6">
      <c r="A41" s="8" t="inlineStr">
        <is>
          <t>CDE-G040</t>
        </is>
      </c>
      <c r="B41" s="8" t="inlineStr">
        <is>
          <t>Compensation Committee Independence %</t>
        </is>
      </c>
      <c r="C41" s="8" t="inlineStr">
        <is>
          <t>Numeric</t>
        </is>
      </c>
      <c r="D41" s="8" t="inlineStr">
        <is>
          <t>Recommended</t>
        </is>
      </c>
      <c r="E41" s="8" t="inlineStr">
        <is>
          <t>Multi</t>
        </is>
      </c>
      <c r="F41" s="8" t="inlineStr">
        <is>
          <t>P2</t>
        </is>
      </c>
      <c r="G41" s="8" t="inlineStr">
        <is>
          <t>0-100, numeric</t>
        </is>
      </c>
      <c r="H41" s="8" t="inlineStr">
        <is>
          <t>TYPE:NUMERIC|MIN:0|MAX:100</t>
        </is>
      </c>
      <c r="I41" s="8" t="inlineStr">
        <is>
          <t>Effective-dated</t>
        </is>
      </c>
      <c r="J41" s="8" t="inlineStr">
        <is>
          <t>One-to-one</t>
        </is>
      </c>
      <c r="K41" s="8" t="inlineStr">
        <is>
          <t>N/A — not a one-to-many numeric field</t>
        </is>
      </c>
      <c r="L41" s="8" t="inlineStr">
        <is>
          <t>Annual Report / 10-K Filing (SEC EDGAR, Company IR Site)</t>
        </is>
      </c>
      <c r="M41" s="8" t="inlineStr">
        <is>
          <t>CIL Architecture Team</t>
        </is>
      </c>
      <c r="N41" s="8" t="inlineStr">
        <is>
          <t>2026-06-27</t>
        </is>
      </c>
      <c r="O41" s="8" t="inlineStr">
        <is>
          <t>CorpStage CIL Registry v1.0</t>
        </is>
      </c>
      <c r="P41" s="8" t="inlineStr">
        <is>
          <t>Group only (single enterprise-wide fact, does not repeat per node)</t>
        </is>
      </c>
      <c r="Q41" s="8" t="inlineStr">
        <is>
          <t>Global</t>
        </is>
      </c>
      <c r="R41" s="8" t="inlineStr">
        <is>
          <t>Tier 1 (Standard) — available to all frameworks and all customers</t>
        </is>
      </c>
      <c r="S41" s="8" t="inlineStr">
        <is>
          <t>Owned by D05 Governance Intelligence as a board and executive governance fact. Legal obligations of directors owned by D08. D05 owns the governance structure and practice intelligence; D08 owns the legal dimension of director duties.</t>
        </is>
      </c>
    </row>
    <row r="42" ht="15" customHeight="1" s="6">
      <c r="A42" s="8" t="inlineStr">
        <is>
          <t>CDE-G041</t>
        </is>
      </c>
      <c r="B42" s="8" t="inlineStr">
        <is>
          <t>CEO Pay Ratio (CEO Compensation to Median Employee Compensation)</t>
        </is>
      </c>
      <c r="C42" s="8" t="inlineStr">
        <is>
          <t>Numeric</t>
        </is>
      </c>
      <c r="D42" s="8" t="inlineStr">
        <is>
          <t>Required</t>
        </is>
      </c>
      <c r="E42" s="8" t="inlineStr">
        <is>
          <t>Multi</t>
        </is>
      </c>
      <c r="F42" s="8" t="inlineStr">
        <is>
          <t>P1</t>
        </is>
      </c>
      <c r="G42" s="8" t="inlineStr">
        <is>
          <t>&gt;=0, numeric</t>
        </is>
      </c>
      <c r="H42" s="8" t="inlineStr">
        <is>
          <t>TYPE:NUMERIC|MIN:0</t>
        </is>
      </c>
      <c r="I42" s="8" t="inlineStr">
        <is>
          <t>Effective-dated</t>
        </is>
      </c>
      <c r="J42" s="8" t="inlineStr">
        <is>
          <t>One-to-one</t>
        </is>
      </c>
      <c r="K42" s="8" t="inlineStr">
        <is>
          <t>N/A — not a one-to-many numeric field</t>
        </is>
      </c>
      <c r="L42" s="8" t="inlineStr">
        <is>
          <t>Regulatory Filings (SEC EDGAR, Companies House, National Business Registry)</t>
        </is>
      </c>
      <c r="M42" s="8" t="inlineStr">
        <is>
          <t>CIL Architecture Team</t>
        </is>
      </c>
      <c r="N42" s="8" t="inlineStr">
        <is>
          <t>2026-06-27</t>
        </is>
      </c>
      <c r="O42" s="8" t="inlineStr">
        <is>
          <t>CorpStage CIL Registry v1.0</t>
        </is>
      </c>
      <c r="P42" s="8" t="inlineStr">
        <is>
          <t>Group only (single enterprise-wide fact, does not repeat per node)</t>
        </is>
      </c>
      <c r="Q42" s="8" t="inlineStr">
        <is>
          <t>Global</t>
        </is>
      </c>
      <c r="R42" s="8" t="inlineStr">
        <is>
          <t>Tier 1 (Standard) — available to all frameworks and all customers</t>
        </is>
      </c>
      <c r="S42" s="8" t="inlineStr">
        <is>
          <t>Owned by D05 Governance Intelligence as a board and executive governance fact. Legal obligations of directors owned by D08. D05 owns the governance structure and practice intelligence; D08 owns the legal dimension of director duties.</t>
        </is>
      </c>
    </row>
    <row r="43" ht="15" customHeight="1" s="6">
      <c r="A43" s="8" t="inlineStr">
        <is>
          <t>CDE-G042</t>
        </is>
      </c>
      <c r="B43" s="8" t="inlineStr">
        <is>
          <t>Say-on-Pay Vote Result (% Support)</t>
        </is>
      </c>
      <c r="C43" s="8" t="inlineStr">
        <is>
          <t>Numeric</t>
        </is>
      </c>
      <c r="D43" s="8" t="inlineStr">
        <is>
          <t>Required</t>
        </is>
      </c>
      <c r="E43" s="8" t="inlineStr">
        <is>
          <t>Multi</t>
        </is>
      </c>
      <c r="F43" s="8" t="inlineStr">
        <is>
          <t>P1</t>
        </is>
      </c>
      <c r="G43" s="8" t="inlineStr">
        <is>
          <t>0-100, numeric</t>
        </is>
      </c>
      <c r="H43" s="8" t="inlineStr">
        <is>
          <t>TYPE:NUMERIC|MIN:0|MAX:100</t>
        </is>
      </c>
      <c r="I43" s="8" t="inlineStr">
        <is>
          <t>Point-in-time</t>
        </is>
      </c>
      <c r="J43" s="8" t="inlineStr">
        <is>
          <t>One-to-one</t>
        </is>
      </c>
      <c r="K43" s="8" t="inlineStr">
        <is>
          <t>N/A — not a one-to-many numeric field</t>
        </is>
      </c>
      <c r="L43" s="8" t="inlineStr">
        <is>
          <t>Regulatory Filings (SEC EDGAR, Companies House, National Business Registry)</t>
        </is>
      </c>
      <c r="M43" s="8" t="inlineStr">
        <is>
          <t>CIL Architecture Team</t>
        </is>
      </c>
      <c r="N43" s="8" t="inlineStr">
        <is>
          <t>2026-06-27</t>
        </is>
      </c>
      <c r="O43" s="8" t="inlineStr">
        <is>
          <t>CorpStage CIL Registry v1.0</t>
        </is>
      </c>
      <c r="P43" s="8" t="inlineStr">
        <is>
          <t>Group only (single enterprise-wide fact, does not repeat per node)</t>
        </is>
      </c>
      <c r="Q43" s="8" t="inlineStr">
        <is>
          <t>Global</t>
        </is>
      </c>
      <c r="R43" s="8" t="inlineStr">
        <is>
          <t>Tier 1 (Standard) — available to all frameworks and all customers</t>
        </is>
      </c>
      <c r="S43" s="8" t="inlineStr">
        <is>
          <t>Owned by D05 Governance Intelligence as a board and executive governance fact. Legal obligations of directors owned by D08. D05 owns the governance structure and practice intelligence; D08 owns the legal dimension of director duties.</t>
        </is>
      </c>
    </row>
    <row r="44" ht="15" customHeight="1" s="6">
      <c r="A44" s="8" t="inlineStr">
        <is>
          <t>CDE-G043</t>
        </is>
      </c>
      <c r="B44" s="8" t="inlineStr">
        <is>
          <t>Board Response to Say-on-Pay Result Documented (If Below Threshold)</t>
        </is>
      </c>
      <c r="C44" s="8" t="inlineStr">
        <is>
          <t>Text</t>
        </is>
      </c>
      <c r="D44" s="8" t="inlineStr">
        <is>
          <t>Recommended</t>
        </is>
      </c>
      <c r="E44" s="8" t="inlineStr">
        <is>
          <t>Optional</t>
        </is>
      </c>
      <c r="F44" s="8" t="inlineStr">
        <is>
          <t>P2</t>
        </is>
      </c>
      <c r="G44" s="8" t="inlineStr">
        <is>
          <t>Non-empty text</t>
        </is>
      </c>
      <c r="H44" s="8" t="inlineStr">
        <is>
          <t>TYPE:TEXT</t>
        </is>
      </c>
      <c r="I44" s="8" t="inlineStr">
        <is>
          <t>Point-in-time</t>
        </is>
      </c>
      <c r="J44" s="8" t="inlineStr">
        <is>
          <t>One-to-one</t>
        </is>
      </c>
      <c r="K44" s="8" t="inlineStr">
        <is>
          <t>N/A — not a one-to-many numeric field</t>
        </is>
      </c>
      <c r="L44" s="8" t="inlineStr">
        <is>
          <t>Annual Report / 10-K Filing (SEC EDGAR, Company IR Site)</t>
        </is>
      </c>
      <c r="M44" s="8" t="inlineStr">
        <is>
          <t>CIL Architecture Team</t>
        </is>
      </c>
      <c r="N44" s="8" t="inlineStr">
        <is>
          <t>2026-06-27</t>
        </is>
      </c>
      <c r="O44" s="8" t="inlineStr">
        <is>
          <t>CorpStage CIL Registry v1.0</t>
        </is>
      </c>
      <c r="P44" s="8" t="inlineStr">
        <is>
          <t>Group only (single enterprise-wide fact, does not repeat per node)</t>
        </is>
      </c>
      <c r="Q44" s="8" t="inlineStr">
        <is>
          <t>Global</t>
        </is>
      </c>
      <c r="R44" s="8" t="inlineStr">
        <is>
          <t>Tier 1 (Standard) — available to all frameworks and all customers</t>
        </is>
      </c>
      <c r="S44" s="8" t="inlineStr">
        <is>
          <t>Owned by D05 Governance Intelligence as a board and executive governance fact. Legal obligations of directors owned by D08. D05 owns the governance structure and practice intelligence; D08 owns the legal dimension of director duties.</t>
        </is>
      </c>
    </row>
    <row r="45" ht="15" customHeight="1" s="6">
      <c r="A45" s="8" t="inlineStr">
        <is>
          <t>CDE-G044</t>
        </is>
      </c>
      <c r="B45" s="8" t="inlineStr">
        <is>
          <t>Director Compensation Structure Documented</t>
        </is>
      </c>
      <c r="C45" s="8" t="inlineStr">
        <is>
          <t>Boolean</t>
        </is>
      </c>
      <c r="D45" s="8" t="inlineStr">
        <is>
          <t>Recommended</t>
        </is>
      </c>
      <c r="E45" s="8" t="inlineStr">
        <is>
          <t>Optional</t>
        </is>
      </c>
      <c r="F45" s="8" t="inlineStr">
        <is>
          <t>P2</t>
        </is>
      </c>
      <c r="G45" s="8" t="inlineStr">
        <is>
          <t>True/False</t>
        </is>
      </c>
      <c r="H45" s="8" t="inlineStr">
        <is>
          <t>TYPE:BOOLEAN|ALLOWED:TRUE,FALSE</t>
        </is>
      </c>
      <c r="I45" s="8" t="inlineStr">
        <is>
          <t>Effective-dated</t>
        </is>
      </c>
      <c r="J45" s="8" t="inlineStr">
        <is>
          <t>One-to-one</t>
        </is>
      </c>
      <c r="K45" s="8" t="inlineStr">
        <is>
          <t>N/A — not a one-to-many numeric field</t>
        </is>
      </c>
      <c r="L45" s="8" t="inlineStr">
        <is>
          <t>Annual Report / 10-K Filing (SEC EDGAR, Company IR Site)</t>
        </is>
      </c>
      <c r="M45" s="8" t="inlineStr">
        <is>
          <t>CIL Architecture Team</t>
        </is>
      </c>
      <c r="N45" s="8" t="inlineStr">
        <is>
          <t>2026-06-27</t>
        </is>
      </c>
      <c r="O45" s="8" t="inlineStr">
        <is>
          <t>CorpStage CIL Registry v1.0</t>
        </is>
      </c>
      <c r="P45" s="8" t="inlineStr">
        <is>
          <t>Group only (single enterprise-wide fact, does not repeat per node)</t>
        </is>
      </c>
      <c r="Q45" s="8" t="inlineStr">
        <is>
          <t>Global</t>
        </is>
      </c>
      <c r="R45" s="8" t="inlineStr">
        <is>
          <t>Tier 1 (Standard) — available to all frameworks and all customers</t>
        </is>
      </c>
      <c r="S45" s="8" t="inlineStr">
        <is>
          <t>Owned by D05 Governance Intelligence as a board and executive governance fact. Legal obligations of directors owned by D08. D05 owns the governance structure and practice intelligence; D08 owns the legal dimension of director duties.</t>
        </is>
      </c>
    </row>
    <row r="46" ht="15" customHeight="1" s="6">
      <c r="A46" s="8" t="inlineStr">
        <is>
          <t>CDE-G045</t>
        </is>
      </c>
      <c r="B46" s="8" t="inlineStr">
        <is>
          <t>Director Compensation Benchmarked by Independent Consultant</t>
        </is>
      </c>
      <c r="C46" s="8" t="inlineStr">
        <is>
          <t>Boolean</t>
        </is>
      </c>
      <c r="D46" s="8" t="inlineStr">
        <is>
          <t>Supplemental</t>
        </is>
      </c>
      <c r="E46" s="8" t="inlineStr">
        <is>
          <t>Optional</t>
        </is>
      </c>
      <c r="F46" s="8" t="inlineStr">
        <is>
          <t>P3</t>
        </is>
      </c>
      <c r="G46" s="8" t="inlineStr">
        <is>
          <t>True/False/Unknown (tri-state)</t>
        </is>
      </c>
      <c r="H46" s="8" t="inlineStr">
        <is>
          <t>TYPE:BOOLEAN|ALLOWED:TRUE,FALSE,UNKNOWN</t>
        </is>
      </c>
      <c r="I46" s="8" t="inlineStr">
        <is>
          <t>Effective-dated</t>
        </is>
      </c>
      <c r="J46" s="8" t="inlineStr">
        <is>
          <t>One-to-one</t>
        </is>
      </c>
      <c r="K46" s="8" t="inlineStr">
        <is>
          <t>N/A — not a one-to-many numeric field</t>
        </is>
      </c>
      <c r="L46" s="8" t="inlineStr">
        <is>
          <t>User Validation</t>
        </is>
      </c>
      <c r="M46" s="8" t="inlineStr">
        <is>
          <t>CIL Architecture Team</t>
        </is>
      </c>
      <c r="N46" s="8" t="inlineStr">
        <is>
          <t>2026-06-27</t>
        </is>
      </c>
      <c r="O46" s="8" t="inlineStr">
        <is>
          <t>CorpStage CIL Registry v1.0</t>
        </is>
      </c>
      <c r="P46" s="8" t="inlineStr">
        <is>
          <t>Group only (single enterprise-wide fact, does not repeat per node)</t>
        </is>
      </c>
      <c r="Q46" s="8" t="inlineStr">
        <is>
          <t>Global</t>
        </is>
      </c>
      <c r="R46" s="8" t="inlineStr">
        <is>
          <t>Tier 1 (Standard) — available to all frameworks and all customers</t>
        </is>
      </c>
      <c r="S46" s="8" t="inlineStr">
        <is>
          <t>Owned by D05 Governance Intelligence as a board and executive governance fact. Legal obligations of directors owned by D08. D05 owns the governance structure and practice intelligence; D08 owns the legal dimension of director duties.</t>
        </is>
      </c>
    </row>
    <row r="47" ht="15" customHeight="1" s="6">
      <c r="A47" s="8" t="inlineStr">
        <is>
          <t>CDE-G046</t>
        </is>
      </c>
      <c r="B47" s="8" t="inlineStr">
        <is>
          <t>Shareholder Voting Rights Structure (One-Share-One-Vote/Dual-Class/Other)</t>
        </is>
      </c>
      <c r="C47" s="8" t="inlineStr">
        <is>
          <t>Text</t>
        </is>
      </c>
      <c r="D47" s="8" t="inlineStr">
        <is>
          <t>Required</t>
        </is>
      </c>
      <c r="E47" s="8" t="inlineStr">
        <is>
          <t>Universal</t>
        </is>
      </c>
      <c r="F47" s="8" t="inlineStr">
        <is>
          <t>P1</t>
        </is>
      </c>
      <c r="G47" s="8" t="inlineStr">
        <is>
          <t>Non-empty text</t>
        </is>
      </c>
      <c r="H47" s="8" t="inlineStr">
        <is>
          <t>TYPE:TEXT</t>
        </is>
      </c>
      <c r="I47" s="8" t="inlineStr">
        <is>
          <t>Effective-dated</t>
        </is>
      </c>
      <c r="J47" s="8" t="inlineStr">
        <is>
          <t>One-to-one</t>
        </is>
      </c>
      <c r="K47" s="8" t="inlineStr">
        <is>
          <t>N/A — not a one-to-many numeric field</t>
        </is>
      </c>
      <c r="L47" s="8" t="inlineStr">
        <is>
          <t>Annual Report / 10-K Filing (SEC EDGAR, Company IR Site)</t>
        </is>
      </c>
      <c r="M47" s="8" t="inlineStr">
        <is>
          <t>CIL Architecture Team</t>
        </is>
      </c>
      <c r="N47" s="8" t="inlineStr">
        <is>
          <t>2026-06-27</t>
        </is>
      </c>
      <c r="O47" s="8" t="inlineStr">
        <is>
          <t>CorpStage CIL Registry v1.0</t>
        </is>
      </c>
      <c r="P47" s="8" t="inlineStr">
        <is>
          <t>Group only (single enterprise-wide fact, does not repeat per node)</t>
        </is>
      </c>
      <c r="Q47" s="8" t="inlineStr">
        <is>
          <t>Global</t>
        </is>
      </c>
      <c r="R47" s="8" t="inlineStr">
        <is>
          <t>Tier 1 (Standard) — available to all frameworks and all customers</t>
        </is>
      </c>
      <c r="S47" s="8" t="inlineStr">
        <is>
          <t>Owned by Governance Intelligence per Binding 6(a) — distinct from Domain 1 Enterprise Intelligence's CDE-030/032/086/092 (Shareholder Name/Type/Agreement/Public Count), which own the WHO/WHAT of the shareholder registry. This domain owns the RIGHTS/STRUCTURE governance view (voting rights, proxy access, anti-takeover mechanisms) layered on top of that registry.</t>
        </is>
      </c>
    </row>
    <row r="48" ht="15" customHeight="1" s="6">
      <c r="A48" s="8" t="inlineStr">
        <is>
          <t>CDE-G047</t>
        </is>
      </c>
      <c r="B48" s="8" t="inlineStr">
        <is>
          <t>Dual-Class Voting Ratio (If Applicable)</t>
        </is>
      </c>
      <c r="C48" s="8" t="inlineStr">
        <is>
          <t>Text</t>
        </is>
      </c>
      <c r="D48" s="8" t="inlineStr">
        <is>
          <t>Supplemental</t>
        </is>
      </c>
      <c r="E48" s="8" t="inlineStr">
        <is>
          <t>Optional</t>
        </is>
      </c>
      <c r="F48" s="8" t="inlineStr">
        <is>
          <t>P3</t>
        </is>
      </c>
      <c r="G48" s="8" t="inlineStr">
        <is>
          <t>Non-empty text</t>
        </is>
      </c>
      <c r="H48" s="8" t="inlineStr">
        <is>
          <t>TYPE:TEXT</t>
        </is>
      </c>
      <c r="I48" s="8" t="inlineStr">
        <is>
          <t>Point-in-time</t>
        </is>
      </c>
      <c r="J48" s="8" t="inlineStr">
        <is>
          <t>One-to-one</t>
        </is>
      </c>
      <c r="K48" s="8" t="inlineStr">
        <is>
          <t>N/A — not a one-to-many numeric field</t>
        </is>
      </c>
      <c r="L48" s="8" t="inlineStr">
        <is>
          <t>Annual Report / 10-K Filing (SEC EDGAR, Company IR Site)</t>
        </is>
      </c>
      <c r="M48" s="8" t="inlineStr">
        <is>
          <t>CIL Architecture Team</t>
        </is>
      </c>
      <c r="N48" s="8" t="inlineStr">
        <is>
          <t>2026-06-27</t>
        </is>
      </c>
      <c r="O48" s="8" t="inlineStr">
        <is>
          <t>CorpStage CIL Registry v1.0</t>
        </is>
      </c>
      <c r="P48" s="8" t="inlineStr">
        <is>
          <t>Group only (single enterprise-wide fact, does not repeat per node)</t>
        </is>
      </c>
      <c r="Q48" s="8" t="inlineStr">
        <is>
          <t>Global</t>
        </is>
      </c>
      <c r="R48" s="8" t="inlineStr">
        <is>
          <t>Tier 1 (Standard) — available to all frameworks and all customers</t>
        </is>
      </c>
      <c r="S48" s="8" t="inlineStr">
        <is>
          <t>Owned by D05 Governance Intelligence as a board and executive governance fact. Legal obligations of directors owned by D08. D05 owns the governance structure and practice intelligence; D08 owns the legal dimension of director duties.</t>
        </is>
      </c>
    </row>
    <row r="49" ht="15" customHeight="1" s="6">
      <c r="A49" s="8" t="inlineStr">
        <is>
          <t>CDE-G048</t>
        </is>
      </c>
      <c r="B49" s="8" t="inlineStr">
        <is>
          <t>Shareholder Proxy Access Rights Documented</t>
        </is>
      </c>
      <c r="C49" s="8" t="inlineStr">
        <is>
          <t>Boolean</t>
        </is>
      </c>
      <c r="D49" s="8" t="inlineStr">
        <is>
          <t>Recommended</t>
        </is>
      </c>
      <c r="E49" s="8" t="inlineStr">
        <is>
          <t>Multi</t>
        </is>
      </c>
      <c r="F49" s="8" t="inlineStr">
        <is>
          <t>P2</t>
        </is>
      </c>
      <c r="G49" s="8" t="inlineStr">
        <is>
          <t>True/False</t>
        </is>
      </c>
      <c r="H49" s="8" t="inlineStr">
        <is>
          <t>TYPE:BOOLEAN|ALLOWED:TRUE,FALSE</t>
        </is>
      </c>
      <c r="I49" s="8" t="inlineStr">
        <is>
          <t>Effective-dated</t>
        </is>
      </c>
      <c r="J49" s="8" t="inlineStr">
        <is>
          <t>One-to-one</t>
        </is>
      </c>
      <c r="K49" s="8" t="inlineStr">
        <is>
          <t>N/A — not a one-to-many numeric field</t>
        </is>
      </c>
      <c r="L49" s="8" t="inlineStr">
        <is>
          <t>Annual Report / 10-K Filing (SEC EDGAR, Company IR Site)</t>
        </is>
      </c>
      <c r="M49" s="8" t="inlineStr">
        <is>
          <t>CIL Architecture Team</t>
        </is>
      </c>
      <c r="N49" s="8" t="inlineStr">
        <is>
          <t>2026-06-27</t>
        </is>
      </c>
      <c r="O49" s="8" t="inlineStr">
        <is>
          <t>CorpStage CIL Registry v1.0</t>
        </is>
      </c>
      <c r="P49" s="8" t="inlineStr">
        <is>
          <t>Group only (single enterprise-wide fact, does not repeat per node)</t>
        </is>
      </c>
      <c r="Q49" s="8" t="inlineStr">
        <is>
          <t>Global</t>
        </is>
      </c>
      <c r="R49" s="8" t="inlineStr">
        <is>
          <t>Tier 1 (Standard) — available to all frameworks and all customers</t>
        </is>
      </c>
      <c r="S49" s="8" t="inlineStr">
        <is>
          <t>Owned by D05 Governance Intelligence as a board and executive governance fact. Legal obligations of directors owned by D08. D05 owns the governance structure and practice intelligence; D08 owns the legal dimension of director duties.</t>
        </is>
      </c>
    </row>
    <row r="50" ht="15" customHeight="1" s="6">
      <c r="A50" s="8" t="inlineStr">
        <is>
          <t>CDE-G049</t>
        </is>
      </c>
      <c r="B50" s="8" t="inlineStr">
        <is>
          <t>Proxy Access Ownership/Holding-Period Threshold</t>
        </is>
      </c>
      <c r="C50" s="8" t="inlineStr">
        <is>
          <t>Text</t>
        </is>
      </c>
      <c r="D50" s="8" t="inlineStr">
        <is>
          <t>Supplemental</t>
        </is>
      </c>
      <c r="E50" s="8" t="inlineStr">
        <is>
          <t>Optional</t>
        </is>
      </c>
      <c r="F50" s="8" t="inlineStr">
        <is>
          <t>P3</t>
        </is>
      </c>
      <c r="G50" s="8" t="inlineStr">
        <is>
          <t>Non-empty text</t>
        </is>
      </c>
      <c r="H50" s="8" t="inlineStr">
        <is>
          <t>TYPE:TEXT</t>
        </is>
      </c>
      <c r="I50" s="8" t="inlineStr">
        <is>
          <t>Point-in-time</t>
        </is>
      </c>
      <c r="J50" s="8" t="inlineStr">
        <is>
          <t>One-to-one</t>
        </is>
      </c>
      <c r="K50" s="8" t="inlineStr">
        <is>
          <t>N/A — not a one-to-many numeric field</t>
        </is>
      </c>
      <c r="L50" s="8" t="inlineStr">
        <is>
          <t>Annual Report / 10-K Filing (SEC EDGAR, Company IR Site)</t>
        </is>
      </c>
      <c r="M50" s="8" t="inlineStr">
        <is>
          <t>CIL Architecture Team</t>
        </is>
      </c>
      <c r="N50" s="8" t="inlineStr">
        <is>
          <t>2026-06-27</t>
        </is>
      </c>
      <c r="O50" s="8" t="inlineStr">
        <is>
          <t>CorpStage CIL Registry v1.0</t>
        </is>
      </c>
      <c r="P50" s="8" t="inlineStr">
        <is>
          <t>Group only (single enterprise-wide fact, does not repeat per node)</t>
        </is>
      </c>
      <c r="Q50" s="8" t="inlineStr">
        <is>
          <t>Global</t>
        </is>
      </c>
      <c r="R50" s="8" t="inlineStr">
        <is>
          <t>Tier 1 (Standard) — available to all frameworks and all customers</t>
        </is>
      </c>
      <c r="S50" s="8" t="inlineStr">
        <is>
          <t>Owned by D05 Governance Intelligence as a board and executive governance fact. Legal obligations of directors owned by D08. D05 owns the governance structure and practice intelligence; D08 owns the legal dimension of director duties.</t>
        </is>
      </c>
    </row>
    <row r="51" ht="15" customHeight="1" s="6">
      <c r="A51" s="8" t="inlineStr">
        <is>
          <t>CDE-G050</t>
        </is>
      </c>
      <c r="B51" s="8" t="inlineStr">
        <is>
          <t>Formal Shareholder Engagement Program Documented (Outside AGM)</t>
        </is>
      </c>
      <c r="C51" s="8" t="inlineStr">
        <is>
          <t>Boolean</t>
        </is>
      </c>
      <c r="D51" s="8" t="inlineStr">
        <is>
          <t>Recommended</t>
        </is>
      </c>
      <c r="E51" s="8" t="inlineStr">
        <is>
          <t>Optional</t>
        </is>
      </c>
      <c r="F51" s="8" t="inlineStr">
        <is>
          <t>P2</t>
        </is>
      </c>
      <c r="G51" s="8" t="inlineStr">
        <is>
          <t>True/False</t>
        </is>
      </c>
      <c r="H51" s="8" t="inlineStr">
        <is>
          <t>TYPE:BOOLEAN|ALLOWED:TRUE,FALSE</t>
        </is>
      </c>
      <c r="I51" s="8" t="inlineStr">
        <is>
          <t>Effective-dated</t>
        </is>
      </c>
      <c r="J51" s="8" t="inlineStr">
        <is>
          <t>One-to-one</t>
        </is>
      </c>
      <c r="K51" s="8" t="inlineStr">
        <is>
          <t>N/A — not a one-to-many numeric field</t>
        </is>
      </c>
      <c r="L51" s="8" t="inlineStr">
        <is>
          <t>Annual Report / 10-K Filing (SEC EDGAR, Company IR Site)</t>
        </is>
      </c>
      <c r="M51" s="8" t="inlineStr">
        <is>
          <t>CIL Architecture Team</t>
        </is>
      </c>
      <c r="N51" s="8" t="inlineStr">
        <is>
          <t>2026-06-27</t>
        </is>
      </c>
      <c r="O51" s="8" t="inlineStr">
        <is>
          <t>CorpStage CIL Registry v1.0</t>
        </is>
      </c>
      <c r="P51" s="8" t="inlineStr">
        <is>
          <t>Group only (single enterprise-wide fact, does not repeat per node)</t>
        </is>
      </c>
      <c r="Q51" s="8" t="inlineStr">
        <is>
          <t>Global</t>
        </is>
      </c>
      <c r="R51" s="8" t="inlineStr">
        <is>
          <t>Tier 1 (Standard) — available to all frameworks and all customers</t>
        </is>
      </c>
      <c r="S51" s="8" t="inlineStr">
        <is>
          <t>Owned by D05 Governance Intelligence as a board and executive governance fact. Legal obligations of directors owned by D08. D05 owns the governance structure and practice intelligence; D08 owns the legal dimension of director duties.</t>
        </is>
      </c>
    </row>
    <row r="52" ht="15" customHeight="1" s="6">
      <c r="A52" s="8" t="inlineStr">
        <is>
          <t>CDE-G051</t>
        </is>
      </c>
      <c r="B52" s="8" t="inlineStr">
        <is>
          <t>Shareholder Engagement Meetings Held (Current Period)</t>
        </is>
      </c>
      <c r="C52" s="8" t="inlineStr">
        <is>
          <t>Numeric</t>
        </is>
      </c>
      <c r="D52" s="8" t="inlineStr">
        <is>
          <t>Supplemental</t>
        </is>
      </c>
      <c r="E52" s="8" t="inlineStr">
        <is>
          <t>Optional</t>
        </is>
      </c>
      <c r="F52" s="8" t="inlineStr">
        <is>
          <t>P3</t>
        </is>
      </c>
      <c r="G52" s="8" t="inlineStr">
        <is>
          <t>&gt;=0, integer</t>
        </is>
      </c>
      <c r="H52" s="8" t="inlineStr">
        <is>
          <t>TYPE:INTEGER|MIN:0</t>
        </is>
      </c>
      <c r="I52" s="8" t="inlineStr">
        <is>
          <t>Effective-dated</t>
        </is>
      </c>
      <c r="J52" s="8" t="inlineStr">
        <is>
          <t>One-to-one</t>
        </is>
      </c>
      <c r="K52" s="8" t="inlineStr">
        <is>
          <t>N/A — not a one-to-many numeric field</t>
        </is>
      </c>
      <c r="L52" s="8" t="inlineStr">
        <is>
          <t>User Validation</t>
        </is>
      </c>
      <c r="M52" s="8" t="inlineStr">
        <is>
          <t>CIL Architecture Team</t>
        </is>
      </c>
      <c r="N52" s="8" t="inlineStr">
        <is>
          <t>2026-06-27</t>
        </is>
      </c>
      <c r="O52" s="8" t="inlineStr">
        <is>
          <t>CorpStage CIL Registry v1.0</t>
        </is>
      </c>
      <c r="P52" s="8" t="inlineStr">
        <is>
          <t>Group only (single enterprise-wide fact, does not repeat per node)</t>
        </is>
      </c>
      <c r="Q52" s="8" t="inlineStr">
        <is>
          <t>Global</t>
        </is>
      </c>
      <c r="R52" s="8" t="inlineStr">
        <is>
          <t>Tier 1 (Standard) — available to all frameworks and all customers</t>
        </is>
      </c>
      <c r="S52" s="8" t="inlineStr">
        <is>
          <t>Owned by D05 Governance Intelligence as a board and executive governance fact. Legal obligations of directors owned by D08. D05 owns the governance structure and practice intelligence; D08 owns the legal dimension of director duties.</t>
        </is>
      </c>
    </row>
    <row r="53" ht="15" customHeight="1" s="6">
      <c r="A53" s="8" t="inlineStr">
        <is>
          <t>CDE-G052</t>
        </is>
      </c>
      <c r="B53" s="8" t="inlineStr">
        <is>
          <t>Anti-Takeover Defense Mechanism Exists (Poison Pill/Staggered Board/Other)</t>
        </is>
      </c>
      <c r="C53" s="8" t="inlineStr">
        <is>
          <t>Boolean</t>
        </is>
      </c>
      <c r="D53" s="8" t="inlineStr">
        <is>
          <t>Required</t>
        </is>
      </c>
      <c r="E53" s="8" t="inlineStr">
        <is>
          <t>Optional</t>
        </is>
      </c>
      <c r="F53" s="8" t="inlineStr">
        <is>
          <t>P1</t>
        </is>
      </c>
      <c r="G53" s="8" t="inlineStr">
        <is>
          <t>True/False</t>
        </is>
      </c>
      <c r="H53" s="8" t="inlineStr">
        <is>
          <t>TYPE:BOOLEAN|ALLOWED:TRUE,FALSE</t>
        </is>
      </c>
      <c r="I53" s="8" t="inlineStr">
        <is>
          <t>Effective-dated</t>
        </is>
      </c>
      <c r="J53" s="8" t="inlineStr">
        <is>
          <t>One-to-one</t>
        </is>
      </c>
      <c r="K53" s="8" t="inlineStr">
        <is>
          <t>N/A — not a one-to-many numeric field</t>
        </is>
      </c>
      <c r="L53" s="8" t="inlineStr">
        <is>
          <t>Annual Report / 10-K Filing (SEC EDGAR, Company IR Site)</t>
        </is>
      </c>
      <c r="M53" s="8" t="inlineStr">
        <is>
          <t>CIL Architecture Team</t>
        </is>
      </c>
      <c r="N53" s="8" t="inlineStr">
        <is>
          <t>2026-06-27</t>
        </is>
      </c>
      <c r="O53" s="8" t="inlineStr">
        <is>
          <t>CorpStage CIL Registry v1.0</t>
        </is>
      </c>
      <c r="P53" s="8" t="inlineStr">
        <is>
          <t>Group only (single enterprise-wide fact, does not repeat per node)</t>
        </is>
      </c>
      <c r="Q53" s="8" t="inlineStr">
        <is>
          <t>Global</t>
        </is>
      </c>
      <c r="R53" s="8" t="inlineStr">
        <is>
          <t>Tier 1 (Standard) — available to all frameworks and all customers</t>
        </is>
      </c>
      <c r="S53" s="8" t="inlineStr">
        <is>
          <t>Owned by D05 Governance Intelligence as a board and executive governance fact. Legal obligations of directors owned by D08. D05 owns the governance structure and practice intelligence; D08 owns the legal dimension of director duties.</t>
        </is>
      </c>
    </row>
    <row r="54" ht="15" customHeight="1" s="6">
      <c r="A54" s="8" t="inlineStr">
        <is>
          <t>CDE-G053</t>
        </is>
      </c>
      <c r="B54" s="8" t="inlineStr">
        <is>
          <t>Anti-Takeover Mechanism Type and Description</t>
        </is>
      </c>
      <c r="C54" s="8" t="inlineStr">
        <is>
          <t>Text</t>
        </is>
      </c>
      <c r="D54" s="8" t="inlineStr">
        <is>
          <t>Recommended</t>
        </is>
      </c>
      <c r="E54" s="8" t="inlineStr">
        <is>
          <t>Optional</t>
        </is>
      </c>
      <c r="F54" s="8" t="inlineStr">
        <is>
          <t>P2</t>
        </is>
      </c>
      <c r="G54" s="8" t="inlineStr">
        <is>
          <t>Non-empty text</t>
        </is>
      </c>
      <c r="H54" s="8" t="inlineStr">
        <is>
          <t>TYPE:TEXT</t>
        </is>
      </c>
      <c r="I54" s="8" t="inlineStr">
        <is>
          <t>Point-in-time</t>
        </is>
      </c>
      <c r="J54" s="8" t="inlineStr">
        <is>
          <t>One-to-many</t>
        </is>
      </c>
      <c r="K54" s="8" t="inlineStr">
        <is>
          <t>N/A — not a one-to-many numeric field</t>
        </is>
      </c>
      <c r="L54" s="8" t="inlineStr">
        <is>
          <t>Annual Report / 10-K Filing (SEC EDGAR, Company IR Site)</t>
        </is>
      </c>
      <c r="M54" s="8" t="inlineStr">
        <is>
          <t>CIL Architecture Team</t>
        </is>
      </c>
      <c r="N54" s="8" t="inlineStr">
        <is>
          <t>2026-06-27</t>
        </is>
      </c>
      <c r="O54" s="8" t="inlineStr">
        <is>
          <t>CorpStage CIL Registry v1.0</t>
        </is>
      </c>
      <c r="P54" s="8" t="inlineStr">
        <is>
          <t>Company, Group (collected per legal entity, not below Company level)</t>
        </is>
      </c>
      <c r="Q54" s="8" t="inlineStr">
        <is>
          <t>Global</t>
        </is>
      </c>
      <c r="R54" s="8" t="inlineStr">
        <is>
          <t>Tier 1 (Standard) — available to all frameworks and all customers</t>
        </is>
      </c>
      <c r="S54" s="8" t="inlineStr">
        <is>
          <t>Owned by D05 Governance Intelligence as a board and executive governance fact. Legal obligations of directors owned by D08. D05 owns the governance structure and practice intelligence; D08 owns the legal dimension of director duties.</t>
        </is>
      </c>
    </row>
    <row r="55" ht="15" customHeight="1" s="6">
      <c r="A55" s="8" t="inlineStr">
        <is>
          <t>CDE-G054</t>
        </is>
      </c>
      <c r="B55" s="8" t="inlineStr">
        <is>
          <t>Related-Party Transaction Identification and Approval Process Documented</t>
        </is>
      </c>
      <c r="C55" s="8" t="inlineStr">
        <is>
          <t>Boolean</t>
        </is>
      </c>
      <c r="D55" s="8" t="inlineStr">
        <is>
          <t>Required</t>
        </is>
      </c>
      <c r="E55" s="8" t="inlineStr">
        <is>
          <t>Universal</t>
        </is>
      </c>
      <c r="F55" s="8" t="inlineStr">
        <is>
          <t>P1</t>
        </is>
      </c>
      <c r="G55" s="8" t="inlineStr">
        <is>
          <t>True/False</t>
        </is>
      </c>
      <c r="H55" s="8" t="inlineStr">
        <is>
          <t>TYPE:BOOLEAN|ALLOWED:TRUE,FALSE</t>
        </is>
      </c>
      <c r="I55" s="8" t="inlineStr">
        <is>
          <t>Effective-dated</t>
        </is>
      </c>
      <c r="J55" s="8" t="inlineStr">
        <is>
          <t>One-to-one</t>
        </is>
      </c>
      <c r="K55" s="8" t="inlineStr">
        <is>
          <t>N/A — not a one-to-many numeric field</t>
        </is>
      </c>
      <c r="L55" s="8" t="inlineStr">
        <is>
          <t>Annual Report / 10-K Filing (SEC EDGAR, Company IR Site)</t>
        </is>
      </c>
      <c r="M55" s="8" t="inlineStr">
        <is>
          <t>CIL Architecture Team</t>
        </is>
      </c>
      <c r="N55" s="8" t="inlineStr">
        <is>
          <t>2026-06-27</t>
        </is>
      </c>
      <c r="O55" s="8" t="inlineStr">
        <is>
          <t>CorpStage CIL Registry v1.0</t>
        </is>
      </c>
      <c r="P55" s="8" t="inlineStr">
        <is>
          <t>Group only (single enterprise-wide fact, does not repeat per node)</t>
        </is>
      </c>
      <c r="Q55" s="8" t="inlineStr">
        <is>
          <t>Global</t>
        </is>
      </c>
      <c r="R55" s="8" t="inlineStr">
        <is>
          <t>Tier 1 (Standard) — available to all frameworks and all customers</t>
        </is>
      </c>
      <c r="S55" s="8" t="inlineStr">
        <is>
          <t>Owned by Governance Intelligence per Binding 6(a) — distinct from Domain 1 Enterprise Intelligence's CDE-358 (Connected Party to Director/KMP), which identifies WHO is a connected party. This domain owns the GOVERNANCE PROCESS view (approval workflow, policy, transaction log).</t>
        </is>
      </c>
    </row>
    <row r="56" ht="15" customHeight="1" s="6">
      <c r="A56" s="8" t="inlineStr">
        <is>
          <t>CDE-G055</t>
        </is>
      </c>
      <c r="B56" s="8" t="inlineStr">
        <is>
          <t>Related-Party Transaction Approval Authority (Board/Committee/Independent Directors)</t>
        </is>
      </c>
      <c r="C56" s="8" t="inlineStr">
        <is>
          <t>Text</t>
        </is>
      </c>
      <c r="D56" s="8" t="inlineStr">
        <is>
          <t>Recommended</t>
        </is>
      </c>
      <c r="E56" s="8" t="inlineStr">
        <is>
          <t>Multi</t>
        </is>
      </c>
      <c r="F56" s="8" t="inlineStr">
        <is>
          <t>P2</t>
        </is>
      </c>
      <c r="G56" s="8" t="inlineStr">
        <is>
          <t>Non-empty text</t>
        </is>
      </c>
      <c r="H56" s="8" t="inlineStr">
        <is>
          <t>TYPE:TEXT</t>
        </is>
      </c>
      <c r="I56" s="8" t="inlineStr">
        <is>
          <t>Effective-dated</t>
        </is>
      </c>
      <c r="J56" s="8" t="inlineStr">
        <is>
          <t>One-to-one</t>
        </is>
      </c>
      <c r="K56" s="8" t="inlineStr">
        <is>
          <t>N/A — not a one-to-many numeric field</t>
        </is>
      </c>
      <c r="L56" s="8" t="inlineStr">
        <is>
          <t>Annual Report / 10-K Filing (SEC EDGAR, Company IR Site)</t>
        </is>
      </c>
      <c r="M56" s="8" t="inlineStr">
        <is>
          <t>CIL Architecture Team</t>
        </is>
      </c>
      <c r="N56" s="8" t="inlineStr">
        <is>
          <t>2026-06-27</t>
        </is>
      </c>
      <c r="O56" s="8" t="inlineStr">
        <is>
          <t>CorpStage CIL Registry v1.0</t>
        </is>
      </c>
      <c r="P56" s="8" t="inlineStr">
        <is>
          <t>Group only (single enterprise-wide fact, does not repeat per node)</t>
        </is>
      </c>
      <c r="Q56" s="8" t="inlineStr">
        <is>
          <t>Global</t>
        </is>
      </c>
      <c r="R56" s="8" t="inlineStr">
        <is>
          <t>Tier 1 (Standard) — available to all frameworks and all customers</t>
        </is>
      </c>
      <c r="S56" s="8" t="inlineStr">
        <is>
          <t>Owned by D05 Governance Intelligence as a board and executive governance fact. Legal obligations of directors owned by D08. D05 owns the governance structure and practice intelligence; D08 owns the legal dimension of director duties.</t>
        </is>
      </c>
    </row>
    <row r="57" ht="15" customHeight="1" s="6">
      <c r="A57" s="8" t="inlineStr">
        <is>
          <t>CDE-G056</t>
        </is>
      </c>
      <c r="B57" s="8" t="inlineStr">
        <is>
          <t>Related-Party Transactions Occurred (Current Period, Count)</t>
        </is>
      </c>
      <c r="C57" s="8" t="inlineStr">
        <is>
          <t>Numeric</t>
        </is>
      </c>
      <c r="D57" s="8" t="inlineStr">
        <is>
          <t>Required</t>
        </is>
      </c>
      <c r="E57" s="8" t="inlineStr">
        <is>
          <t>Multi</t>
        </is>
      </c>
      <c r="F57" s="8" t="inlineStr">
        <is>
          <t>P1</t>
        </is>
      </c>
      <c r="G57" s="8" t="inlineStr">
        <is>
          <t>&gt;=0, integer</t>
        </is>
      </c>
      <c r="H57" s="8" t="inlineStr">
        <is>
          <t>TYPE:INTEGER|MIN:0</t>
        </is>
      </c>
      <c r="I57" s="8" t="inlineStr">
        <is>
          <t>Effective-dated</t>
        </is>
      </c>
      <c r="J57" s="8" t="inlineStr">
        <is>
          <t>One-to-one</t>
        </is>
      </c>
      <c r="K57" s="8" t="inlineStr">
        <is>
          <t>N/A — not a one-to-many numeric field</t>
        </is>
      </c>
      <c r="L57" s="8" t="inlineStr">
        <is>
          <t>Regulatory Filings (SEC EDGAR, Companies House, National Business Registry)</t>
        </is>
      </c>
      <c r="M57" s="8" t="inlineStr">
        <is>
          <t>CIL Architecture Team</t>
        </is>
      </c>
      <c r="N57" s="8" t="inlineStr">
        <is>
          <t>2026-06-27</t>
        </is>
      </c>
      <c r="O57" s="8" t="inlineStr">
        <is>
          <t>CorpStage CIL Registry v1.0</t>
        </is>
      </c>
      <c r="P57" s="8" t="inlineStr">
        <is>
          <t>Group only (single enterprise-wide fact, does not repeat per node)</t>
        </is>
      </c>
      <c r="Q57" s="8" t="inlineStr">
        <is>
          <t>Global</t>
        </is>
      </c>
      <c r="R57" s="8" t="inlineStr">
        <is>
          <t>Tier 1 (Standard) — available to all frameworks and all customers</t>
        </is>
      </c>
      <c r="S57" s="8" t="inlineStr">
        <is>
          <t>Owned by D05 Governance Intelligence as a board and executive governance fact. Legal obligations of directors owned by D08. D05 owns the governance structure and practice intelligence; D08 owns the legal dimension of director duties.</t>
        </is>
      </c>
    </row>
    <row r="58" ht="15" customHeight="1" s="6">
      <c r="A58" s="8" t="inlineStr">
        <is>
          <t>CDE-G057</t>
        </is>
      </c>
      <c r="B58" s="8" t="inlineStr">
        <is>
          <t>Related-Party Transaction Independently Approved (Per Transaction)</t>
        </is>
      </c>
      <c r="C58" s="8" t="inlineStr">
        <is>
          <t>Boolean</t>
        </is>
      </c>
      <c r="D58" s="8" t="inlineStr">
        <is>
          <t>Recommended</t>
        </is>
      </c>
      <c r="E58" s="8" t="inlineStr">
        <is>
          <t>Multi</t>
        </is>
      </c>
      <c r="F58" s="8" t="inlineStr">
        <is>
          <t>P2</t>
        </is>
      </c>
      <c r="G58" s="8" t="inlineStr">
        <is>
          <t>True/False</t>
        </is>
      </c>
      <c r="H58" s="8" t="inlineStr">
        <is>
          <t>TYPE:BOOLEAN|ALLOWED:TRUE,FALSE</t>
        </is>
      </c>
      <c r="I58" s="8" t="inlineStr">
        <is>
          <t>Effective-dated</t>
        </is>
      </c>
      <c r="J58" s="8" t="inlineStr">
        <is>
          <t>One-to-many</t>
        </is>
      </c>
      <c r="K58" s="8" t="inlineStr">
        <is>
          <t>N/A — not a one-to-many numeric field</t>
        </is>
      </c>
      <c r="L58" s="8" t="inlineStr">
        <is>
          <t>Regulatory Filings (SEC EDGAR, Companies House, National Business Registry)</t>
        </is>
      </c>
      <c r="M58" s="8" t="inlineStr">
        <is>
          <t>CIL Architecture Team</t>
        </is>
      </c>
      <c r="N58" s="8" t="inlineStr">
        <is>
          <t>2026-06-27</t>
        </is>
      </c>
      <c r="O58" s="8" t="inlineStr">
        <is>
          <t>CorpStage CIL Registry v1.0</t>
        </is>
      </c>
      <c r="P58" s="8" t="inlineStr">
        <is>
          <t>Company, Group (collected per legal entity, not below Company level)</t>
        </is>
      </c>
      <c r="Q58" s="8" t="inlineStr">
        <is>
          <t>Global</t>
        </is>
      </c>
      <c r="R58" s="8" t="inlineStr">
        <is>
          <t>Tier 1 (Standard) — available to all frameworks and all customers</t>
        </is>
      </c>
      <c r="S58" s="8" t="inlineStr">
        <is>
          <t>Owned by D05 Governance Intelligence as a board and executive governance fact. Legal obligations of directors owned by D08. D05 owns the governance structure and practice intelligence; D08 owns the legal dimension of director duties.</t>
        </is>
      </c>
    </row>
    <row r="59" ht="15" customHeight="1" s="6">
      <c r="A59" s="8" t="inlineStr">
        <is>
          <t>CDE-G058</t>
        </is>
      </c>
      <c r="B59" s="8" t="inlineStr">
        <is>
          <t>Formal Related-Party Transaction Policy Exists</t>
        </is>
      </c>
      <c r="C59" s="8" t="inlineStr">
        <is>
          <t>Boolean</t>
        </is>
      </c>
      <c r="D59" s="8" t="inlineStr">
        <is>
          <t>Required</t>
        </is>
      </c>
      <c r="E59" s="8" t="inlineStr">
        <is>
          <t>Multi</t>
        </is>
      </c>
      <c r="F59" s="8" t="inlineStr">
        <is>
          <t>P1</t>
        </is>
      </c>
      <c r="G59" s="8" t="inlineStr">
        <is>
          <t>True/False</t>
        </is>
      </c>
      <c r="H59" s="8" t="inlineStr">
        <is>
          <t>TYPE:BOOLEAN|ALLOWED:TRUE,FALSE</t>
        </is>
      </c>
      <c r="I59" s="8" t="inlineStr">
        <is>
          <t>Effective-dated</t>
        </is>
      </c>
      <c r="J59" s="8" t="inlineStr">
        <is>
          <t>One-to-one</t>
        </is>
      </c>
      <c r="K59" s="8" t="inlineStr">
        <is>
          <t>N/A — not a one-to-many numeric field</t>
        </is>
      </c>
      <c r="L59" s="8" t="inlineStr">
        <is>
          <t>Annual Report / 10-K Filing (SEC EDGAR, Company IR Site)</t>
        </is>
      </c>
      <c r="M59" s="8" t="inlineStr">
        <is>
          <t>CIL Architecture Team</t>
        </is>
      </c>
      <c r="N59" s="8" t="inlineStr">
        <is>
          <t>2026-06-27</t>
        </is>
      </c>
      <c r="O59" s="8" t="inlineStr">
        <is>
          <t>CorpStage CIL Registry v1.0</t>
        </is>
      </c>
      <c r="P59" s="8" t="inlineStr">
        <is>
          <t>Group only (single enterprise-wide fact, does not repeat per node)</t>
        </is>
      </c>
      <c r="Q59" s="8" t="inlineStr">
        <is>
          <t>Global</t>
        </is>
      </c>
      <c r="R59" s="8" t="inlineStr">
        <is>
          <t>Tier 1 (Standard) — available to all frameworks and all customers</t>
        </is>
      </c>
      <c r="S59" s="8" t="inlineStr">
        <is>
          <t>Owned by D05 Governance Intelligence as a board and executive governance fact. Legal obligations of directors owned by D08. D05 owns the governance structure and practice intelligence; D08 owns the legal dimension of director duties.</t>
        </is>
      </c>
    </row>
    <row r="60" ht="15" customHeight="1" s="6">
      <c r="A60" s="8" t="inlineStr">
        <is>
          <t>CDE-G059</t>
        </is>
      </c>
      <c r="B60" s="8" t="inlineStr">
        <is>
          <t>Related-Party Transaction Policy Last Reviewed Date</t>
        </is>
      </c>
      <c r="C60" s="8" t="inlineStr">
        <is>
          <t>Date</t>
        </is>
      </c>
      <c r="D60" s="8" t="inlineStr">
        <is>
          <t>Recommended</t>
        </is>
      </c>
      <c r="E60" s="8" t="inlineStr">
        <is>
          <t>Optional</t>
        </is>
      </c>
      <c r="F60" s="8" t="inlineStr">
        <is>
          <t>P2</t>
        </is>
      </c>
      <c r="G60" s="8" t="inlineStr">
        <is>
          <t>Valid date</t>
        </is>
      </c>
      <c r="H60" s="8" t="inlineStr">
        <is>
          <t>TYPE:DATE</t>
        </is>
      </c>
      <c r="I60" s="8" t="inlineStr">
        <is>
          <t>Point-in-time</t>
        </is>
      </c>
      <c r="J60" s="8" t="inlineStr">
        <is>
          <t>One-to-one</t>
        </is>
      </c>
      <c r="K60" s="8" t="inlineStr">
        <is>
          <t>N/A — not a one-to-many numeric field</t>
        </is>
      </c>
      <c r="L60" s="8" t="inlineStr">
        <is>
          <t>Annual Report / 10-K Filing (SEC EDGAR, Company IR Site)</t>
        </is>
      </c>
      <c r="M60" s="8" t="inlineStr">
        <is>
          <t>CIL Architecture Team</t>
        </is>
      </c>
      <c r="N60" s="8" t="inlineStr">
        <is>
          <t>2026-06-27</t>
        </is>
      </c>
      <c r="O60" s="8" t="inlineStr">
        <is>
          <t>CorpStage CIL Registry v1.0</t>
        </is>
      </c>
      <c r="P60" s="8" t="inlineStr">
        <is>
          <t>Group only (single enterprise-wide fact, does not repeat per node)</t>
        </is>
      </c>
      <c r="Q60" s="8" t="inlineStr">
        <is>
          <t>Global</t>
        </is>
      </c>
      <c r="R60" s="8" t="inlineStr">
        <is>
          <t>Tier 1 (Standard) — available to all frameworks and all customers</t>
        </is>
      </c>
      <c r="S60" s="8" t="inlineStr">
        <is>
          <t>Owned by D05 Governance Intelligence as a board and executive governance fact. Legal obligations of directors owned by D08. D05 owns the governance structure and practice intelligence; D08 owns the legal dimension of director duties.</t>
        </is>
      </c>
    </row>
    <row r="61" ht="15" customHeight="1" s="6">
      <c r="A61" s="8" t="inlineStr">
        <is>
          <t>CDE-G060</t>
        </is>
      </c>
      <c r="B61" s="8" t="inlineStr">
        <is>
          <t>Corporate Governance Code Followed</t>
        </is>
      </c>
      <c r="C61" s="8" t="inlineStr">
        <is>
          <t>Text</t>
        </is>
      </c>
      <c r="D61" s="8" t="inlineStr">
        <is>
          <t>Required</t>
        </is>
      </c>
      <c r="E61" s="8" t="inlineStr">
        <is>
          <t>Universal</t>
        </is>
      </c>
      <c r="F61" s="8" t="inlineStr">
        <is>
          <t>P1</t>
        </is>
      </c>
      <c r="G61" s="8" t="inlineStr">
        <is>
          <t>Non-empty text</t>
        </is>
      </c>
      <c r="H61" s="8" t="inlineStr">
        <is>
          <t>TYPE:TEXT</t>
        </is>
      </c>
      <c r="I61" s="8" t="inlineStr">
        <is>
          <t>Effective-dated</t>
        </is>
      </c>
      <c r="J61" s="8" t="inlineStr">
        <is>
          <t>One-to-many</t>
        </is>
      </c>
      <c r="K61" s="8" t="inlineStr">
        <is>
          <t>N/A — not a one-to-many numeric field</t>
        </is>
      </c>
      <c r="L61" s="8" t="inlineStr">
        <is>
          <t>Annual Report / 10-K Filing (SEC EDGAR, Company IR Site)</t>
        </is>
      </c>
      <c r="M61" s="8" t="inlineStr">
        <is>
          <t>CIL Architecture Team</t>
        </is>
      </c>
      <c r="N61" s="8" t="inlineStr">
        <is>
          <t>2026-06-27</t>
        </is>
      </c>
      <c r="O61" s="8" t="inlineStr">
        <is>
          <t>CorpStage CIL Registry v1.0</t>
        </is>
      </c>
      <c r="P61" s="8" t="inlineStr">
        <is>
          <t>Company, Group (collected per legal entity, not below Company level)</t>
        </is>
      </c>
      <c r="Q61" s="8" t="inlineStr">
        <is>
          <t>Global</t>
        </is>
      </c>
      <c r="R61" s="8" t="inlineStr">
        <is>
          <t>Tier 1 (Standard) — available to all frameworks and all customers</t>
        </is>
      </c>
      <c r="S61" s="8" t="inlineStr">
        <is>
          <t>Owned by D05 Governance Intelligence as a board and executive governance fact. Legal obligations of directors owned by D08. D05 owns the governance structure and practice intelligence; D08 owns the legal dimension of director duties.</t>
        </is>
      </c>
    </row>
    <row r="62" ht="15" customHeight="1" s="6">
      <c r="A62" s="8" t="inlineStr">
        <is>
          <t>CDE-G061</t>
        </is>
      </c>
      <c r="B62" s="8" t="inlineStr">
        <is>
          <t>Comply-or-Explain Departures from Governance Code (Count)</t>
        </is>
      </c>
      <c r="C62" s="8" t="inlineStr">
        <is>
          <t>Numeric</t>
        </is>
      </c>
      <c r="D62" s="8" t="inlineStr">
        <is>
          <t>Required</t>
        </is>
      </c>
      <c r="E62" s="8" t="inlineStr">
        <is>
          <t>Multi</t>
        </is>
      </c>
      <c r="F62" s="8" t="inlineStr">
        <is>
          <t>P1</t>
        </is>
      </c>
      <c r="G62" s="8" t="inlineStr">
        <is>
          <t>&gt;=0, integer</t>
        </is>
      </c>
      <c r="H62" s="8" t="inlineStr">
        <is>
          <t>TYPE:INTEGER|MIN:0</t>
        </is>
      </c>
      <c r="I62" s="8" t="inlineStr">
        <is>
          <t>Effective-dated</t>
        </is>
      </c>
      <c r="J62" s="8" t="inlineStr">
        <is>
          <t>One-to-one</t>
        </is>
      </c>
      <c r="K62" s="8" t="inlineStr">
        <is>
          <t>N/A — not a one-to-many numeric field</t>
        </is>
      </c>
      <c r="L62" s="8" t="inlineStr">
        <is>
          <t>Annual Report / 10-K Filing (SEC EDGAR, Company IR Site)</t>
        </is>
      </c>
      <c r="M62" s="8" t="inlineStr">
        <is>
          <t>CIL Architecture Team</t>
        </is>
      </c>
      <c r="N62" s="8" t="inlineStr">
        <is>
          <t>2026-06-27</t>
        </is>
      </c>
      <c r="O62" s="8" t="inlineStr">
        <is>
          <t>CorpStage CIL Registry v1.0</t>
        </is>
      </c>
      <c r="P62" s="8" t="inlineStr">
        <is>
          <t>Group only (single enterprise-wide fact, does not repeat per node)</t>
        </is>
      </c>
      <c r="Q62" s="8" t="inlineStr">
        <is>
          <t>Global</t>
        </is>
      </c>
      <c r="R62" s="8" t="inlineStr">
        <is>
          <t>Tier 1 (Standard) — available to all frameworks and all customers</t>
        </is>
      </c>
      <c r="S62" s="8" t="inlineStr">
        <is>
          <t>Owned by D05 Governance Intelligence as a board and executive governance fact. Legal obligations of directors owned by D08. D05 owns the governance structure and practice intelligence; D08 owns the legal dimension of director duties.</t>
        </is>
      </c>
    </row>
    <row r="63" ht="15" customHeight="1" s="6">
      <c r="A63" s="8" t="inlineStr">
        <is>
          <t>CDE-G062</t>
        </is>
      </c>
      <c r="B63" s="8" t="inlineStr">
        <is>
          <t>Comply-or-Explain Departure Description</t>
        </is>
      </c>
      <c r="C63" s="8" t="inlineStr">
        <is>
          <t>Text</t>
        </is>
      </c>
      <c r="D63" s="8" t="inlineStr">
        <is>
          <t>Recommended</t>
        </is>
      </c>
      <c r="E63" s="8" t="inlineStr">
        <is>
          <t>Optional</t>
        </is>
      </c>
      <c r="F63" s="8" t="inlineStr">
        <is>
          <t>P2</t>
        </is>
      </c>
      <c r="G63" s="8" t="inlineStr">
        <is>
          <t>Non-empty text</t>
        </is>
      </c>
      <c r="H63" s="8" t="inlineStr">
        <is>
          <t>TYPE:TEXT</t>
        </is>
      </c>
      <c r="I63" s="8" t="inlineStr">
        <is>
          <t>Point-in-time</t>
        </is>
      </c>
      <c r="J63" s="8" t="inlineStr">
        <is>
          <t>One-to-many</t>
        </is>
      </c>
      <c r="K63" s="8" t="inlineStr">
        <is>
          <t>N/A — not a one-to-many numeric field</t>
        </is>
      </c>
      <c r="L63" s="8" t="inlineStr">
        <is>
          <t>Annual Report / 10-K Filing (SEC EDGAR, Company IR Site)</t>
        </is>
      </c>
      <c r="M63" s="8" t="inlineStr">
        <is>
          <t>CIL Architecture Team</t>
        </is>
      </c>
      <c r="N63" s="8" t="inlineStr">
        <is>
          <t>2026-06-27</t>
        </is>
      </c>
      <c r="O63" s="8" t="inlineStr">
        <is>
          <t>CorpStage CIL Registry v1.0</t>
        </is>
      </c>
      <c r="P63" s="8" t="inlineStr">
        <is>
          <t>Company, Group (collected per legal entity, not below Company level)</t>
        </is>
      </c>
      <c r="Q63" s="8" t="inlineStr">
        <is>
          <t>Global</t>
        </is>
      </c>
      <c r="R63" s="8" t="inlineStr">
        <is>
          <t>Tier 1 (Standard) — available to all frameworks and all customers</t>
        </is>
      </c>
      <c r="S63" s="8" t="inlineStr">
        <is>
          <t>Owned by D05 Governance Intelligence as a board and executive governance fact. Legal obligations of directors owned by D08. D05 owns the governance structure and practice intelligence; D08 owns the legal dimension of director duties.</t>
        </is>
      </c>
    </row>
    <row r="64" ht="15" customHeight="1" s="6">
      <c r="A64" s="8" t="inlineStr">
        <is>
          <t>CDE-G063</t>
        </is>
      </c>
      <c r="B64" s="8" t="inlineStr">
        <is>
          <t>Independent Corporate Governance Rating/Score</t>
        </is>
      </c>
      <c r="C64" s="8" t="inlineStr">
        <is>
          <t>Text</t>
        </is>
      </c>
      <c r="D64" s="8" t="inlineStr">
        <is>
          <t>Recommended</t>
        </is>
      </c>
      <c r="E64" s="8" t="inlineStr">
        <is>
          <t>Optional</t>
        </is>
      </c>
      <c r="F64" s="8" t="inlineStr">
        <is>
          <t>P2</t>
        </is>
      </c>
      <c r="G64" s="8" t="inlineStr">
        <is>
          <t>Non-empty text</t>
        </is>
      </c>
      <c r="H64" s="8" t="inlineStr">
        <is>
          <t>TYPE:TEXT</t>
        </is>
      </c>
      <c r="I64" s="8" t="inlineStr">
        <is>
          <t>Point-in-time</t>
        </is>
      </c>
      <c r="J64" s="8" t="inlineStr">
        <is>
          <t>One-to-one</t>
        </is>
      </c>
      <c r="K64" s="8" t="inlineStr">
        <is>
          <t>N/A — not a one-to-many numeric field</t>
        </is>
      </c>
      <c r="L64" s="8" t="inlineStr">
        <is>
          <t>User Validation</t>
        </is>
      </c>
      <c r="M64" s="8" t="inlineStr">
        <is>
          <t>CIL Architecture Team</t>
        </is>
      </c>
      <c r="N64" s="8" t="inlineStr">
        <is>
          <t>2026-06-27</t>
        </is>
      </c>
      <c r="O64" s="8" t="inlineStr">
        <is>
          <t>CorpStage CIL Registry v1.0</t>
        </is>
      </c>
      <c r="P64" s="8" t="inlineStr">
        <is>
          <t>Group only (single enterprise-wide fact, does not repeat per node)</t>
        </is>
      </c>
      <c r="Q64" s="8" t="inlineStr">
        <is>
          <t>Global</t>
        </is>
      </c>
      <c r="R64" s="8" t="inlineStr">
        <is>
          <t>Tier 1 (Standard) — available to all frameworks and all customers</t>
        </is>
      </c>
      <c r="S64" s="8" t="inlineStr">
        <is>
          <t>Owned by D05 Governance Intelligence as a board and executive governance fact. Legal obligations of directors owned by D08. D05 owns the governance structure and practice intelligence; D08 owns the legal dimension of director duties.</t>
        </is>
      </c>
    </row>
    <row r="65" ht="15" customHeight="1" s="6">
      <c r="A65" s="8" t="inlineStr">
        <is>
          <t>CDE-G064</t>
        </is>
      </c>
      <c r="B65" s="8" t="inlineStr">
        <is>
          <t>Board Self-Assessment or External Evaluation Process Exists</t>
        </is>
      </c>
      <c r="C65" s="8" t="inlineStr">
        <is>
          <t>Boolean</t>
        </is>
      </c>
      <c r="D65" s="8" t="inlineStr">
        <is>
          <t>Required</t>
        </is>
      </c>
      <c r="E65" s="8" t="inlineStr">
        <is>
          <t>Universal</t>
        </is>
      </c>
      <c r="F65" s="8" t="inlineStr">
        <is>
          <t>P1</t>
        </is>
      </c>
      <c r="G65" s="8" t="inlineStr">
        <is>
          <t>True/False</t>
        </is>
      </c>
      <c r="H65" s="8" t="inlineStr">
        <is>
          <t>TYPE:BOOLEAN|ALLOWED:TRUE,FALSE</t>
        </is>
      </c>
      <c r="I65" s="8" t="inlineStr">
        <is>
          <t>Effective-dated</t>
        </is>
      </c>
      <c r="J65" s="8" t="inlineStr">
        <is>
          <t>One-to-one</t>
        </is>
      </c>
      <c r="K65" s="8" t="inlineStr">
        <is>
          <t>N/A — not a one-to-many numeric field</t>
        </is>
      </c>
      <c r="L65" s="8" t="inlineStr">
        <is>
          <t>Annual Report / 10-K Filing (SEC EDGAR, Company IR Site)</t>
        </is>
      </c>
      <c r="M65" s="8" t="inlineStr">
        <is>
          <t>CIL Architecture Team</t>
        </is>
      </c>
      <c r="N65" s="8" t="inlineStr">
        <is>
          <t>2026-06-27</t>
        </is>
      </c>
      <c r="O65" s="8" t="inlineStr">
        <is>
          <t>CorpStage CIL Registry v1.0</t>
        </is>
      </c>
      <c r="P65" s="8" t="inlineStr">
        <is>
          <t>Group only (single enterprise-wide fact, does not repeat per node)</t>
        </is>
      </c>
      <c r="Q65" s="8" t="inlineStr">
        <is>
          <t>Global</t>
        </is>
      </c>
      <c r="R65" s="8" t="inlineStr">
        <is>
          <t>Tier 1 (Standard) — available to all frameworks and all customers</t>
        </is>
      </c>
      <c r="S65" s="8" t="inlineStr">
        <is>
          <t>Owned by D05 Governance Intelligence as a board and executive governance fact. Legal obligations of directors owned by D08. D05 owns the governance structure and practice intelligence; D08 owns the legal dimension of director duties.</t>
        </is>
      </c>
    </row>
    <row r="66" ht="15" customHeight="1" s="6">
      <c r="A66" s="8" t="inlineStr">
        <is>
          <t>CDE-G065</t>
        </is>
      </c>
      <c r="B66" s="8" t="inlineStr">
        <is>
          <t>Board Evaluation Frequency</t>
        </is>
      </c>
      <c r="C66" s="8" t="inlineStr">
        <is>
          <t>Text</t>
        </is>
      </c>
      <c r="D66" s="8" t="inlineStr">
        <is>
          <t>Recommended</t>
        </is>
      </c>
      <c r="E66" s="8" t="inlineStr">
        <is>
          <t>Multi</t>
        </is>
      </c>
      <c r="F66" s="8" t="inlineStr">
        <is>
          <t>P2</t>
        </is>
      </c>
      <c r="G66" s="8" t="inlineStr">
        <is>
          <t>Annual/Biennial/Other</t>
        </is>
      </c>
      <c r="H66" s="8" t="inlineStr">
        <is>
          <t>TYPE:ENUM|ALLOWED:ANNUAL,BIENNIAL,OTHER</t>
        </is>
      </c>
      <c r="I66" s="8" t="inlineStr">
        <is>
          <t>Effective-dated</t>
        </is>
      </c>
      <c r="J66" s="8" t="inlineStr">
        <is>
          <t>One-to-one</t>
        </is>
      </c>
      <c r="K66" s="8" t="inlineStr">
        <is>
          <t>N/A — not a one-to-many numeric field</t>
        </is>
      </c>
      <c r="L66" s="8" t="inlineStr">
        <is>
          <t>Annual Report / 10-K Filing (SEC EDGAR, Company IR Site)</t>
        </is>
      </c>
      <c r="M66" s="8" t="inlineStr">
        <is>
          <t>CIL Architecture Team</t>
        </is>
      </c>
      <c r="N66" s="8" t="inlineStr">
        <is>
          <t>2026-06-27</t>
        </is>
      </c>
      <c r="O66" s="8" t="inlineStr">
        <is>
          <t>CorpStage CIL Registry v1.0</t>
        </is>
      </c>
      <c r="P66" s="8" t="inlineStr">
        <is>
          <t>Group only (single enterprise-wide fact, does not repeat per node)</t>
        </is>
      </c>
      <c r="Q66" s="8" t="inlineStr">
        <is>
          <t>Global</t>
        </is>
      </c>
      <c r="R66" s="8" t="inlineStr">
        <is>
          <t>Tier 1 (Standard) — available to all frameworks and all customers</t>
        </is>
      </c>
      <c r="S66" s="8" t="inlineStr">
        <is>
          <t>Owned by D05 Governance Intelligence as a board and executive governance fact. Legal obligations of directors owned by D08. D05 owns the governance structure and practice intelligence; D08 owns the legal dimension of director duties.</t>
        </is>
      </c>
    </row>
    <row r="67" ht="15" customHeight="1" s="6">
      <c r="A67" s="8" t="inlineStr">
        <is>
          <t>CDE-G066</t>
        </is>
      </c>
      <c r="B67" s="8" t="inlineStr">
        <is>
          <t>Board Evaluation Conducted by External Facilitator</t>
        </is>
      </c>
      <c r="C67" s="8" t="inlineStr">
        <is>
          <t>Boolean</t>
        </is>
      </c>
      <c r="D67" s="8" t="inlineStr">
        <is>
          <t>Recommended</t>
        </is>
      </c>
      <c r="E67" s="8" t="inlineStr">
        <is>
          <t>Optional</t>
        </is>
      </c>
      <c r="F67" s="8" t="inlineStr">
        <is>
          <t>P2</t>
        </is>
      </c>
      <c r="G67" s="8" t="inlineStr">
        <is>
          <t>True/False/Unknown (tri-state)</t>
        </is>
      </c>
      <c r="H67" s="8" t="inlineStr">
        <is>
          <t>TYPE:BOOLEAN|ALLOWED:TRUE,FALSE,UNKNOWN</t>
        </is>
      </c>
      <c r="I67" s="8" t="inlineStr">
        <is>
          <t>Effective-dated</t>
        </is>
      </c>
      <c r="J67" s="8" t="inlineStr">
        <is>
          <t>One-to-one</t>
        </is>
      </c>
      <c r="K67" s="8" t="inlineStr">
        <is>
          <t>N/A — not a one-to-many numeric field</t>
        </is>
      </c>
      <c r="L67" s="8" t="inlineStr">
        <is>
          <t>Annual Report / 10-K Filing (SEC EDGAR, Company IR Site)</t>
        </is>
      </c>
      <c r="M67" s="8" t="inlineStr">
        <is>
          <t>CIL Architecture Team</t>
        </is>
      </c>
      <c r="N67" s="8" t="inlineStr">
        <is>
          <t>2026-06-27</t>
        </is>
      </c>
      <c r="O67" s="8" t="inlineStr">
        <is>
          <t>CorpStage CIL Registry v1.0</t>
        </is>
      </c>
      <c r="P67" s="8" t="inlineStr">
        <is>
          <t>Group only (single enterprise-wide fact, does not repeat per node)</t>
        </is>
      </c>
      <c r="Q67" s="8" t="inlineStr">
        <is>
          <t>Global</t>
        </is>
      </c>
      <c r="R67" s="8" t="inlineStr">
        <is>
          <t>Tier 1 (Standard) — available to all frameworks and all customers</t>
        </is>
      </c>
      <c r="S67" s="8" t="inlineStr">
        <is>
          <t>Owned by D05 Governance Intelligence as a board and executive governance fact. Legal obligations of directors owned by D08. D05 owns the governance structure and practice intelligence; D08 owns the legal dimension of director duties.</t>
        </is>
      </c>
    </row>
    <row r="68" ht="15" customHeight="1" s="6">
      <c r="A68" s="8" t="inlineStr">
        <is>
          <t>CDE-G067</t>
        </is>
      </c>
      <c r="B68" s="8" t="inlineStr">
        <is>
          <t>Actions Taken in Response to Latest Board Evaluation Documented</t>
        </is>
      </c>
      <c r="C68" s="8" t="inlineStr">
        <is>
          <t>Boolean</t>
        </is>
      </c>
      <c r="D68" s="8" t="inlineStr">
        <is>
          <t>Recommended</t>
        </is>
      </c>
      <c r="E68" s="8" t="inlineStr">
        <is>
          <t>Optional</t>
        </is>
      </c>
      <c r="F68" s="8" t="inlineStr">
        <is>
          <t>P2</t>
        </is>
      </c>
      <c r="G68" s="8" t="inlineStr">
        <is>
          <t>True/False/Unknown (tri-state)</t>
        </is>
      </c>
      <c r="H68" s="8" t="inlineStr">
        <is>
          <t>TYPE:BOOLEAN|ALLOWED:TRUE,FALSE,UNKNOWN</t>
        </is>
      </c>
      <c r="I68" s="8" t="inlineStr">
        <is>
          <t>Effective-dated</t>
        </is>
      </c>
      <c r="J68" s="8" t="inlineStr">
        <is>
          <t>One-to-one</t>
        </is>
      </c>
      <c r="K68" s="8" t="inlineStr">
        <is>
          <t>N/A — not a one-to-many numeric field</t>
        </is>
      </c>
      <c r="L68" s="8" t="inlineStr">
        <is>
          <t>Annual Report / 10-K Filing (SEC EDGAR, Company IR Site)</t>
        </is>
      </c>
      <c r="M68" s="8" t="inlineStr">
        <is>
          <t>CIL Architecture Team</t>
        </is>
      </c>
      <c r="N68" s="8" t="inlineStr">
        <is>
          <t>2026-06-27</t>
        </is>
      </c>
      <c r="O68" s="8" t="inlineStr">
        <is>
          <t>CorpStage CIL Registry v1.0</t>
        </is>
      </c>
      <c r="P68" s="8" t="inlineStr">
        <is>
          <t>Group only (single enterprise-wide fact, does not repeat per node)</t>
        </is>
      </c>
      <c r="Q68" s="8" t="inlineStr">
        <is>
          <t>Global</t>
        </is>
      </c>
      <c r="R68" s="8" t="inlineStr">
        <is>
          <t>Tier 1 (Standard) — available to all frameworks and all customers</t>
        </is>
      </c>
      <c r="S68" s="8" t="inlineStr">
        <is>
          <t>Owned by D05 Governance Intelligence as a board and executive governance fact. Legal obligations of directors owned by D08. D05 owns the governance structure and practice intelligence; D08 owns the legal dimension of director duties.</t>
        </is>
      </c>
    </row>
    <row r="69" ht="15" customHeight="1" s="6">
      <c r="A69" s="8" t="inlineStr">
        <is>
          <t>CDE-G068</t>
        </is>
      </c>
      <c r="B69" s="8" t="inlineStr">
        <is>
          <t>Board Evaluation Action Item Description</t>
        </is>
      </c>
      <c r="C69" s="8" t="inlineStr">
        <is>
          <t>Text</t>
        </is>
      </c>
      <c r="D69" s="8" t="inlineStr">
        <is>
          <t>Supplemental</t>
        </is>
      </c>
      <c r="E69" s="8" t="inlineStr">
        <is>
          <t>Optional</t>
        </is>
      </c>
      <c r="F69" s="8" t="inlineStr">
        <is>
          <t>P3</t>
        </is>
      </c>
      <c r="G69" s="8" t="inlineStr">
        <is>
          <t>Non-empty text</t>
        </is>
      </c>
      <c r="H69" s="8" t="inlineStr">
        <is>
          <t>TYPE:TEXT</t>
        </is>
      </c>
      <c r="I69" s="8" t="inlineStr">
        <is>
          <t>Point-in-time</t>
        </is>
      </c>
      <c r="J69" s="8" t="inlineStr">
        <is>
          <t>One-to-many</t>
        </is>
      </c>
      <c r="K69" s="8" t="inlineStr">
        <is>
          <t>N/A — not a one-to-many numeric field</t>
        </is>
      </c>
      <c r="L69" s="8" t="inlineStr">
        <is>
          <t>Board Portal / Governance Records (Diligent, BoardEffect)</t>
        </is>
      </c>
      <c r="M69" s="8" t="inlineStr">
        <is>
          <t>CIL Architecture Team</t>
        </is>
      </c>
      <c r="N69" s="8" t="inlineStr">
        <is>
          <t>2026-06-27</t>
        </is>
      </c>
      <c r="O69" s="8" t="inlineStr">
        <is>
          <t>CorpStage CIL Registry v1.0</t>
        </is>
      </c>
      <c r="P69" s="8" t="inlineStr">
        <is>
          <t>Company, Group (collected per legal entity, not below Company level)</t>
        </is>
      </c>
      <c r="Q69" s="8" t="inlineStr">
        <is>
          <t>Global</t>
        </is>
      </c>
      <c r="R69" s="8" t="inlineStr">
        <is>
          <t>Tier 1 (Standard) — available to all frameworks and all customers</t>
        </is>
      </c>
      <c r="S69" s="8" t="inlineStr">
        <is>
          <t>Owned by D05 Governance Intelligence as a board and executive governance fact. Legal obligations of directors owned by D08. D05 owns the governance structure and practice intelligence; D08 owns the legal dimension of director duties.</t>
        </is>
      </c>
    </row>
    <row r="70" ht="15" customHeight="1" s="6">
      <c r="A70" s="8" t="inlineStr">
        <is>
          <t>CDE-G069</t>
        </is>
      </c>
      <c r="B70" s="8" t="inlineStr">
        <is>
          <t>Individual Director Peer-Evaluation Process Exists</t>
        </is>
      </c>
      <c r="C70" s="8" t="inlineStr">
        <is>
          <t>Boolean</t>
        </is>
      </c>
      <c r="D70" s="8" t="inlineStr">
        <is>
          <t>Recommended</t>
        </is>
      </c>
      <c r="E70" s="8" t="inlineStr">
        <is>
          <t>Optional</t>
        </is>
      </c>
      <c r="F70" s="8" t="inlineStr">
        <is>
          <t>P2</t>
        </is>
      </c>
      <c r="G70" s="8" t="inlineStr">
        <is>
          <t>True/False/Unknown (tri-state)</t>
        </is>
      </c>
      <c r="H70" s="8" t="inlineStr">
        <is>
          <t>TYPE:BOOLEAN|ALLOWED:TRUE,FALSE,UNKNOWN</t>
        </is>
      </c>
      <c r="I70" s="8" t="inlineStr">
        <is>
          <t>Effective-dated</t>
        </is>
      </c>
      <c r="J70" s="8" t="inlineStr">
        <is>
          <t>One-to-one</t>
        </is>
      </c>
      <c r="K70" s="8" t="inlineStr">
        <is>
          <t>N/A — not a one-to-many numeric field</t>
        </is>
      </c>
      <c r="L70" s="8" t="inlineStr">
        <is>
          <t>User Validation</t>
        </is>
      </c>
      <c r="M70" s="8" t="inlineStr">
        <is>
          <t>CIL Architecture Team</t>
        </is>
      </c>
      <c r="N70" s="8" t="inlineStr">
        <is>
          <t>2026-06-27</t>
        </is>
      </c>
      <c r="O70" s="8" t="inlineStr">
        <is>
          <t>CorpStage CIL Registry v1.0</t>
        </is>
      </c>
      <c r="P70" s="8" t="inlineStr">
        <is>
          <t>Group only (single enterprise-wide fact, does not repeat per node)</t>
        </is>
      </c>
      <c r="Q70" s="8" t="inlineStr">
        <is>
          <t>Global</t>
        </is>
      </c>
      <c r="R70" s="8" t="inlineStr">
        <is>
          <t>Tier 1 (Standard) — available to all frameworks and all customers</t>
        </is>
      </c>
      <c r="S70" s="8" t="inlineStr">
        <is>
          <t>Owned by D05 Governance Intelligence as a board and executive governance fact. Legal obligations of directors owned by D08. D05 owns the governance structure and practice intelligence; D08 owns the legal dimension of director duties.</t>
        </is>
      </c>
    </row>
    <row r="71" ht="15" customHeight="1" s="6">
      <c r="A71" s="8" t="inlineStr">
        <is>
          <t>CDE-G070</t>
        </is>
      </c>
      <c r="B71" s="8" t="inlineStr">
        <is>
          <t>Director Peer-Evaluation Conducted (Current Cycle)</t>
        </is>
      </c>
      <c r="C71" s="8" t="inlineStr">
        <is>
          <t>Boolean</t>
        </is>
      </c>
      <c r="D71" s="8" t="inlineStr">
        <is>
          <t>Supplemental</t>
        </is>
      </c>
      <c r="E71" s="8" t="inlineStr">
        <is>
          <t>Optional</t>
        </is>
      </c>
      <c r="F71" s="8" t="inlineStr">
        <is>
          <t>P3</t>
        </is>
      </c>
      <c r="G71" s="8" t="inlineStr">
        <is>
          <t>True/False/Unknown (tri-state)</t>
        </is>
      </c>
      <c r="H71" s="8" t="inlineStr">
        <is>
          <t>TYPE:BOOLEAN|ALLOWED:TRUE,FALSE,UNKNOWN</t>
        </is>
      </c>
      <c r="I71" s="8" t="inlineStr">
        <is>
          <t>Effective-dated</t>
        </is>
      </c>
      <c r="J71" s="8" t="inlineStr">
        <is>
          <t>One-to-one</t>
        </is>
      </c>
      <c r="K71" s="8" t="inlineStr">
        <is>
          <t>N/A — not a one-to-many numeric field</t>
        </is>
      </c>
      <c r="L71" s="8" t="inlineStr">
        <is>
          <t>User Validation</t>
        </is>
      </c>
      <c r="M71" s="8" t="inlineStr">
        <is>
          <t>CIL Architecture Team</t>
        </is>
      </c>
      <c r="N71" s="8" t="inlineStr">
        <is>
          <t>2026-06-27</t>
        </is>
      </c>
      <c r="O71" s="8" t="inlineStr">
        <is>
          <t>CorpStage CIL Registry v1.0</t>
        </is>
      </c>
      <c r="P71" s="8" t="inlineStr">
        <is>
          <t>Group only (single enterprise-wide fact, does not repeat per node)</t>
        </is>
      </c>
      <c r="Q71" s="8" t="inlineStr">
        <is>
          <t>Global</t>
        </is>
      </c>
      <c r="R71" s="8" t="inlineStr">
        <is>
          <t>Tier 1 (Standard) — available to all frameworks and all customers</t>
        </is>
      </c>
      <c r="S71" s="8" t="inlineStr">
        <is>
          <t>Owned by D05 Governance Intelligence as a board and executive governance fact. Legal obligations of directors owned by D08. D05 owns the governance structure and practice intelligence; D08 owns the legal dimension of director duties.</t>
        </is>
      </c>
    </row>
    <row r="72" ht="15" customHeight="1" s="6">
      <c r="A72" s="8" t="inlineStr">
        <is>
          <t>CDE-G071</t>
        </is>
      </c>
      <c r="B72" s="8" t="inlineStr">
        <is>
          <t>Director Peer-Evaluation Outcome Used in Re-Nomination Decision</t>
        </is>
      </c>
      <c r="C72" s="8" t="inlineStr">
        <is>
          <t>Boolean</t>
        </is>
      </c>
      <c r="D72" s="8" t="inlineStr">
        <is>
          <t>Supplemental</t>
        </is>
      </c>
      <c r="E72" s="8" t="inlineStr">
        <is>
          <t>Optional</t>
        </is>
      </c>
      <c r="F72" s="8" t="inlineStr">
        <is>
          <t>P3</t>
        </is>
      </c>
      <c r="G72" s="8" t="inlineStr">
        <is>
          <t>True/False/Unknown (tri-state)</t>
        </is>
      </c>
      <c r="H72" s="8" t="inlineStr">
        <is>
          <t>TYPE:BOOLEAN|ALLOWED:TRUE,FALSE,UNKNOWN</t>
        </is>
      </c>
      <c r="I72" s="8" t="inlineStr">
        <is>
          <t>Effective-dated</t>
        </is>
      </c>
      <c r="J72" s="8" t="inlineStr">
        <is>
          <t>One-to-one</t>
        </is>
      </c>
      <c r="K72" s="8" t="inlineStr">
        <is>
          <t>N/A — not a one-to-many numeric field</t>
        </is>
      </c>
      <c r="L72" s="8" t="inlineStr">
        <is>
          <t>User Validation</t>
        </is>
      </c>
      <c r="M72" s="8" t="inlineStr">
        <is>
          <t>CIL Architecture Team</t>
        </is>
      </c>
      <c r="N72" s="8" t="inlineStr">
        <is>
          <t>2026-06-27</t>
        </is>
      </c>
      <c r="O72" s="8" t="inlineStr">
        <is>
          <t>CorpStage CIL Registry v1.0</t>
        </is>
      </c>
      <c r="P72" s="8" t="inlineStr">
        <is>
          <t>Group only (single enterprise-wide fact, does not repeat per node)</t>
        </is>
      </c>
      <c r="Q72" s="8" t="inlineStr">
        <is>
          <t>Global</t>
        </is>
      </c>
      <c r="R72" s="8" t="inlineStr">
        <is>
          <t>Tier 1 (Standard) — available to all frameworks and all customers</t>
        </is>
      </c>
      <c r="S72" s="8" t="inlineStr">
        <is>
          <t>Owned by D05 Governance Intelligence as a board and executive governance fact. Legal obligations of directors owned by D08. D05 owns the governance structure and practice intelligence; D08 owns the legal dimension of director duties.</t>
        </is>
      </c>
    </row>
    <row r="73" ht="15" customHeight="1" s="6">
      <c r="A73" s="8" t="inlineStr">
        <is>
          <t>CDE-G072</t>
        </is>
      </c>
      <c r="B73" s="8" t="inlineStr">
        <is>
          <t>Activist Investor Response Protocol Documented</t>
        </is>
      </c>
      <c r="C73" s="8" t="inlineStr">
        <is>
          <t>Boolean</t>
        </is>
      </c>
      <c r="D73" s="8" t="inlineStr">
        <is>
          <t>Required</t>
        </is>
      </c>
      <c r="E73" s="8" t="inlineStr">
        <is>
          <t>Optional</t>
        </is>
      </c>
      <c r="F73" s="8" t="inlineStr">
        <is>
          <t>P1</t>
        </is>
      </c>
      <c r="G73" s="8" t="inlineStr">
        <is>
          <t>True/False/Unknown (tri-state)</t>
        </is>
      </c>
      <c r="H73" s="8" t="inlineStr">
        <is>
          <t>TYPE:BOOLEAN|ALLOWED:TRUE,FALSE,UNKNOWN</t>
        </is>
      </c>
      <c r="I73" s="8" t="inlineStr">
        <is>
          <t>Effective-dated</t>
        </is>
      </c>
      <c r="J73" s="8" t="inlineStr">
        <is>
          <t>One-to-one</t>
        </is>
      </c>
      <c r="K73" s="8" t="inlineStr">
        <is>
          <t>N/A — not a one-to-many numeric field</t>
        </is>
      </c>
      <c r="L73" s="8" t="inlineStr">
        <is>
          <t>Board Portal / Governance Records (Diligent, BoardEffect)</t>
        </is>
      </c>
      <c r="M73" s="8" t="inlineStr">
        <is>
          <t>CIL Architecture Team</t>
        </is>
      </c>
      <c r="N73" s="8" t="inlineStr">
        <is>
          <t>2026-06-27</t>
        </is>
      </c>
      <c r="O73" s="8" t="inlineStr">
        <is>
          <t>CorpStage CIL Registry v1.0</t>
        </is>
      </c>
      <c r="P73" s="8" t="inlineStr">
        <is>
          <t>Group only (single enterprise-wide fact, does not repeat per node)</t>
        </is>
      </c>
      <c r="Q73" s="8" t="inlineStr">
        <is>
          <t>Global</t>
        </is>
      </c>
      <c r="R73" s="8" t="inlineStr">
        <is>
          <t>Tier 1 (Standard) — available to all frameworks and all customers</t>
        </is>
      </c>
      <c r="S73" s="8" t="inlineStr">
        <is>
          <t>Owned by Governance Intelligence per Binding 6(a) — distinct from Domain 4 Risk Intelligence's hostile-takeover/activism risk-quantification CDEs (added during Domain 4's stress-test rounds), which assess the FINANCIAL RISK of an activist campaign. This domain owns the GOVERNANCE RESPONSE PROTOCOL (what the Board does procedurally when one occurs).</t>
        </is>
      </c>
    </row>
    <row r="74" ht="15" customHeight="1" s="6">
      <c r="A74" s="8" t="inlineStr">
        <is>
          <t>CDE-G073</t>
        </is>
      </c>
      <c r="B74" s="8" t="inlineStr">
        <is>
          <t>Designated Activist-Response Committee or Working Group Exists</t>
        </is>
      </c>
      <c r="C74" s="8" t="inlineStr">
        <is>
          <t>Boolean</t>
        </is>
      </c>
      <c r="D74" s="8" t="inlineStr">
        <is>
          <t>Recommended</t>
        </is>
      </c>
      <c r="E74" s="8" t="inlineStr">
        <is>
          <t>Optional</t>
        </is>
      </c>
      <c r="F74" s="8" t="inlineStr">
        <is>
          <t>P2</t>
        </is>
      </c>
      <c r="G74" s="8" t="inlineStr">
        <is>
          <t>True/False/Unknown (tri-state)</t>
        </is>
      </c>
      <c r="H74" s="8" t="inlineStr">
        <is>
          <t>TYPE:BOOLEAN|ALLOWED:TRUE,FALSE,UNKNOWN</t>
        </is>
      </c>
      <c r="I74" s="8" t="inlineStr">
        <is>
          <t>Effective-dated</t>
        </is>
      </c>
      <c r="J74" s="8" t="inlineStr">
        <is>
          <t>One-to-one</t>
        </is>
      </c>
      <c r="K74" s="8" t="inlineStr">
        <is>
          <t>N/A — not a one-to-many numeric field</t>
        </is>
      </c>
      <c r="L74" s="8" t="inlineStr">
        <is>
          <t>Board Portal / Governance Records (Diligent, BoardEffect)</t>
        </is>
      </c>
      <c r="M74" s="8" t="inlineStr">
        <is>
          <t>CIL Architecture Team</t>
        </is>
      </c>
      <c r="N74" s="8" t="inlineStr">
        <is>
          <t>2026-06-27</t>
        </is>
      </c>
      <c r="O74" s="8" t="inlineStr">
        <is>
          <t>CorpStage CIL Registry v1.0</t>
        </is>
      </c>
      <c r="P74" s="8" t="inlineStr">
        <is>
          <t>Group only (single enterprise-wide fact, does not repeat per node)</t>
        </is>
      </c>
      <c r="Q74" s="8" t="inlineStr">
        <is>
          <t>Global</t>
        </is>
      </c>
      <c r="R74" s="8" t="inlineStr">
        <is>
          <t>Tier 1 (Standard) — available to all frameworks and all customers</t>
        </is>
      </c>
      <c r="S74" s="8" t="inlineStr">
        <is>
          <t>Owned by D05 Governance Intelligence as a board and executive governance fact. Legal obligations of directors owned by D08. D05 owns the governance structure and practice intelligence; D08 owns the legal dimension of director duties.</t>
        </is>
      </c>
    </row>
    <row r="75" ht="15" customHeight="1" s="6">
      <c r="A75" s="8" t="inlineStr">
        <is>
          <t>CDE-G074</t>
        </is>
      </c>
      <c r="B75" s="8" t="inlineStr">
        <is>
          <t>Board-Level Crisis-Management Governance Structure Documented</t>
        </is>
      </c>
      <c r="C75" s="8" t="inlineStr">
        <is>
          <t>Boolean</t>
        </is>
      </c>
      <c r="D75" s="8" t="inlineStr">
        <is>
          <t>Required</t>
        </is>
      </c>
      <c r="E75" s="8" t="inlineStr">
        <is>
          <t>Optional</t>
        </is>
      </c>
      <c r="F75" s="8" t="inlineStr">
        <is>
          <t>P1</t>
        </is>
      </c>
      <c r="G75" s="8" t="inlineStr">
        <is>
          <t>True/False/Unknown (tri-state)</t>
        </is>
      </c>
      <c r="H75" s="8" t="inlineStr">
        <is>
          <t>TYPE:BOOLEAN|ALLOWED:TRUE,FALSE,UNKNOWN</t>
        </is>
      </c>
      <c r="I75" s="8" t="inlineStr">
        <is>
          <t>Effective-dated</t>
        </is>
      </c>
      <c r="J75" s="8" t="inlineStr">
        <is>
          <t>One-to-one</t>
        </is>
      </c>
      <c r="K75" s="8" t="inlineStr">
        <is>
          <t>N/A — not a one-to-many numeric field</t>
        </is>
      </c>
      <c r="L75" s="8" t="inlineStr">
        <is>
          <t>Board Portal / Governance Records (Diligent, BoardEffect)</t>
        </is>
      </c>
      <c r="M75" s="8" t="inlineStr">
        <is>
          <t>CIL Architecture Team</t>
        </is>
      </c>
      <c r="N75" s="8" t="inlineStr">
        <is>
          <t>2026-06-27</t>
        </is>
      </c>
      <c r="O75" s="8" t="inlineStr">
        <is>
          <t>CorpStage CIL Registry v1.0</t>
        </is>
      </c>
      <c r="P75" s="8" t="inlineStr">
        <is>
          <t>Group only (single enterprise-wide fact, does not repeat per node)</t>
        </is>
      </c>
      <c r="Q75" s="8" t="inlineStr">
        <is>
          <t>Global</t>
        </is>
      </c>
      <c r="R75" s="8" t="inlineStr">
        <is>
          <t>Tier 1 (Standard) — available to all frameworks and all customers</t>
        </is>
      </c>
      <c r="S75" s="8" t="inlineStr">
        <is>
          <t>Owned by D05 Governance Intelligence as a board and executive governance fact. Legal obligations of directors owned by D08. D05 owns the governance structure and practice intelligence; D08 owns the legal dimension of director duties.</t>
        </is>
      </c>
    </row>
    <row r="76" ht="15" customHeight="1" s="6">
      <c r="A76" s="8" t="inlineStr">
        <is>
          <t>CDE-G075</t>
        </is>
      </c>
      <c r="B76" s="8" t="inlineStr">
        <is>
          <t>Crisis Decision-Making Authority Delegation Documented</t>
        </is>
      </c>
      <c r="C76" s="8" t="inlineStr">
        <is>
          <t>Boolean</t>
        </is>
      </c>
      <c r="D76" s="8" t="inlineStr">
        <is>
          <t>Recommended</t>
        </is>
      </c>
      <c r="E76" s="8" t="inlineStr">
        <is>
          <t>Optional</t>
        </is>
      </c>
      <c r="F76" s="8" t="inlineStr">
        <is>
          <t>P2</t>
        </is>
      </c>
      <c r="G76" s="8" t="inlineStr">
        <is>
          <t>True/False/Unknown (tri-state)</t>
        </is>
      </c>
      <c r="H76" s="8" t="inlineStr">
        <is>
          <t>TYPE:BOOLEAN|ALLOWED:TRUE,FALSE,UNKNOWN</t>
        </is>
      </c>
      <c r="I76" s="8" t="inlineStr">
        <is>
          <t>Effective-dated</t>
        </is>
      </c>
      <c r="J76" s="8" t="inlineStr">
        <is>
          <t>One-to-one</t>
        </is>
      </c>
      <c r="K76" s="8" t="inlineStr">
        <is>
          <t>N/A — not a one-to-many numeric field</t>
        </is>
      </c>
      <c r="L76" s="8" t="inlineStr">
        <is>
          <t>Board Portal / Governance Records (Diligent, BoardEffect)</t>
        </is>
      </c>
      <c r="M76" s="8" t="inlineStr">
        <is>
          <t>CIL Architecture Team</t>
        </is>
      </c>
      <c r="N76" s="8" t="inlineStr">
        <is>
          <t>2026-06-27</t>
        </is>
      </c>
      <c r="O76" s="8" t="inlineStr">
        <is>
          <t>CorpStage CIL Registry v1.0</t>
        </is>
      </c>
      <c r="P76" s="8" t="inlineStr">
        <is>
          <t>Group only (single enterprise-wide fact, does not repeat per node)</t>
        </is>
      </c>
      <c r="Q76" s="8" t="inlineStr">
        <is>
          <t>Global</t>
        </is>
      </c>
      <c r="R76" s="8" t="inlineStr">
        <is>
          <t>Tier 1 (Standard) — available to all frameworks and all customers</t>
        </is>
      </c>
      <c r="S76" s="8" t="inlineStr">
        <is>
          <t>Owned by D05 Governance Intelligence as a board and executive governance fact. Legal obligations of directors owned by D08. D05 owns the governance structure and practice intelligence; D08 owns the legal dimension of director duties.</t>
        </is>
      </c>
    </row>
    <row r="77" ht="15" customHeight="1" s="6">
      <c r="A77" s="8" t="inlineStr">
        <is>
          <t>CDE-G076</t>
        </is>
      </c>
      <c r="B77" s="8" t="inlineStr">
        <is>
          <t>No-Confidence Vote, Mass Resignation, or Contested Election Occurred (Historical)</t>
        </is>
      </c>
      <c r="C77" s="8" t="inlineStr">
        <is>
          <t>Boolean</t>
        </is>
      </c>
      <c r="D77" s="8" t="inlineStr">
        <is>
          <t>Recommended</t>
        </is>
      </c>
      <c r="E77" s="8" t="inlineStr">
        <is>
          <t>Optional</t>
        </is>
      </c>
      <c r="F77" s="8" t="inlineStr">
        <is>
          <t>P2</t>
        </is>
      </c>
      <c r="G77" s="8" t="inlineStr">
        <is>
          <t>True/False/Unknown (tri-state)</t>
        </is>
      </c>
      <c r="H77" s="8" t="inlineStr">
        <is>
          <t>TYPE:BOOLEAN|ALLOWED:TRUE,FALSE,UNKNOWN</t>
        </is>
      </c>
      <c r="I77" s="8" t="inlineStr">
        <is>
          <t>Point-in-time</t>
        </is>
      </c>
      <c r="J77" s="8" t="inlineStr">
        <is>
          <t>One-to-one</t>
        </is>
      </c>
      <c r="K77" s="8" t="inlineStr">
        <is>
          <t>N/A — not a one-to-many numeric field</t>
        </is>
      </c>
      <c r="L77" s="8" t="inlineStr">
        <is>
          <t>User Validation</t>
        </is>
      </c>
      <c r="M77" s="8" t="inlineStr">
        <is>
          <t>CIL Architecture Team</t>
        </is>
      </c>
      <c r="N77" s="8" t="inlineStr">
        <is>
          <t>2026-06-27</t>
        </is>
      </c>
      <c r="O77" s="8" t="inlineStr">
        <is>
          <t>CorpStage CIL Registry v1.0</t>
        </is>
      </c>
      <c r="P77" s="8" t="inlineStr">
        <is>
          <t>Group only (single enterprise-wide fact, does not repeat per node)</t>
        </is>
      </c>
      <c r="Q77" s="8" t="inlineStr">
        <is>
          <t>Global</t>
        </is>
      </c>
      <c r="R77" s="8" t="inlineStr">
        <is>
          <t>Tier 1 (Standard) — available to all frameworks and all customers</t>
        </is>
      </c>
      <c r="S77" s="8" t="inlineStr">
        <is>
          <t>Owned by D05 Governance Intelligence as a board and executive governance fact. Legal obligations of directors owned by D08. D05 owns the governance structure and practice intelligence; D08 owns the legal dimension of director duties.</t>
        </is>
      </c>
    </row>
    <row r="78" ht="15" customHeight="1" s="6">
      <c r="A78" s="8" t="inlineStr">
        <is>
          <t>CDE-G077</t>
        </is>
      </c>
      <c r="B78" s="8" t="inlineStr">
        <is>
          <t>Governance Crisis Event Description and Date</t>
        </is>
      </c>
      <c r="C78" s="8" t="inlineStr">
        <is>
          <t>Text</t>
        </is>
      </c>
      <c r="D78" s="8" t="inlineStr">
        <is>
          <t>Supplemental</t>
        </is>
      </c>
      <c r="E78" s="8" t="inlineStr">
        <is>
          <t>Optional</t>
        </is>
      </c>
      <c r="F78" s="8" t="inlineStr">
        <is>
          <t>P3</t>
        </is>
      </c>
      <c r="G78" s="8" t="inlineStr">
        <is>
          <t>Non-empty text</t>
        </is>
      </c>
      <c r="H78" s="8" t="inlineStr">
        <is>
          <t>TYPE:TEXT</t>
        </is>
      </c>
      <c r="I78" s="8" t="inlineStr">
        <is>
          <t>Point-in-time</t>
        </is>
      </c>
      <c r="J78" s="8" t="inlineStr">
        <is>
          <t>One-to-many</t>
        </is>
      </c>
      <c r="K78" s="8" t="inlineStr">
        <is>
          <t>N/A — not a one-to-many numeric field</t>
        </is>
      </c>
      <c r="L78" s="8" t="inlineStr">
        <is>
          <t>User Validation</t>
        </is>
      </c>
      <c r="M78" s="8" t="inlineStr">
        <is>
          <t>CIL Architecture Team</t>
        </is>
      </c>
      <c r="N78" s="8" t="inlineStr">
        <is>
          <t>2026-06-27</t>
        </is>
      </c>
      <c r="O78" s="8" t="inlineStr">
        <is>
          <t>CorpStage CIL Registry v1.0</t>
        </is>
      </c>
      <c r="P78" s="8" t="inlineStr">
        <is>
          <t>Company, Group (collected per legal entity, not below Company level)</t>
        </is>
      </c>
      <c r="Q78" s="8" t="inlineStr">
        <is>
          <t>Global</t>
        </is>
      </c>
      <c r="R78" s="8" t="inlineStr">
        <is>
          <t>Tier 1 (Standard) — available to all frameworks and all customers</t>
        </is>
      </c>
      <c r="S78" s="8" t="inlineStr">
        <is>
          <t>Owned by D05 Governance Intelligence as a board and executive governance fact. Legal obligations of directors owned by D08. D05 owns the governance structure and practice intelligence; D08 owns the legal dimension of director duties.</t>
        </is>
      </c>
    </row>
    <row r="79" ht="15" customHeight="1" s="6">
      <c r="A79" s="8" t="inlineStr">
        <is>
          <t>CDE-G078</t>
        </is>
      </c>
      <c r="B79" s="8" t="inlineStr">
        <is>
          <t>Board Meeting Attendance Rate %</t>
        </is>
      </c>
      <c r="C79" s="8" t="inlineStr">
        <is>
          <t>Numeric</t>
        </is>
      </c>
      <c r="D79" s="8" t="inlineStr">
        <is>
          <t>Recommended</t>
        </is>
      </c>
      <c r="E79" s="8" t="inlineStr">
        <is>
          <t>Optional</t>
        </is>
      </c>
      <c r="F79" s="8" t="inlineStr">
        <is>
          <t>P2</t>
        </is>
      </c>
      <c r="G79" s="8" t="inlineStr">
        <is>
          <t>0-100, numeric</t>
        </is>
      </c>
      <c r="H79" s="8" t="inlineStr">
        <is>
          <t>TYPE:NUMERIC|MIN:0|MAX:100</t>
        </is>
      </c>
      <c r="I79" s="8" t="inlineStr">
        <is>
          <t>Effective-dated</t>
        </is>
      </c>
      <c r="J79" s="8" t="inlineStr">
        <is>
          <t>One-to-one</t>
        </is>
      </c>
      <c r="K79" s="8" t="inlineStr">
        <is>
          <t>N/A — not a one-to-many numeric field</t>
        </is>
      </c>
      <c r="L79" s="8" t="inlineStr">
        <is>
          <t>Annual Report / 10-K Filing (SEC EDGAR, Company IR Site)</t>
        </is>
      </c>
      <c r="M79" s="8" t="inlineStr">
        <is>
          <t>CIL Architecture Team</t>
        </is>
      </c>
      <c r="N79" s="8" t="inlineStr">
        <is>
          <t>2026-06-27</t>
        </is>
      </c>
      <c r="O79" s="8" t="inlineStr">
        <is>
          <t>CorpStage CIL Registry v1.1</t>
        </is>
      </c>
      <c r="P79" s="8" t="inlineStr">
        <is>
          <t>Group only (single enterprise-wide fact, does not repeat per node)</t>
        </is>
      </c>
      <c r="Q79" s="8" t="inlineStr">
        <is>
          <t>Global</t>
        </is>
      </c>
      <c r="R79" s="8" t="inlineStr">
        <is>
          <t>Tier 1 (Standard) — available to all frameworks and all customers</t>
        </is>
      </c>
      <c r="S79" s="8" t="inlineStr">
        <is>
          <t>Owned by D05 Governance Intelligence as a board and executive governance fact. Legal obligations of directors owned by D08. D05 owns the governance structure and practice intelligence; D08 owns the legal dimension of director duties.</t>
        </is>
      </c>
    </row>
    <row r="80" ht="15" customHeight="1" s="6">
      <c r="A80" s="8" t="inlineStr">
        <is>
          <t>CDE-G079</t>
        </is>
      </c>
      <c r="B80" s="8" t="inlineStr">
        <is>
          <t>Independence Last Reassessed Date</t>
        </is>
      </c>
      <c r="C80" s="8" t="inlineStr">
        <is>
          <t>Date</t>
        </is>
      </c>
      <c r="D80" s="8" t="inlineStr">
        <is>
          <t>Supplemental</t>
        </is>
      </c>
      <c r="E80" s="8" t="inlineStr">
        <is>
          <t>Optional</t>
        </is>
      </c>
      <c r="F80" s="8" t="inlineStr">
        <is>
          <t>P3</t>
        </is>
      </c>
      <c r="G80" s="8" t="inlineStr">
        <is>
          <t>Valid date</t>
        </is>
      </c>
      <c r="H80" s="8" t="inlineStr">
        <is>
          <t>TYPE:DATE</t>
        </is>
      </c>
      <c r="I80" s="8" t="inlineStr">
        <is>
          <t>Point-in-time</t>
        </is>
      </c>
      <c r="J80" s="8" t="inlineStr">
        <is>
          <t>One-to-one</t>
        </is>
      </c>
      <c r="K80" s="8" t="inlineStr">
        <is>
          <t>N/A — not a one-to-many numeric field</t>
        </is>
      </c>
      <c r="L80" s="8" t="inlineStr">
        <is>
          <t>Annual Report / 10-K Filing (SEC EDGAR, Company IR Site)</t>
        </is>
      </c>
      <c r="M80" s="8" t="inlineStr">
        <is>
          <t>CIL Architecture Team</t>
        </is>
      </c>
      <c r="N80" s="8" t="inlineStr">
        <is>
          <t>2026-06-27</t>
        </is>
      </c>
      <c r="O80" s="8" t="inlineStr">
        <is>
          <t>CorpStage CIL Registry v1.1</t>
        </is>
      </c>
      <c r="P80" s="8" t="inlineStr">
        <is>
          <t>Group only (single enterprise-wide fact, does not repeat per node)</t>
        </is>
      </c>
      <c r="Q80" s="8" t="inlineStr">
        <is>
          <t>Global</t>
        </is>
      </c>
      <c r="R80" s="8" t="inlineStr">
        <is>
          <t>Tier 1 (Standard) — available to all frameworks and all customers</t>
        </is>
      </c>
      <c r="S80" s="8" t="inlineStr">
        <is>
          <t>Owned by D05 Governance Intelligence as a board and executive governance fact. Legal obligations of directors owned by D08. D05 owns the governance structure and practice intelligence; D08 owns the legal dimension of director duties.</t>
        </is>
      </c>
    </row>
    <row r="81" ht="15" customHeight="1" s="6">
      <c r="A81" s="8" t="inlineStr">
        <is>
          <t>CDE-G080</t>
        </is>
      </c>
      <c r="B81" s="8" t="inlineStr">
        <is>
          <t>Skills Matrix Last Updated Date</t>
        </is>
      </c>
      <c r="C81" s="8" t="inlineStr">
        <is>
          <t>Date</t>
        </is>
      </c>
      <c r="D81" s="8" t="inlineStr">
        <is>
          <t>Supplemental</t>
        </is>
      </c>
      <c r="E81" s="8" t="inlineStr">
        <is>
          <t>Optional</t>
        </is>
      </c>
      <c r="F81" s="8" t="inlineStr">
        <is>
          <t>P3</t>
        </is>
      </c>
      <c r="G81" s="8" t="inlineStr">
        <is>
          <t>Valid date</t>
        </is>
      </c>
      <c r="H81" s="8" t="inlineStr">
        <is>
          <t>TYPE:DATE</t>
        </is>
      </c>
      <c r="I81" s="8" t="inlineStr">
        <is>
          <t>Point-in-time</t>
        </is>
      </c>
      <c r="J81" s="8" t="inlineStr">
        <is>
          <t>One-to-one</t>
        </is>
      </c>
      <c r="K81" s="8" t="inlineStr">
        <is>
          <t>N/A — not a one-to-many numeric field</t>
        </is>
      </c>
      <c r="L81" s="8" t="inlineStr">
        <is>
          <t>Annual Report / 10-K Filing (SEC EDGAR, Company IR Site)</t>
        </is>
      </c>
      <c r="M81" s="8" t="inlineStr">
        <is>
          <t>CIL Architecture Team</t>
        </is>
      </c>
      <c r="N81" s="8" t="inlineStr">
        <is>
          <t>2026-06-27</t>
        </is>
      </c>
      <c r="O81" s="8" t="inlineStr">
        <is>
          <t>CorpStage CIL Registry v1.1</t>
        </is>
      </c>
      <c r="P81" s="8" t="inlineStr">
        <is>
          <t>Group only (single enterprise-wide fact, does not repeat per node)</t>
        </is>
      </c>
      <c r="Q81" s="8" t="inlineStr">
        <is>
          <t>Global</t>
        </is>
      </c>
      <c r="R81" s="8" t="inlineStr">
        <is>
          <t>Tier 1 (Standard) — available to all frameworks and all customers</t>
        </is>
      </c>
      <c r="S81" s="8" t="inlineStr">
        <is>
          <t>Owned by D05 Governance Intelligence as a board and executive governance fact. Legal obligations of directors owned by D08. D05 owns the governance structure and practice intelligence; D08 owns the legal dimension of director duties.</t>
        </is>
      </c>
    </row>
    <row r="82" ht="15" customHeight="1" s="6">
      <c r="A82" s="8" t="inlineStr">
        <is>
          <t>CDE-G081</t>
        </is>
      </c>
      <c r="B82" s="8" t="inlineStr">
        <is>
          <t>Combined Chair/CEO Arrangement Disclosed Rationale</t>
        </is>
      </c>
      <c r="C82" s="8" t="inlineStr">
        <is>
          <t>Text</t>
        </is>
      </c>
      <c r="D82" s="8" t="inlineStr">
        <is>
          <t>Supplemental</t>
        </is>
      </c>
      <c r="E82" s="8" t="inlineStr">
        <is>
          <t>Optional</t>
        </is>
      </c>
      <c r="F82" s="8" t="inlineStr">
        <is>
          <t>P3</t>
        </is>
      </c>
      <c r="G82" s="8" t="inlineStr">
        <is>
          <t>Non-empty text</t>
        </is>
      </c>
      <c r="H82" s="8" t="inlineStr">
        <is>
          <t>TYPE:TEXT</t>
        </is>
      </c>
      <c r="I82" s="8" t="inlineStr">
        <is>
          <t>Point-in-time</t>
        </is>
      </c>
      <c r="J82" s="8" t="inlineStr">
        <is>
          <t>One-to-one</t>
        </is>
      </c>
      <c r="K82" s="8" t="inlineStr">
        <is>
          <t>N/A — not a one-to-many numeric field</t>
        </is>
      </c>
      <c r="L82" s="8" t="inlineStr">
        <is>
          <t>Annual Report / 10-K Filing (SEC EDGAR, Company IR Site)</t>
        </is>
      </c>
      <c r="M82" s="8" t="inlineStr">
        <is>
          <t>CIL Architecture Team</t>
        </is>
      </c>
      <c r="N82" s="8" t="inlineStr">
        <is>
          <t>2026-06-27</t>
        </is>
      </c>
      <c r="O82" s="8" t="inlineStr">
        <is>
          <t>CorpStage CIL Registry v1.1</t>
        </is>
      </c>
      <c r="P82" s="8" t="inlineStr">
        <is>
          <t>Group only (single enterprise-wide fact, does not repeat per node)</t>
        </is>
      </c>
      <c r="Q82" s="8" t="inlineStr">
        <is>
          <t>Global</t>
        </is>
      </c>
      <c r="R82" s="8" t="inlineStr">
        <is>
          <t>Tier 1 (Standard) — available to all frameworks and all customers</t>
        </is>
      </c>
      <c r="S82" s="8" t="inlineStr">
        <is>
          <t>Owned by D05 Governance Intelligence as a board and executive governance fact. Legal obligations of directors owned by D08. D05 owns the governance structure and practice intelligence; D08 owns the legal dimension of director duties.</t>
        </is>
      </c>
    </row>
    <row r="83" ht="15" customHeight="1" s="6">
      <c r="A83" s="8" t="inlineStr">
        <is>
          <t>CDE-G082</t>
        </is>
      </c>
      <c r="B83" s="8" t="inlineStr">
        <is>
          <t>Longest-Serving Director Tenure (Years)</t>
        </is>
      </c>
      <c r="C83" s="8" t="inlineStr">
        <is>
          <t>Numeric</t>
        </is>
      </c>
      <c r="D83" s="8" t="inlineStr">
        <is>
          <t>Supplemental</t>
        </is>
      </c>
      <c r="E83" s="8" t="inlineStr">
        <is>
          <t>Optional</t>
        </is>
      </c>
      <c r="F83" s="8" t="inlineStr">
        <is>
          <t>P3</t>
        </is>
      </c>
      <c r="G83" s="8" t="inlineStr">
        <is>
          <t>&gt;=0, numeric</t>
        </is>
      </c>
      <c r="H83" s="8" t="inlineStr">
        <is>
          <t>TYPE:NUMERIC|MIN:0</t>
        </is>
      </c>
      <c r="I83" s="8" t="inlineStr">
        <is>
          <t>Effective-dated</t>
        </is>
      </c>
      <c r="J83" s="8" t="inlineStr">
        <is>
          <t>One-to-one</t>
        </is>
      </c>
      <c r="K83" s="8" t="inlineStr">
        <is>
          <t>N/A — not a one-to-many numeric field</t>
        </is>
      </c>
      <c r="L83" s="8" t="inlineStr">
        <is>
          <t>Annual Report / 10-K Filing (SEC EDGAR, Company IR Site)</t>
        </is>
      </c>
      <c r="M83" s="8" t="inlineStr">
        <is>
          <t>CIL Architecture Team</t>
        </is>
      </c>
      <c r="N83" s="8" t="inlineStr">
        <is>
          <t>2026-06-27</t>
        </is>
      </c>
      <c r="O83" s="8" t="inlineStr">
        <is>
          <t>CorpStage CIL Registry v1.1</t>
        </is>
      </c>
      <c r="P83" s="8" t="inlineStr">
        <is>
          <t>Group only (single enterprise-wide fact, does not repeat per node)</t>
        </is>
      </c>
      <c r="Q83" s="8" t="inlineStr">
        <is>
          <t>Global</t>
        </is>
      </c>
      <c r="R83" s="8" t="inlineStr">
        <is>
          <t>Tier 1 (Standard) — available to all frameworks and all customers</t>
        </is>
      </c>
      <c r="S83" s="8" t="inlineStr">
        <is>
          <t>Owned by D05 Governance Intelligence as a board and executive governance fact. Legal obligations of directors owned by D08. D05 owns the governance structure and practice intelligence; D08 owns the legal dimension of director duties.</t>
        </is>
      </c>
    </row>
    <row r="84" ht="15" customHeight="1" s="6">
      <c r="A84" s="8" t="inlineStr">
        <is>
          <t>CDE-G083</t>
        </is>
      </c>
      <c r="B84" s="8" t="inlineStr">
        <is>
          <t>Lead Independent Director Responsibilities Documented</t>
        </is>
      </c>
      <c r="C84" s="8" t="inlineStr">
        <is>
          <t>Boolean</t>
        </is>
      </c>
      <c r="D84" s="8" t="inlineStr">
        <is>
          <t>Supplemental</t>
        </is>
      </c>
      <c r="E84" s="8" t="inlineStr">
        <is>
          <t>Optional</t>
        </is>
      </c>
      <c r="F84" s="8" t="inlineStr">
        <is>
          <t>P3</t>
        </is>
      </c>
      <c r="G84" s="8" t="inlineStr">
        <is>
          <t>True/False/Unknown (tri-state)</t>
        </is>
      </c>
      <c r="H84" s="8" t="inlineStr">
        <is>
          <t>TYPE:BOOLEAN|ALLOWED:TRUE,FALSE,UNKNOWN</t>
        </is>
      </c>
      <c r="I84" s="8" t="inlineStr">
        <is>
          <t>Point-in-time</t>
        </is>
      </c>
      <c r="J84" s="8" t="inlineStr">
        <is>
          <t>One-to-one</t>
        </is>
      </c>
      <c r="K84" s="8" t="inlineStr">
        <is>
          <t>N/A — not a one-to-many numeric field</t>
        </is>
      </c>
      <c r="L84" s="8" t="inlineStr">
        <is>
          <t>Annual Report / 10-K Filing (SEC EDGAR, Company IR Site)</t>
        </is>
      </c>
      <c r="M84" s="8" t="inlineStr">
        <is>
          <t>CIL Architecture Team</t>
        </is>
      </c>
      <c r="N84" s="8" t="inlineStr">
        <is>
          <t>2026-06-27</t>
        </is>
      </c>
      <c r="O84" s="8" t="inlineStr">
        <is>
          <t>CorpStage CIL Registry v1.1</t>
        </is>
      </c>
      <c r="P84" s="8" t="inlineStr">
        <is>
          <t>Group only (single enterprise-wide fact, does not repeat per node)</t>
        </is>
      </c>
      <c r="Q84" s="8" t="inlineStr">
        <is>
          <t>Global</t>
        </is>
      </c>
      <c r="R84" s="8" t="inlineStr">
        <is>
          <t>Tier 1 (Standard) — available to all frameworks and all customers</t>
        </is>
      </c>
      <c r="S84" s="8" t="inlineStr">
        <is>
          <t>Owned by D05 Governance Intelligence as a board and executive governance fact. Legal obligations of directors owned by D08. D05 owns the governance structure and practice intelligence; D08 owns the legal dimension of director duties.</t>
        </is>
      </c>
    </row>
    <row r="85" ht="15" customHeight="1" s="6">
      <c r="A85" s="8" t="inlineStr">
        <is>
          <t>CDE-G084</t>
        </is>
      </c>
      <c r="B85" s="8" t="inlineStr">
        <is>
          <t>Director Diversity Sourcing Considered in Nomination Process</t>
        </is>
      </c>
      <c r="C85" s="8" t="inlineStr">
        <is>
          <t>Boolean</t>
        </is>
      </c>
      <c r="D85" s="8" t="inlineStr">
        <is>
          <t>Supplemental</t>
        </is>
      </c>
      <c r="E85" s="8" t="inlineStr">
        <is>
          <t>Optional</t>
        </is>
      </c>
      <c r="F85" s="8" t="inlineStr">
        <is>
          <t>P3</t>
        </is>
      </c>
      <c r="G85" s="8" t="inlineStr">
        <is>
          <t>True/False/Unknown (tri-state)</t>
        </is>
      </c>
      <c r="H85" s="8" t="inlineStr">
        <is>
          <t>TYPE:BOOLEAN|ALLOWED:TRUE,FALSE,UNKNOWN</t>
        </is>
      </c>
      <c r="I85" s="8" t="inlineStr">
        <is>
          <t>Point-in-time</t>
        </is>
      </c>
      <c r="J85" s="8" t="inlineStr">
        <is>
          <t>One-to-one</t>
        </is>
      </c>
      <c r="K85" s="8" t="inlineStr">
        <is>
          <t>N/A — not a one-to-many numeric field</t>
        </is>
      </c>
      <c r="L85" s="8" t="inlineStr">
        <is>
          <t>Annual Report / 10-K Filing (SEC EDGAR, Company IR Site)</t>
        </is>
      </c>
      <c r="M85" s="8" t="inlineStr">
        <is>
          <t>CIL Architecture Team</t>
        </is>
      </c>
      <c r="N85" s="8" t="inlineStr">
        <is>
          <t>2026-06-27</t>
        </is>
      </c>
      <c r="O85" s="8" t="inlineStr">
        <is>
          <t>CorpStage CIL Registry v1.1</t>
        </is>
      </c>
      <c r="P85" s="8" t="inlineStr">
        <is>
          <t>Group only (single enterprise-wide fact, does not repeat per node)</t>
        </is>
      </c>
      <c r="Q85" s="8" t="inlineStr">
        <is>
          <t>Global</t>
        </is>
      </c>
      <c r="R85" s="8" t="inlineStr">
        <is>
          <t>Tier 1 (Standard) — available to all frameworks and all customers</t>
        </is>
      </c>
      <c r="S85" s="8" t="inlineStr">
        <is>
          <t>Owned by D05 Governance Intelligence as a board and executive governance fact. Legal obligations of directors owned by D08. D05 owns the governance structure and practice intelligence; D08 owns the legal dimension of director duties.</t>
        </is>
      </c>
    </row>
    <row r="86" ht="15" customHeight="1" s="6">
      <c r="A86" s="8" t="inlineStr">
        <is>
          <t>CDE-G085</t>
        </is>
      </c>
      <c r="B86" s="8" t="inlineStr">
        <is>
          <t>Succession Plan Last Reviewed Date</t>
        </is>
      </c>
      <c r="C86" s="8" t="inlineStr">
        <is>
          <t>Date</t>
        </is>
      </c>
      <c r="D86" s="8" t="inlineStr">
        <is>
          <t>Supplemental</t>
        </is>
      </c>
      <c r="E86" s="8" t="inlineStr">
        <is>
          <t>Optional</t>
        </is>
      </c>
      <c r="F86" s="8" t="inlineStr">
        <is>
          <t>P3</t>
        </is>
      </c>
      <c r="G86" s="8" t="inlineStr">
        <is>
          <t>Valid date</t>
        </is>
      </c>
      <c r="H86" s="8" t="inlineStr">
        <is>
          <t>TYPE:DATE</t>
        </is>
      </c>
      <c r="I86" s="8" t="inlineStr">
        <is>
          <t>Point-in-time</t>
        </is>
      </c>
      <c r="J86" s="8" t="inlineStr">
        <is>
          <t>One-to-one</t>
        </is>
      </c>
      <c r="K86" s="8" t="inlineStr">
        <is>
          <t>N/A — not a one-to-many numeric field</t>
        </is>
      </c>
      <c r="L86" s="8" t="inlineStr">
        <is>
          <t>Board Portal / Governance Records (Diligent, BoardEffect)</t>
        </is>
      </c>
      <c r="M86" s="8" t="inlineStr">
        <is>
          <t>CIL Architecture Team</t>
        </is>
      </c>
      <c r="N86" s="8" t="inlineStr">
        <is>
          <t>2026-06-27</t>
        </is>
      </c>
      <c r="O86" s="8" t="inlineStr">
        <is>
          <t>CorpStage CIL Registry v1.1</t>
        </is>
      </c>
      <c r="P86" s="8" t="inlineStr">
        <is>
          <t>Group only (single enterprise-wide fact, does not repeat per node)</t>
        </is>
      </c>
      <c r="Q86" s="8" t="inlineStr">
        <is>
          <t>Global</t>
        </is>
      </c>
      <c r="R86" s="8" t="inlineStr">
        <is>
          <t>Tier 1 (Standard) — available to all frameworks and all customers</t>
        </is>
      </c>
      <c r="S86" s="8" t="inlineStr">
        <is>
          <t>Owned by D05 Governance Intelligence as a board and executive governance fact. Legal obligations of directors owned by D08. D05 owns the governance structure and practice intelligence; D08 owns the legal dimension of director duties.</t>
        </is>
      </c>
    </row>
    <row r="87" ht="15" customHeight="1" s="6">
      <c r="A87" s="8" t="inlineStr">
        <is>
          <t>CDE-G086</t>
        </is>
      </c>
      <c r="B87" s="8" t="inlineStr">
        <is>
          <t>Onboarding Program Duration (Days)</t>
        </is>
      </c>
      <c r="C87" s="8" t="inlineStr">
        <is>
          <t>Numeric</t>
        </is>
      </c>
      <c r="D87" s="8" t="inlineStr">
        <is>
          <t>Supplemental</t>
        </is>
      </c>
      <c r="E87" s="8" t="inlineStr">
        <is>
          <t>Optional</t>
        </is>
      </c>
      <c r="F87" s="8" t="inlineStr">
        <is>
          <t>P3</t>
        </is>
      </c>
      <c r="G87" s="8" t="inlineStr">
        <is>
          <t>&gt;=0, integer</t>
        </is>
      </c>
      <c r="H87" s="8" t="inlineStr">
        <is>
          <t>TYPE:INTEGER|MIN:0</t>
        </is>
      </c>
      <c r="I87" s="8" t="inlineStr">
        <is>
          <t>Point-in-time</t>
        </is>
      </c>
      <c r="J87" s="8" t="inlineStr">
        <is>
          <t>One-to-one</t>
        </is>
      </c>
      <c r="K87" s="8" t="inlineStr">
        <is>
          <t>N/A — not a one-to-many numeric field</t>
        </is>
      </c>
      <c r="L87" s="8" t="inlineStr">
        <is>
          <t>User Validation</t>
        </is>
      </c>
      <c r="M87" s="8" t="inlineStr">
        <is>
          <t>CIL Architecture Team</t>
        </is>
      </c>
      <c r="N87" s="8" t="inlineStr">
        <is>
          <t>2026-06-27</t>
        </is>
      </c>
      <c r="O87" s="8" t="inlineStr">
        <is>
          <t>CorpStage CIL Registry v1.1</t>
        </is>
      </c>
      <c r="P87" s="8" t="inlineStr">
        <is>
          <t>Group only (single enterprise-wide fact, does not repeat per node)</t>
        </is>
      </c>
      <c r="Q87" s="8" t="inlineStr">
        <is>
          <t>Global</t>
        </is>
      </c>
      <c r="R87" s="8" t="inlineStr">
        <is>
          <t>Tier 1 (Standard) — available to all frameworks and all customers</t>
        </is>
      </c>
      <c r="S87" s="8" t="inlineStr">
        <is>
          <t>Owned by D05 Governance Intelligence as a board and executive governance fact. Legal obligations of directors owned by D08. D05 owns the governance structure and practice intelligence; D08 owns the legal dimension of director duties.</t>
        </is>
      </c>
    </row>
    <row r="88" ht="15" customHeight="1" s="6">
      <c r="A88" s="8" t="inlineStr">
        <is>
          <t>CDE-G087</t>
        </is>
      </c>
      <c r="B88" s="8" t="inlineStr">
        <is>
          <t>Re-Election Recommendation Source (Nomination Committee/Full Board)</t>
        </is>
      </c>
      <c r="C88" s="8" t="inlineStr">
        <is>
          <t>Text</t>
        </is>
      </c>
      <c r="D88" s="8" t="inlineStr">
        <is>
          <t>Supplemental</t>
        </is>
      </c>
      <c r="E88" s="8" t="inlineStr">
        <is>
          <t>Optional</t>
        </is>
      </c>
      <c r="F88" s="8" t="inlineStr">
        <is>
          <t>P3</t>
        </is>
      </c>
      <c r="G88" s="8" t="inlineStr">
        <is>
          <t>Non-empty text</t>
        </is>
      </c>
      <c r="H88" s="8" t="inlineStr">
        <is>
          <t>TYPE:TEXT</t>
        </is>
      </c>
      <c r="I88" s="8" t="inlineStr">
        <is>
          <t>Point-in-time</t>
        </is>
      </c>
      <c r="J88" s="8" t="inlineStr">
        <is>
          <t>One-to-one</t>
        </is>
      </c>
      <c r="K88" s="8" t="inlineStr">
        <is>
          <t>N/A — not a one-to-many numeric field</t>
        </is>
      </c>
      <c r="L88" s="8" t="inlineStr">
        <is>
          <t>Annual Report / 10-K Filing (SEC EDGAR, Company IR Site)</t>
        </is>
      </c>
      <c r="M88" s="8" t="inlineStr">
        <is>
          <t>CIL Architecture Team</t>
        </is>
      </c>
      <c r="N88" s="8" t="inlineStr">
        <is>
          <t>2026-06-27</t>
        </is>
      </c>
      <c r="O88" s="8" t="inlineStr">
        <is>
          <t>CorpStage CIL Registry v1.1</t>
        </is>
      </c>
      <c r="P88" s="8" t="inlineStr">
        <is>
          <t>Group only (single enterprise-wide fact, does not repeat per node)</t>
        </is>
      </c>
      <c r="Q88" s="8" t="inlineStr">
        <is>
          <t>Global</t>
        </is>
      </c>
      <c r="R88" s="8" t="inlineStr">
        <is>
          <t>Tier 1 (Standard) — available to all frameworks and all customers</t>
        </is>
      </c>
      <c r="S88" s="8" t="inlineStr">
        <is>
          <t>Owned by D05 Governance Intelligence as a board and executive governance fact. Legal obligations of directors owned by D08. D05 owns the governance structure and practice intelligence; D08 owns the legal dimension of director duties.</t>
        </is>
      </c>
    </row>
    <row r="89" ht="15" customHeight="1" s="6">
      <c r="A89" s="8" t="inlineStr">
        <is>
          <t>CDE-G088</t>
        </is>
      </c>
      <c r="B89" s="8" t="inlineStr">
        <is>
          <t>Committee Membership Overlap Across Multiple Committees (Per Director)</t>
        </is>
      </c>
      <c r="C89" s="8" t="inlineStr">
        <is>
          <t>Numeric</t>
        </is>
      </c>
      <c r="D89" s="8" t="inlineStr">
        <is>
          <t>Supplemental</t>
        </is>
      </c>
      <c r="E89" s="8" t="inlineStr">
        <is>
          <t>Optional</t>
        </is>
      </c>
      <c r="F89" s="8" t="inlineStr">
        <is>
          <t>P3</t>
        </is>
      </c>
      <c r="G89" s="8" t="inlineStr">
        <is>
          <t>&gt;=0, integer</t>
        </is>
      </c>
      <c r="H89" s="8" t="inlineStr">
        <is>
          <t>TYPE:INTEGER|MIN:0</t>
        </is>
      </c>
      <c r="I89" s="8" t="inlineStr">
        <is>
          <t>Effective-dated</t>
        </is>
      </c>
      <c r="J89" s="8" t="inlineStr">
        <is>
          <t>One-to-one</t>
        </is>
      </c>
      <c r="K89" s="8" t="inlineStr">
        <is>
          <t>N/A — not a one-to-many numeric field</t>
        </is>
      </c>
      <c r="L89" s="8" t="inlineStr">
        <is>
          <t>Annual Report / 10-K Filing (SEC EDGAR, Company IR Site)</t>
        </is>
      </c>
      <c r="M89" s="8" t="inlineStr">
        <is>
          <t>CIL Architecture Team</t>
        </is>
      </c>
      <c r="N89" s="8" t="inlineStr">
        <is>
          <t>2026-06-27</t>
        </is>
      </c>
      <c r="O89" s="8" t="inlineStr">
        <is>
          <t>CorpStage CIL Registry v1.1</t>
        </is>
      </c>
      <c r="P89" s="8" t="inlineStr">
        <is>
          <t>Group only (single enterprise-wide fact, does not repeat per node)</t>
        </is>
      </c>
      <c r="Q89" s="8" t="inlineStr">
        <is>
          <t>Global</t>
        </is>
      </c>
      <c r="R89" s="8" t="inlineStr">
        <is>
          <t>Tier 1 (Standard) — available to all frameworks and all customers</t>
        </is>
      </c>
      <c r="S89" s="8" t="inlineStr">
        <is>
          <t>Owned by D05 Governance Intelligence as a board and executive governance fact. Legal obligations of directors owned by D08. D05 owns the governance structure and practice intelligence; D08 owns the legal dimension of director duties.</t>
        </is>
      </c>
    </row>
    <row r="90" ht="15" customHeight="1" s="6">
      <c r="A90" s="8" t="inlineStr">
        <is>
          <t>CDE-G089</t>
        </is>
      </c>
      <c r="B90" s="8" t="inlineStr">
        <is>
          <t>Oversight Allocation Last Reviewed Date</t>
        </is>
      </c>
      <c r="C90" s="8" t="inlineStr">
        <is>
          <t>Date</t>
        </is>
      </c>
      <c r="D90" s="8" t="inlineStr">
        <is>
          <t>Supplemental</t>
        </is>
      </c>
      <c r="E90" s="8" t="inlineStr">
        <is>
          <t>Optional</t>
        </is>
      </c>
      <c r="F90" s="8" t="inlineStr">
        <is>
          <t>P3</t>
        </is>
      </c>
      <c r="G90" s="8" t="inlineStr">
        <is>
          <t>Valid date</t>
        </is>
      </c>
      <c r="H90" s="8" t="inlineStr">
        <is>
          <t>TYPE:DATE</t>
        </is>
      </c>
      <c r="I90" s="8" t="inlineStr">
        <is>
          <t>Point-in-time</t>
        </is>
      </c>
      <c r="J90" s="8" t="inlineStr">
        <is>
          <t>One-to-one</t>
        </is>
      </c>
      <c r="K90" s="8" t="inlineStr">
        <is>
          <t>N/A — not a one-to-many numeric field</t>
        </is>
      </c>
      <c r="L90" s="8" t="inlineStr">
        <is>
          <t>Board Portal / Governance Records (Diligent, BoardEffect)</t>
        </is>
      </c>
      <c r="M90" s="8" t="inlineStr">
        <is>
          <t>CIL Architecture Team</t>
        </is>
      </c>
      <c r="N90" s="8" t="inlineStr">
        <is>
          <t>2026-06-27</t>
        </is>
      </c>
      <c r="O90" s="8" t="inlineStr">
        <is>
          <t>CorpStage CIL Registry v1.1</t>
        </is>
      </c>
      <c r="P90" s="8" t="inlineStr">
        <is>
          <t>Group only (single enterprise-wide fact, does not repeat per node)</t>
        </is>
      </c>
      <c r="Q90" s="8" t="inlineStr">
        <is>
          <t>Global</t>
        </is>
      </c>
      <c r="R90" s="8" t="inlineStr">
        <is>
          <t>Tier 1 (Standard) — available to all frameworks and all customers</t>
        </is>
      </c>
      <c r="S90" s="8" t="inlineStr">
        <is>
          <t>Owned by D05 Governance Intelligence as a board and executive governance fact. Legal obligations of directors owned by D08. D05 owns the governance structure and practice intelligence; D08 owns the legal dimension of director duties.</t>
        </is>
      </c>
    </row>
    <row r="91" ht="15" customHeight="1" s="6">
      <c r="A91" s="8" t="inlineStr">
        <is>
          <t>CDE-G090</t>
        </is>
      </c>
      <c r="B91" s="8" t="inlineStr">
        <is>
          <t>CEO Succession Candidate Pool Size</t>
        </is>
      </c>
      <c r="C91" s="8" t="inlineStr">
        <is>
          <t>Numeric</t>
        </is>
      </c>
      <c r="D91" s="8" t="inlineStr">
        <is>
          <t>Supplemental</t>
        </is>
      </c>
      <c r="E91" s="8" t="inlineStr">
        <is>
          <t>Optional</t>
        </is>
      </c>
      <c r="F91" s="8" t="inlineStr">
        <is>
          <t>P3</t>
        </is>
      </c>
      <c r="G91" s="8" t="inlineStr">
        <is>
          <t>&gt;=0, integer</t>
        </is>
      </c>
      <c r="H91" s="8" t="inlineStr">
        <is>
          <t>TYPE:INTEGER|MIN:0</t>
        </is>
      </c>
      <c r="I91" s="8" t="inlineStr">
        <is>
          <t>Point-in-time</t>
        </is>
      </c>
      <c r="J91" s="8" t="inlineStr">
        <is>
          <t>One-to-one</t>
        </is>
      </c>
      <c r="K91" s="8" t="inlineStr">
        <is>
          <t>N/A — not a one-to-many numeric field</t>
        </is>
      </c>
      <c r="L91" s="8" t="inlineStr">
        <is>
          <t>User Validation</t>
        </is>
      </c>
      <c r="M91" s="8" t="inlineStr">
        <is>
          <t>CIL Architecture Team</t>
        </is>
      </c>
      <c r="N91" s="8" t="inlineStr">
        <is>
          <t>2026-06-27</t>
        </is>
      </c>
      <c r="O91" s="8" t="inlineStr">
        <is>
          <t>CorpStage CIL Registry v1.1</t>
        </is>
      </c>
      <c r="P91" s="8" t="inlineStr">
        <is>
          <t>Group only (single enterprise-wide fact, does not repeat per node)</t>
        </is>
      </c>
      <c r="Q91" s="8" t="inlineStr">
        <is>
          <t>Global</t>
        </is>
      </c>
      <c r="R91" s="8" t="inlineStr">
        <is>
          <t>Tier 1 (Standard) — available to all frameworks and all customers</t>
        </is>
      </c>
      <c r="S91" s="8" t="inlineStr">
        <is>
          <t>Owned by D05 Governance Intelligence as a board and executive governance fact. Legal obligations of directors owned by D08. D05 owns the governance structure and practice intelligence; D08 owns the legal dimension of director duties.</t>
        </is>
      </c>
    </row>
    <row r="92" ht="15" customHeight="1" s="6">
      <c r="A92" s="8" t="inlineStr">
        <is>
          <t>CDE-G091</t>
        </is>
      </c>
      <c r="B92" s="8" t="inlineStr">
        <is>
          <t>Emergency Succession Protocol Last Tested/Drilled</t>
        </is>
      </c>
      <c r="C92" s="8" t="inlineStr">
        <is>
          <t>Date</t>
        </is>
      </c>
      <c r="D92" s="8" t="inlineStr">
        <is>
          <t>Supplemental</t>
        </is>
      </c>
      <c r="E92" s="8" t="inlineStr">
        <is>
          <t>Optional</t>
        </is>
      </c>
      <c r="F92" s="8" t="inlineStr">
        <is>
          <t>P3</t>
        </is>
      </c>
      <c r="G92" s="8" t="inlineStr">
        <is>
          <t>Valid date</t>
        </is>
      </c>
      <c r="H92" s="8" t="inlineStr">
        <is>
          <t>TYPE:DATE</t>
        </is>
      </c>
      <c r="I92" s="8" t="inlineStr">
        <is>
          <t>Point-in-time</t>
        </is>
      </c>
      <c r="J92" s="8" t="inlineStr">
        <is>
          <t>One-to-one</t>
        </is>
      </c>
      <c r="K92" s="8" t="inlineStr">
        <is>
          <t>N/A — not a one-to-many numeric field</t>
        </is>
      </c>
      <c r="L92" s="8" t="inlineStr">
        <is>
          <t>User Validation</t>
        </is>
      </c>
      <c r="M92" s="8" t="inlineStr">
        <is>
          <t>CIL Architecture Team</t>
        </is>
      </c>
      <c r="N92" s="8" t="inlineStr">
        <is>
          <t>2026-06-27</t>
        </is>
      </c>
      <c r="O92" s="8" t="inlineStr">
        <is>
          <t>CorpStage CIL Registry v1.1</t>
        </is>
      </c>
      <c r="P92" s="8" t="inlineStr">
        <is>
          <t>Group only (single enterprise-wide fact, does not repeat per node)</t>
        </is>
      </c>
      <c r="Q92" s="8" t="inlineStr">
        <is>
          <t>Global</t>
        </is>
      </c>
      <c r="R92" s="8" t="inlineStr">
        <is>
          <t>Tier 1 (Standard) — available to all frameworks and all customers</t>
        </is>
      </c>
      <c r="S92" s="8" t="inlineStr">
        <is>
          <t>Owned by D05 Governance Intelligence as a board and executive governance fact. Legal obligations of directors owned by D08. D05 owns the governance structure and practice intelligence; D08 owns the legal dimension of director duties.</t>
        </is>
      </c>
    </row>
    <row r="93" ht="15" customHeight="1" s="6">
      <c r="A93" s="8" t="inlineStr">
        <is>
          <t>CDE-G092</t>
        </is>
      </c>
      <c r="B93" s="8" t="inlineStr">
        <is>
          <t>CEO Evaluation Criteria Documented</t>
        </is>
      </c>
      <c r="C93" s="8" t="inlineStr">
        <is>
          <t>Boolean</t>
        </is>
      </c>
      <c r="D93" s="8" t="inlineStr">
        <is>
          <t>Supplemental</t>
        </is>
      </c>
      <c r="E93" s="8" t="inlineStr">
        <is>
          <t>Optional</t>
        </is>
      </c>
      <c r="F93" s="8" t="inlineStr">
        <is>
          <t>P3</t>
        </is>
      </c>
      <c r="G93" s="8" t="inlineStr">
        <is>
          <t>True/False/Unknown (tri-state)</t>
        </is>
      </c>
      <c r="H93" s="8" t="inlineStr">
        <is>
          <t>TYPE:BOOLEAN|ALLOWED:TRUE,FALSE,UNKNOWN</t>
        </is>
      </c>
      <c r="I93" s="8" t="inlineStr">
        <is>
          <t>Point-in-time</t>
        </is>
      </c>
      <c r="J93" s="8" t="inlineStr">
        <is>
          <t>One-to-one</t>
        </is>
      </c>
      <c r="K93" s="8" t="inlineStr">
        <is>
          <t>N/A — not a one-to-many numeric field</t>
        </is>
      </c>
      <c r="L93" s="8" t="inlineStr">
        <is>
          <t>Annual Report / 10-K Filing (SEC EDGAR, Company IR Site)</t>
        </is>
      </c>
      <c r="M93" s="8" t="inlineStr">
        <is>
          <t>CIL Architecture Team</t>
        </is>
      </c>
      <c r="N93" s="8" t="inlineStr">
        <is>
          <t>2026-06-27</t>
        </is>
      </c>
      <c r="O93" s="8" t="inlineStr">
        <is>
          <t>CorpStage CIL Registry v1.1</t>
        </is>
      </c>
      <c r="P93" s="8" t="inlineStr">
        <is>
          <t>Group only (single enterprise-wide fact, does not repeat per node)</t>
        </is>
      </c>
      <c r="Q93" s="8" t="inlineStr">
        <is>
          <t>Global</t>
        </is>
      </c>
      <c r="R93" s="8" t="inlineStr">
        <is>
          <t>Tier 1 (Standard) — available to all frameworks and all customers</t>
        </is>
      </c>
      <c r="S93" s="8" t="inlineStr">
        <is>
          <t>Owned by D05 Governance Intelligence as a board and executive governance fact. Legal obligations of directors owned by D08. D05 owns the governance structure and practice intelligence; D08 owns the legal dimension of director duties.</t>
        </is>
      </c>
    </row>
    <row r="94" ht="15" customHeight="1" s="6">
      <c r="A94" s="8" t="inlineStr">
        <is>
          <t>CDE-G093</t>
        </is>
      </c>
      <c r="B94" s="8" t="inlineStr">
        <is>
          <t>Compensation Committee Uses Independent Consultant</t>
        </is>
      </c>
      <c r="C94" s="8" t="inlineStr">
        <is>
          <t>Boolean</t>
        </is>
      </c>
      <c r="D94" s="8" t="inlineStr">
        <is>
          <t>Supplemental</t>
        </is>
      </c>
      <c r="E94" s="8" t="inlineStr">
        <is>
          <t>Optional</t>
        </is>
      </c>
      <c r="F94" s="8" t="inlineStr">
        <is>
          <t>P3</t>
        </is>
      </c>
      <c r="G94" s="8" t="inlineStr">
        <is>
          <t>True/False/Unknown (tri-state)</t>
        </is>
      </c>
      <c r="H94" s="8" t="inlineStr">
        <is>
          <t>TYPE:BOOLEAN|ALLOWED:TRUE,FALSE,UNKNOWN</t>
        </is>
      </c>
      <c r="I94" s="8" t="inlineStr">
        <is>
          <t>Point-in-time</t>
        </is>
      </c>
      <c r="J94" s="8" t="inlineStr">
        <is>
          <t>One-to-one</t>
        </is>
      </c>
      <c r="K94" s="8" t="inlineStr">
        <is>
          <t>N/A — not a one-to-many numeric field</t>
        </is>
      </c>
      <c r="L94" s="8" t="inlineStr">
        <is>
          <t>Annual Report / 10-K Filing (SEC EDGAR, Company IR Site)</t>
        </is>
      </c>
      <c r="M94" s="8" t="inlineStr">
        <is>
          <t>CIL Architecture Team</t>
        </is>
      </c>
      <c r="N94" s="8" t="inlineStr">
        <is>
          <t>2026-06-27</t>
        </is>
      </c>
      <c r="O94" s="8" t="inlineStr">
        <is>
          <t>CorpStage CIL Registry v1.1</t>
        </is>
      </c>
      <c r="P94" s="8" t="inlineStr">
        <is>
          <t>Group only (single enterprise-wide fact, does not repeat per node)</t>
        </is>
      </c>
      <c r="Q94" s="8" t="inlineStr">
        <is>
          <t>Global</t>
        </is>
      </c>
      <c r="R94" s="8" t="inlineStr">
        <is>
          <t>Tier 1 (Standard) — available to all frameworks and all customers</t>
        </is>
      </c>
      <c r="S94" s="8" t="inlineStr">
        <is>
          <t>Owned by D05 Governance Intelligence as a board and executive governance fact. Legal obligations of directors owned by D08. D05 owns the governance structure and practice intelligence; D08 owns the legal dimension of director duties.</t>
        </is>
      </c>
    </row>
    <row r="95" ht="15" customHeight="1" s="6">
      <c r="A95" s="8" t="inlineStr">
        <is>
          <t>CDE-G094</t>
        </is>
      </c>
      <c r="B95" s="8" t="inlineStr">
        <is>
          <t>CEO Pay Ratio Methodology Disclosed</t>
        </is>
      </c>
      <c r="C95" s="8" t="inlineStr">
        <is>
          <t>Boolean</t>
        </is>
      </c>
      <c r="D95" s="8" t="inlineStr">
        <is>
          <t>Supplemental</t>
        </is>
      </c>
      <c r="E95" s="8" t="inlineStr">
        <is>
          <t>Optional</t>
        </is>
      </c>
      <c r="F95" s="8" t="inlineStr">
        <is>
          <t>P3</t>
        </is>
      </c>
      <c r="G95" s="8" t="inlineStr">
        <is>
          <t>True/False/Unknown (tri-state)</t>
        </is>
      </c>
      <c r="H95" s="8" t="inlineStr">
        <is>
          <t>TYPE:BOOLEAN|ALLOWED:TRUE,FALSE,UNKNOWN</t>
        </is>
      </c>
      <c r="I95" s="8" t="inlineStr">
        <is>
          <t>Point-in-time</t>
        </is>
      </c>
      <c r="J95" s="8" t="inlineStr">
        <is>
          <t>One-to-one</t>
        </is>
      </c>
      <c r="K95" s="8" t="inlineStr">
        <is>
          <t>N/A — not a one-to-many numeric field</t>
        </is>
      </c>
      <c r="L95" s="8" t="inlineStr">
        <is>
          <t>Regulatory Filings (SEC EDGAR, Companies House, National Business Registry)</t>
        </is>
      </c>
      <c r="M95" s="8" t="inlineStr">
        <is>
          <t>CIL Architecture Team</t>
        </is>
      </c>
      <c r="N95" s="8" t="inlineStr">
        <is>
          <t>2026-06-27</t>
        </is>
      </c>
      <c r="O95" s="8" t="inlineStr">
        <is>
          <t>CorpStage CIL Registry v1.1</t>
        </is>
      </c>
      <c r="P95" s="8" t="inlineStr">
        <is>
          <t>Group only (single enterprise-wide fact, does not repeat per node)</t>
        </is>
      </c>
      <c r="Q95" s="8" t="inlineStr">
        <is>
          <t>Global</t>
        </is>
      </c>
      <c r="R95" s="8" t="inlineStr">
        <is>
          <t>Tier 1 (Standard) — available to all frameworks and all customers</t>
        </is>
      </c>
      <c r="S95" s="8" t="inlineStr">
        <is>
          <t>Owned by D05 Governance Intelligence as a board and executive governance fact. Legal obligations of directors owned by D08. D05 owns the governance structure and practice intelligence; D08 owns the legal dimension of director duties.</t>
        </is>
      </c>
    </row>
    <row r="96" ht="15" customHeight="1" s="6">
      <c r="A96" s="8" t="inlineStr">
        <is>
          <t>CDE-G095</t>
        </is>
      </c>
      <c r="B96" s="8" t="inlineStr">
        <is>
          <t>Say-on-Pay Vote Frequency (Annual/Triennial)</t>
        </is>
      </c>
      <c r="C96" s="8" t="inlineStr">
        <is>
          <t>Text</t>
        </is>
      </c>
      <c r="D96" s="8" t="inlineStr">
        <is>
          <t>Supplemental</t>
        </is>
      </c>
      <c r="E96" s="8" t="inlineStr">
        <is>
          <t>Optional</t>
        </is>
      </c>
      <c r="F96" s="8" t="inlineStr">
        <is>
          <t>P3</t>
        </is>
      </c>
      <c r="G96" s="8" t="inlineStr">
        <is>
          <t>Annual/Triennial</t>
        </is>
      </c>
      <c r="H96" s="8" t="inlineStr">
        <is>
          <t>TYPE:ENUM|ALLOWED:ANNUAL,TRIENNIAL</t>
        </is>
      </c>
      <c r="I96" s="8" t="inlineStr">
        <is>
          <t>Point-in-time</t>
        </is>
      </c>
      <c r="J96" s="8" t="inlineStr">
        <is>
          <t>One-to-one</t>
        </is>
      </c>
      <c r="K96" s="8" t="inlineStr">
        <is>
          <t>N/A — not a one-to-many numeric field</t>
        </is>
      </c>
      <c r="L96" s="8" t="inlineStr">
        <is>
          <t>Regulatory Filings (SEC EDGAR, Companies House, National Business Registry)</t>
        </is>
      </c>
      <c r="M96" s="8" t="inlineStr">
        <is>
          <t>CIL Architecture Team</t>
        </is>
      </c>
      <c r="N96" s="8" t="inlineStr">
        <is>
          <t>2026-06-27</t>
        </is>
      </c>
      <c r="O96" s="8" t="inlineStr">
        <is>
          <t>CorpStage CIL Registry v1.1</t>
        </is>
      </c>
      <c r="P96" s="8" t="inlineStr">
        <is>
          <t>Group only (single enterprise-wide fact, does not repeat per node)</t>
        </is>
      </c>
      <c r="Q96" s="8" t="inlineStr">
        <is>
          <t>Global</t>
        </is>
      </c>
      <c r="R96" s="8" t="inlineStr">
        <is>
          <t>Tier 1 (Standard) — available to all frameworks and all customers</t>
        </is>
      </c>
      <c r="S96" s="8" t="inlineStr">
        <is>
          <t>Owned by D05 Governance Intelligence as a board and executive governance fact. Legal obligations of directors owned by D08. D05 owns the governance structure and practice intelligence; D08 owns the legal dimension of director duties.</t>
        </is>
      </c>
    </row>
    <row r="97" ht="15" customHeight="1" s="6">
      <c r="A97" s="8" t="inlineStr">
        <is>
          <t>CDE-G096</t>
        </is>
      </c>
      <c r="B97" s="8" t="inlineStr">
        <is>
          <t>Director Equity Ownership Guideline Documented</t>
        </is>
      </c>
      <c r="C97" s="8" t="inlineStr">
        <is>
          <t>Boolean</t>
        </is>
      </c>
      <c r="D97" s="8" t="inlineStr">
        <is>
          <t>Supplemental</t>
        </is>
      </c>
      <c r="E97" s="8" t="inlineStr">
        <is>
          <t>Optional</t>
        </is>
      </c>
      <c r="F97" s="8" t="inlineStr">
        <is>
          <t>P3</t>
        </is>
      </c>
      <c r="G97" s="8" t="inlineStr">
        <is>
          <t>True/False/Unknown (tri-state)</t>
        </is>
      </c>
      <c r="H97" s="8" t="inlineStr">
        <is>
          <t>TYPE:BOOLEAN|ALLOWED:TRUE,FALSE,UNKNOWN</t>
        </is>
      </c>
      <c r="I97" s="8" t="inlineStr">
        <is>
          <t>Point-in-time</t>
        </is>
      </c>
      <c r="J97" s="8" t="inlineStr">
        <is>
          <t>One-to-one</t>
        </is>
      </c>
      <c r="K97" s="8" t="inlineStr">
        <is>
          <t>N/A — not a one-to-many numeric field</t>
        </is>
      </c>
      <c r="L97" s="8" t="inlineStr">
        <is>
          <t>Annual Report / 10-K Filing (SEC EDGAR, Company IR Site)</t>
        </is>
      </c>
      <c r="M97" s="8" t="inlineStr">
        <is>
          <t>CIL Architecture Team</t>
        </is>
      </c>
      <c r="N97" s="8" t="inlineStr">
        <is>
          <t>2026-06-27</t>
        </is>
      </c>
      <c r="O97" s="8" t="inlineStr">
        <is>
          <t>CorpStage CIL Registry v1.1</t>
        </is>
      </c>
      <c r="P97" s="8" t="inlineStr">
        <is>
          <t>Group only (single enterprise-wide fact, does not repeat per node)</t>
        </is>
      </c>
      <c r="Q97" s="8" t="inlineStr">
        <is>
          <t>Global</t>
        </is>
      </c>
      <c r="R97" s="8" t="inlineStr">
        <is>
          <t>Tier 1 (Standard) — available to all frameworks and all customers</t>
        </is>
      </c>
      <c r="S97" s="8" t="inlineStr">
        <is>
          <t>Owned by D05 Governance Intelligence as a board and executive governance fact. Legal obligations of directors owned by D08. D05 owns the governance structure and practice intelligence; D08 owns the legal dimension of director duties.</t>
        </is>
      </c>
    </row>
    <row r="98" ht="15" customHeight="1" s="6">
      <c r="A98" s="8" t="inlineStr">
        <is>
          <t>CDE-G097</t>
        </is>
      </c>
      <c r="B98" s="8" t="inlineStr">
        <is>
          <t>Dual-Class Sunset Provision Exists</t>
        </is>
      </c>
      <c r="C98" s="8" t="inlineStr">
        <is>
          <t>Boolean</t>
        </is>
      </c>
      <c r="D98" s="8" t="inlineStr">
        <is>
          <t>Supplemental</t>
        </is>
      </c>
      <c r="E98" s="8" t="inlineStr">
        <is>
          <t>Optional</t>
        </is>
      </c>
      <c r="F98" s="8" t="inlineStr">
        <is>
          <t>P3</t>
        </is>
      </c>
      <c r="G98" s="8" t="inlineStr">
        <is>
          <t>True/False/Unknown (tri-state)</t>
        </is>
      </c>
      <c r="H98" s="8" t="inlineStr">
        <is>
          <t>TYPE:BOOLEAN|ALLOWED:TRUE,FALSE,UNKNOWN</t>
        </is>
      </c>
      <c r="I98" s="8" t="inlineStr">
        <is>
          <t>Point-in-time</t>
        </is>
      </c>
      <c r="J98" s="8" t="inlineStr">
        <is>
          <t>One-to-one</t>
        </is>
      </c>
      <c r="K98" s="8" t="inlineStr">
        <is>
          <t>N/A — not a one-to-many numeric field</t>
        </is>
      </c>
      <c r="L98" s="8" t="inlineStr">
        <is>
          <t>Annual Report / 10-K Filing (SEC EDGAR, Company IR Site)</t>
        </is>
      </c>
      <c r="M98" s="8" t="inlineStr">
        <is>
          <t>CIL Architecture Team</t>
        </is>
      </c>
      <c r="N98" s="8" t="inlineStr">
        <is>
          <t>2026-06-27</t>
        </is>
      </c>
      <c r="O98" s="8" t="inlineStr">
        <is>
          <t>CorpStage CIL Registry v1.1</t>
        </is>
      </c>
      <c r="P98" s="8" t="inlineStr">
        <is>
          <t>Group only (single enterprise-wide fact, does not repeat per node)</t>
        </is>
      </c>
      <c r="Q98" s="8" t="inlineStr">
        <is>
          <t>Global</t>
        </is>
      </c>
      <c r="R98" s="8" t="inlineStr">
        <is>
          <t>Tier 1 (Standard) — available to all frameworks and all customers</t>
        </is>
      </c>
      <c r="S98" s="8" t="inlineStr">
        <is>
          <t>Owned by D05 Governance Intelligence as a board and executive governance fact. Legal obligations of directors owned by D08. D05 owns the governance structure and practice intelligence; D08 owns the legal dimension of director duties.</t>
        </is>
      </c>
    </row>
    <row r="99" ht="15" customHeight="1" s="6">
      <c r="A99" s="8" t="inlineStr">
        <is>
          <t>CDE-G098</t>
        </is>
      </c>
      <c r="B99" s="8" t="inlineStr">
        <is>
          <t>Proxy Access Nominee Limit (Max % of Board Seats)</t>
        </is>
      </c>
      <c r="C99" s="8" t="inlineStr">
        <is>
          <t>Numeric</t>
        </is>
      </c>
      <c r="D99" s="8" t="inlineStr">
        <is>
          <t>Supplemental</t>
        </is>
      </c>
      <c r="E99" s="8" t="inlineStr">
        <is>
          <t>Optional</t>
        </is>
      </c>
      <c r="F99" s="8" t="inlineStr">
        <is>
          <t>P3</t>
        </is>
      </c>
      <c r="G99" s="8" t="inlineStr">
        <is>
          <t>0-100, numeric</t>
        </is>
      </c>
      <c r="H99" s="8" t="inlineStr">
        <is>
          <t>TYPE:NUMERIC|MIN:0|MAX:100</t>
        </is>
      </c>
      <c r="I99" s="8" t="inlineStr">
        <is>
          <t>Point-in-time</t>
        </is>
      </c>
      <c r="J99" s="8" t="inlineStr">
        <is>
          <t>One-to-one</t>
        </is>
      </c>
      <c r="K99" s="8" t="inlineStr">
        <is>
          <t>N/A — not a one-to-many numeric field</t>
        </is>
      </c>
      <c r="L99" s="8" t="inlineStr">
        <is>
          <t>Annual Report / 10-K Filing (SEC EDGAR, Company IR Site)</t>
        </is>
      </c>
      <c r="M99" s="8" t="inlineStr">
        <is>
          <t>CIL Architecture Team</t>
        </is>
      </c>
      <c r="N99" s="8" t="inlineStr">
        <is>
          <t>2026-06-27</t>
        </is>
      </c>
      <c r="O99" s="8" t="inlineStr">
        <is>
          <t>CorpStage CIL Registry v1.1</t>
        </is>
      </c>
      <c r="P99" s="8" t="inlineStr">
        <is>
          <t>Group only (single enterprise-wide fact, does not repeat per node)</t>
        </is>
      </c>
      <c r="Q99" s="8" t="inlineStr">
        <is>
          <t>Global</t>
        </is>
      </c>
      <c r="R99" s="8" t="inlineStr">
        <is>
          <t>Tier 1 (Standard) — available to all frameworks and all customers</t>
        </is>
      </c>
      <c r="S99" s="8" t="inlineStr">
        <is>
          <t>Owned by D05 Governance Intelligence as a board and executive governance fact. Legal obligations of directors owned by D08. D05 owns the governance structure and practice intelligence; D08 owns the legal dimension of director duties.</t>
        </is>
      </c>
    </row>
    <row r="100" ht="15" customHeight="1" s="6">
      <c r="A100" s="8" t="inlineStr">
        <is>
          <t>CDE-G099</t>
        </is>
      </c>
      <c r="B100" s="8" t="inlineStr">
        <is>
          <t>Shareholder Engagement Topics Covered (Most Recent Cycle)</t>
        </is>
      </c>
      <c r="C100" s="8" t="inlineStr">
        <is>
          <t>Text</t>
        </is>
      </c>
      <c r="D100" s="8" t="inlineStr">
        <is>
          <t>Supplemental</t>
        </is>
      </c>
      <c r="E100" s="8" t="inlineStr">
        <is>
          <t>Optional</t>
        </is>
      </c>
      <c r="F100" s="8" t="inlineStr">
        <is>
          <t>P3</t>
        </is>
      </c>
      <c r="G100" s="8" t="inlineStr">
        <is>
          <t>Non-empty text</t>
        </is>
      </c>
      <c r="H100" s="8" t="inlineStr">
        <is>
          <t>TYPE:TEXT</t>
        </is>
      </c>
      <c r="I100" s="8" t="inlineStr">
        <is>
          <t>Point-in-time</t>
        </is>
      </c>
      <c r="J100" s="8" t="inlineStr">
        <is>
          <t>One-to-many</t>
        </is>
      </c>
      <c r="K100" s="8" t="inlineStr">
        <is>
          <t>N/A — not a one-to-many numeric field</t>
        </is>
      </c>
      <c r="L100" s="8" t="inlineStr">
        <is>
          <t>User Validation</t>
        </is>
      </c>
      <c r="M100" s="8" t="inlineStr">
        <is>
          <t>CIL Architecture Team</t>
        </is>
      </c>
      <c r="N100" s="8" t="inlineStr">
        <is>
          <t>2026-06-27</t>
        </is>
      </c>
      <c r="O100" s="8" t="inlineStr">
        <is>
          <t>CorpStage CIL Registry v1.1</t>
        </is>
      </c>
      <c r="P100" s="8" t="inlineStr">
        <is>
          <t>Company, Group (collected per legal entity, not below Company level)</t>
        </is>
      </c>
      <c r="Q100" s="8" t="inlineStr">
        <is>
          <t>Global</t>
        </is>
      </c>
      <c r="R100" s="8" t="inlineStr">
        <is>
          <t>Tier 1 (Standard) — available to all frameworks and all customers</t>
        </is>
      </c>
      <c r="S100" s="8" t="inlineStr">
        <is>
          <t>Owned by D05 Governance Intelligence as a board and executive governance fact. Legal obligations of directors owned by D08. D05 owns the governance structure and practice intelligence; D08 owns the legal dimension of director duties.</t>
        </is>
      </c>
    </row>
    <row r="101" ht="15" customHeight="1" s="6">
      <c r="A101" s="8" t="inlineStr">
        <is>
          <t>CDE-G100</t>
        </is>
      </c>
      <c r="B101" s="8" t="inlineStr">
        <is>
          <t>Anti-Takeover Mechanism Shareholder-Approved</t>
        </is>
      </c>
      <c r="C101" s="8" t="inlineStr">
        <is>
          <t>Boolean</t>
        </is>
      </c>
      <c r="D101" s="8" t="inlineStr">
        <is>
          <t>Supplemental</t>
        </is>
      </c>
      <c r="E101" s="8" t="inlineStr">
        <is>
          <t>Optional</t>
        </is>
      </c>
      <c r="F101" s="8" t="inlineStr">
        <is>
          <t>P3</t>
        </is>
      </c>
      <c r="G101" s="8" t="inlineStr">
        <is>
          <t>True/False/Unknown (tri-state)</t>
        </is>
      </c>
      <c r="H101" s="8" t="inlineStr">
        <is>
          <t>TYPE:BOOLEAN|ALLOWED:TRUE,FALSE,UNKNOWN</t>
        </is>
      </c>
      <c r="I101" s="8" t="inlineStr">
        <is>
          <t>Point-in-time</t>
        </is>
      </c>
      <c r="J101" s="8" t="inlineStr">
        <is>
          <t>One-to-one</t>
        </is>
      </c>
      <c r="K101" s="8" t="inlineStr">
        <is>
          <t>N/A — not a one-to-many numeric field</t>
        </is>
      </c>
      <c r="L101" s="8" t="inlineStr">
        <is>
          <t>Annual Report / 10-K Filing (SEC EDGAR, Company IR Site)</t>
        </is>
      </c>
      <c r="M101" s="8" t="inlineStr">
        <is>
          <t>CIL Architecture Team</t>
        </is>
      </c>
      <c r="N101" s="8" t="inlineStr">
        <is>
          <t>2026-06-27</t>
        </is>
      </c>
      <c r="O101" s="8" t="inlineStr">
        <is>
          <t>CorpStage CIL Registry v1.1</t>
        </is>
      </c>
      <c r="P101" s="8" t="inlineStr">
        <is>
          <t>Group only (single enterprise-wide fact, does not repeat per node)</t>
        </is>
      </c>
      <c r="Q101" s="8" t="inlineStr">
        <is>
          <t>Global</t>
        </is>
      </c>
      <c r="R101" s="8" t="inlineStr">
        <is>
          <t>Tier 1 (Standard) — available to all frameworks and all customers</t>
        </is>
      </c>
      <c r="S101" s="8" t="inlineStr">
        <is>
          <t>Owned by D05 Governance Intelligence as a board and executive governance fact. Legal obligations of directors owned by D08. D05 owns the governance structure and practice intelligence; D08 owns the legal dimension of director duties.</t>
        </is>
      </c>
    </row>
    <row r="102" ht="15" customHeight="1" s="6">
      <c r="A102" s="8" t="inlineStr">
        <is>
          <t>CDE-G101</t>
        </is>
      </c>
      <c r="B102" s="8" t="inlineStr">
        <is>
          <t>Related-Party Transaction Recusal Policy Documented</t>
        </is>
      </c>
      <c r="C102" s="8" t="inlineStr">
        <is>
          <t>Boolean</t>
        </is>
      </c>
      <c r="D102" s="8" t="inlineStr">
        <is>
          <t>Supplemental</t>
        </is>
      </c>
      <c r="E102" s="8" t="inlineStr">
        <is>
          <t>Optional</t>
        </is>
      </c>
      <c r="F102" s="8" t="inlineStr">
        <is>
          <t>P3</t>
        </is>
      </c>
      <c r="G102" s="8" t="inlineStr">
        <is>
          <t>True/False/Unknown (tri-state)</t>
        </is>
      </c>
      <c r="H102" s="8" t="inlineStr">
        <is>
          <t>TYPE:BOOLEAN|ALLOWED:TRUE,FALSE,UNKNOWN</t>
        </is>
      </c>
      <c r="I102" s="8" t="inlineStr">
        <is>
          <t>Point-in-time</t>
        </is>
      </c>
      <c r="J102" s="8" t="inlineStr">
        <is>
          <t>One-to-one</t>
        </is>
      </c>
      <c r="K102" s="8" t="inlineStr">
        <is>
          <t>N/A — not a one-to-many numeric field</t>
        </is>
      </c>
      <c r="L102" s="8" t="inlineStr">
        <is>
          <t>Annual Report / 10-K Filing (SEC EDGAR, Company IR Site)</t>
        </is>
      </c>
      <c r="M102" s="8" t="inlineStr">
        <is>
          <t>CIL Architecture Team</t>
        </is>
      </c>
      <c r="N102" s="8" t="inlineStr">
        <is>
          <t>2026-06-27</t>
        </is>
      </c>
      <c r="O102" s="8" t="inlineStr">
        <is>
          <t>CorpStage CIL Registry v1.1</t>
        </is>
      </c>
      <c r="P102" s="8" t="inlineStr">
        <is>
          <t>Group only (single enterprise-wide fact, does not repeat per node)</t>
        </is>
      </c>
      <c r="Q102" s="8" t="inlineStr">
        <is>
          <t>Global</t>
        </is>
      </c>
      <c r="R102" s="8" t="inlineStr">
        <is>
          <t>Tier 1 (Standard) — available to all frameworks and all customers</t>
        </is>
      </c>
      <c r="S102" s="8" t="inlineStr">
        <is>
          <t>Owned by D05 Governance Intelligence as a board and executive governance fact. Legal obligations of directors owned by D08. D05 owns the governance structure and practice intelligence; D08 owns the legal dimension of director duties.</t>
        </is>
      </c>
    </row>
    <row r="103" ht="15" customHeight="1" s="6">
      <c r="A103" s="8" t="inlineStr">
        <is>
          <t>CDE-G102</t>
        </is>
      </c>
      <c r="B103" s="8" t="inlineStr">
        <is>
          <t>Related-Party Transaction Aggregate Value (Current Period)</t>
        </is>
      </c>
      <c r="C103" s="8" t="inlineStr">
        <is>
          <t>Numeric</t>
        </is>
      </c>
      <c r="D103" s="8" t="inlineStr">
        <is>
          <t>Supplemental</t>
        </is>
      </c>
      <c r="E103" s="8" t="inlineStr">
        <is>
          <t>Optional</t>
        </is>
      </c>
      <c r="F103" s="8" t="inlineStr">
        <is>
          <t>P3</t>
        </is>
      </c>
      <c r="G103" s="8" t="inlineStr">
        <is>
          <t>&gt;=0, numeric</t>
        </is>
      </c>
      <c r="H103" s="8" t="inlineStr">
        <is>
          <t>TYPE:NUMERIC|MIN:0</t>
        </is>
      </c>
      <c r="I103" s="8" t="inlineStr">
        <is>
          <t>Effective-dated</t>
        </is>
      </c>
      <c r="J103" s="8" t="inlineStr">
        <is>
          <t>One-to-one</t>
        </is>
      </c>
      <c r="K103" s="8" t="inlineStr">
        <is>
          <t>N/A — not a one-to-many numeric field</t>
        </is>
      </c>
      <c r="L103" s="8" t="inlineStr">
        <is>
          <t>Regulatory Filings (SEC EDGAR, Companies House, National Business Registry)</t>
        </is>
      </c>
      <c r="M103" s="8" t="inlineStr">
        <is>
          <t>CIL Architecture Team</t>
        </is>
      </c>
      <c r="N103" s="8" t="inlineStr">
        <is>
          <t>2026-06-27</t>
        </is>
      </c>
      <c r="O103" s="8" t="inlineStr">
        <is>
          <t>CorpStage CIL Registry v1.1</t>
        </is>
      </c>
      <c r="P103" s="8" t="inlineStr">
        <is>
          <t>Group only (single enterprise-wide fact, does not repeat per node)</t>
        </is>
      </c>
      <c r="Q103" s="8" t="inlineStr">
        <is>
          <t>Global</t>
        </is>
      </c>
      <c r="R103" s="8" t="inlineStr">
        <is>
          <t>Tier 1 (Standard) — available to all frameworks and all customers</t>
        </is>
      </c>
      <c r="S103" s="8" t="inlineStr">
        <is>
          <t>Owned by D05 Governance Intelligence as a board and executive governance fact. Legal obligations of directors owned by D08. D05 owns the governance structure and practice intelligence; D08 owns the legal dimension of director duties.</t>
        </is>
      </c>
    </row>
    <row r="104" ht="15" customHeight="1" s="6">
      <c r="A104" s="8" t="inlineStr">
        <is>
          <t>CDE-G103</t>
        </is>
      </c>
      <c r="B104" s="8" t="inlineStr">
        <is>
          <t>Related-Party Transaction Policy Approved By</t>
        </is>
      </c>
      <c r="C104" s="8" t="inlineStr">
        <is>
          <t>Text</t>
        </is>
      </c>
      <c r="D104" s="8" t="inlineStr">
        <is>
          <t>Supplemental</t>
        </is>
      </c>
      <c r="E104" s="8" t="inlineStr">
        <is>
          <t>Optional</t>
        </is>
      </c>
      <c r="F104" s="8" t="inlineStr">
        <is>
          <t>P3</t>
        </is>
      </c>
      <c r="G104" s="8" t="inlineStr">
        <is>
          <t>Non-empty text</t>
        </is>
      </c>
      <c r="H104" s="8" t="inlineStr">
        <is>
          <t>TYPE:TEXT</t>
        </is>
      </c>
      <c r="I104" s="8" t="inlineStr">
        <is>
          <t>Point-in-time</t>
        </is>
      </c>
      <c r="J104" s="8" t="inlineStr">
        <is>
          <t>One-to-one</t>
        </is>
      </c>
      <c r="K104" s="8" t="inlineStr">
        <is>
          <t>N/A — not a one-to-many numeric field</t>
        </is>
      </c>
      <c r="L104" s="8" t="inlineStr">
        <is>
          <t>Annual Report / 10-K Filing (SEC EDGAR, Company IR Site)</t>
        </is>
      </c>
      <c r="M104" s="8" t="inlineStr">
        <is>
          <t>CIL Architecture Team</t>
        </is>
      </c>
      <c r="N104" s="8" t="inlineStr">
        <is>
          <t>2026-06-27</t>
        </is>
      </c>
      <c r="O104" s="8" t="inlineStr">
        <is>
          <t>CorpStage CIL Registry v1.1</t>
        </is>
      </c>
      <c r="P104" s="8" t="inlineStr">
        <is>
          <t>Group only (single enterprise-wide fact, does not repeat per node)</t>
        </is>
      </c>
      <c r="Q104" s="8" t="inlineStr">
        <is>
          <t>Global</t>
        </is>
      </c>
      <c r="R104" s="8" t="inlineStr">
        <is>
          <t>Tier 1 (Standard) — available to all frameworks and all customers</t>
        </is>
      </c>
      <c r="S104" s="8" t="inlineStr">
        <is>
          <t>Owned by D05 Governance Intelligence as a board and executive governance fact. Legal obligations of directors owned by D08. D05 owns the governance structure and practice intelligence; D08 owns the legal dimension of director duties.</t>
        </is>
      </c>
    </row>
    <row r="105" ht="15" customHeight="1" s="6">
      <c r="A105" s="8" t="inlineStr">
        <is>
          <t>CDE-G104</t>
        </is>
      </c>
      <c r="B105" s="8" t="inlineStr">
        <is>
          <t>Governance Code Adoption Date</t>
        </is>
      </c>
      <c r="C105" s="8" t="inlineStr">
        <is>
          <t>Date</t>
        </is>
      </c>
      <c r="D105" s="8" t="inlineStr">
        <is>
          <t>Supplemental</t>
        </is>
      </c>
      <c r="E105" s="8" t="inlineStr">
        <is>
          <t>Optional</t>
        </is>
      </c>
      <c r="F105" s="8" t="inlineStr">
        <is>
          <t>P3</t>
        </is>
      </c>
      <c r="G105" s="8" t="inlineStr">
        <is>
          <t>Valid date</t>
        </is>
      </c>
      <c r="H105" s="8" t="inlineStr">
        <is>
          <t>TYPE:DATE</t>
        </is>
      </c>
      <c r="I105" s="8" t="inlineStr">
        <is>
          <t>Point-in-time</t>
        </is>
      </c>
      <c r="J105" s="8" t="inlineStr">
        <is>
          <t>One-to-one</t>
        </is>
      </c>
      <c r="K105" s="8" t="inlineStr">
        <is>
          <t>N/A — not a one-to-many numeric field</t>
        </is>
      </c>
      <c r="L105" s="8" t="inlineStr">
        <is>
          <t>Annual Report / 10-K Filing (SEC EDGAR, Company IR Site)</t>
        </is>
      </c>
      <c r="M105" s="8" t="inlineStr">
        <is>
          <t>CIL Architecture Team</t>
        </is>
      </c>
      <c r="N105" s="8" t="inlineStr">
        <is>
          <t>2026-06-27</t>
        </is>
      </c>
      <c r="O105" s="8" t="inlineStr">
        <is>
          <t>CorpStage CIL Registry v1.1</t>
        </is>
      </c>
      <c r="P105" s="8" t="inlineStr">
        <is>
          <t>Group only (single enterprise-wide fact, does not repeat per node)</t>
        </is>
      </c>
      <c r="Q105" s="8" t="inlineStr">
        <is>
          <t>Global</t>
        </is>
      </c>
      <c r="R105" s="8" t="inlineStr">
        <is>
          <t>Tier 1 (Standard) — available to all frameworks and all customers</t>
        </is>
      </c>
      <c r="S105" s="8" t="inlineStr">
        <is>
          <t>Owned by D05 Governance Intelligence as a board and executive governance fact. Legal obligations of directors owned by D08. D05 owns the governance structure and practice intelligence; D08 owns the legal dimension of director duties.</t>
        </is>
      </c>
    </row>
    <row r="106" ht="15" customHeight="1" s="6">
      <c r="A106" s="8" t="inlineStr">
        <is>
          <t>CDE-G105</t>
        </is>
      </c>
      <c r="B106" s="8" t="inlineStr">
        <is>
          <t>Comply-or-Explain Departure Trend (3yr)</t>
        </is>
      </c>
      <c r="C106" s="8" t="inlineStr">
        <is>
          <t>Text</t>
        </is>
      </c>
      <c r="D106" s="8" t="inlineStr">
        <is>
          <t>Supplemental</t>
        </is>
      </c>
      <c r="E106" s="8" t="inlineStr">
        <is>
          <t>Optional</t>
        </is>
      </c>
      <c r="F106" s="8" t="inlineStr">
        <is>
          <t>P3</t>
        </is>
      </c>
      <c r="G106" s="8" t="inlineStr">
        <is>
          <t>Improving/Stable/Worsening</t>
        </is>
      </c>
      <c r="H106" s="8" t="inlineStr">
        <is>
          <t>TYPE:ENUM|ALLOWED:IMPROVING,STABLE,WORSENING</t>
        </is>
      </c>
      <c r="I106" s="8" t="inlineStr">
        <is>
          <t>Point-in-time</t>
        </is>
      </c>
      <c r="J106" s="8" t="inlineStr">
        <is>
          <t>One-to-one</t>
        </is>
      </c>
      <c r="K106" s="8" t="inlineStr">
        <is>
          <t>N/A — not a one-to-many numeric field</t>
        </is>
      </c>
      <c r="L106" s="8" t="inlineStr">
        <is>
          <t>Annual Report / 10-K Filing (SEC EDGAR, Company IR Site)</t>
        </is>
      </c>
      <c r="M106" s="8" t="inlineStr">
        <is>
          <t>CIL Architecture Team</t>
        </is>
      </c>
      <c r="N106" s="8" t="inlineStr">
        <is>
          <t>2026-06-27</t>
        </is>
      </c>
      <c r="O106" s="8" t="inlineStr">
        <is>
          <t>CorpStage CIL Registry v1.1</t>
        </is>
      </c>
      <c r="P106" s="8" t="inlineStr">
        <is>
          <t>Group only (single enterprise-wide fact, does not repeat per node)</t>
        </is>
      </c>
      <c r="Q106" s="8" t="inlineStr">
        <is>
          <t>Global</t>
        </is>
      </c>
      <c r="R106" s="8" t="inlineStr">
        <is>
          <t>Tier 1 (Standard) — available to all frameworks and all customers</t>
        </is>
      </c>
      <c r="S106" s="8" t="inlineStr">
        <is>
          <t>Owned by D05 Governance Intelligence as a board and executive governance fact. Legal obligations of directors owned by D08. D05 owns the governance structure and practice intelligence; D08 owns the legal dimension of director duties.</t>
        </is>
      </c>
    </row>
    <row r="107" ht="15" customHeight="1" s="6">
      <c r="A107" s="8" t="inlineStr">
        <is>
          <t>CDE-G106</t>
        </is>
      </c>
      <c r="B107" s="8" t="inlineStr">
        <is>
          <t>Governance Rating Agency Name</t>
        </is>
      </c>
      <c r="C107" s="8" t="inlineStr">
        <is>
          <t>Text</t>
        </is>
      </c>
      <c r="D107" s="8" t="inlineStr">
        <is>
          <t>Supplemental</t>
        </is>
      </c>
      <c r="E107" s="8" t="inlineStr">
        <is>
          <t>Optional</t>
        </is>
      </c>
      <c r="F107" s="8" t="inlineStr">
        <is>
          <t>P3</t>
        </is>
      </c>
      <c r="G107" s="8" t="inlineStr">
        <is>
          <t>Non-empty text</t>
        </is>
      </c>
      <c r="H107" s="8" t="inlineStr">
        <is>
          <t>TYPE:TEXT</t>
        </is>
      </c>
      <c r="I107" s="8" t="inlineStr">
        <is>
          <t>Point-in-time</t>
        </is>
      </c>
      <c r="J107" s="8" t="inlineStr">
        <is>
          <t>One-to-one</t>
        </is>
      </c>
      <c r="K107" s="8" t="inlineStr">
        <is>
          <t>N/A — not a one-to-many numeric field</t>
        </is>
      </c>
      <c r="L107" s="8" t="inlineStr">
        <is>
          <t>User Validation</t>
        </is>
      </c>
      <c r="M107" s="8" t="inlineStr">
        <is>
          <t>CIL Architecture Team</t>
        </is>
      </c>
      <c r="N107" s="8" t="inlineStr">
        <is>
          <t>2026-06-27</t>
        </is>
      </c>
      <c r="O107" s="8" t="inlineStr">
        <is>
          <t>CorpStage CIL Registry v1.1</t>
        </is>
      </c>
      <c r="P107" s="8" t="inlineStr">
        <is>
          <t>Group only (single enterprise-wide fact, does not repeat per node)</t>
        </is>
      </c>
      <c r="Q107" s="8" t="inlineStr">
        <is>
          <t>Global</t>
        </is>
      </c>
      <c r="R107" s="8" t="inlineStr">
        <is>
          <t>Tier 1 (Standard) — available to all frameworks and all customers</t>
        </is>
      </c>
      <c r="S107" s="8" t="inlineStr">
        <is>
          <t>Owned by D05 Governance Intelligence as a board and executive governance fact. Legal obligations of directors owned by D08. D05 owns the governance structure and practice intelligence; D08 owns the legal dimension of director duties.</t>
        </is>
      </c>
    </row>
    <row r="108" ht="15" customHeight="1" s="6">
      <c r="A108" s="8" t="inlineStr">
        <is>
          <t>CDE-G107</t>
        </is>
      </c>
      <c r="B108" s="8" t="inlineStr">
        <is>
          <t>Board Evaluation Action Item Completion Status</t>
        </is>
      </c>
      <c r="C108" s="8" t="inlineStr">
        <is>
          <t>Text</t>
        </is>
      </c>
      <c r="D108" s="8" t="inlineStr">
        <is>
          <t>Supplemental</t>
        </is>
      </c>
      <c r="E108" s="8" t="inlineStr">
        <is>
          <t>Optional</t>
        </is>
      </c>
      <c r="F108" s="8" t="inlineStr">
        <is>
          <t>P3</t>
        </is>
      </c>
      <c r="G108" s="8" t="inlineStr">
        <is>
          <t>Open/In Progress/Completed</t>
        </is>
      </c>
      <c r="H108" s="8" t="inlineStr">
        <is>
          <t>TYPE:ENUM|ALLOWED:OPEN,IN_PROGRESS,COMPLETED</t>
        </is>
      </c>
      <c r="I108" s="8" t="inlineStr">
        <is>
          <t>Point-in-time</t>
        </is>
      </c>
      <c r="J108" s="8" t="inlineStr">
        <is>
          <t>One-to-one</t>
        </is>
      </c>
      <c r="K108" s="8" t="inlineStr">
        <is>
          <t>N/A — not a one-to-many numeric field</t>
        </is>
      </c>
      <c r="L108" s="8" t="inlineStr">
        <is>
          <t>Board Portal / Governance Records (Diligent, BoardEffect)</t>
        </is>
      </c>
      <c r="M108" s="8" t="inlineStr">
        <is>
          <t>CIL Architecture Team</t>
        </is>
      </c>
      <c r="N108" s="8" t="inlineStr">
        <is>
          <t>2026-06-27</t>
        </is>
      </c>
      <c r="O108" s="8" t="inlineStr">
        <is>
          <t>CorpStage CIL Registry v1.1</t>
        </is>
      </c>
      <c r="P108" s="8" t="inlineStr">
        <is>
          <t>Group only (single enterprise-wide fact, does not repeat per node)</t>
        </is>
      </c>
      <c r="Q108" s="8" t="inlineStr">
        <is>
          <t>Global</t>
        </is>
      </c>
      <c r="R108" s="8" t="inlineStr">
        <is>
          <t>Tier 1 (Standard) — available to all frameworks and all customers</t>
        </is>
      </c>
      <c r="S108" s="8" t="inlineStr">
        <is>
          <t>Owned by D05 Governance Intelligence as a board and executive governance fact. Legal obligations of directors owned by D08. D05 owns the governance structure and practice intelligence; D08 owns the legal dimension of director duties.</t>
        </is>
      </c>
    </row>
    <row r="109" ht="15" customHeight="1" s="6">
      <c r="A109" s="8" t="inlineStr">
        <is>
          <t>CDE-G108</t>
        </is>
      </c>
      <c r="B109" s="8" t="inlineStr">
        <is>
          <t>Activist-Response Protocol Last Reviewed Date</t>
        </is>
      </c>
      <c r="C109" s="8" t="inlineStr">
        <is>
          <t>Date</t>
        </is>
      </c>
      <c r="D109" s="8" t="inlineStr">
        <is>
          <t>Supplemental</t>
        </is>
      </c>
      <c r="E109" s="8" t="inlineStr">
        <is>
          <t>Optional</t>
        </is>
      </c>
      <c r="F109" s="8" t="inlineStr">
        <is>
          <t>P3</t>
        </is>
      </c>
      <c r="G109" s="8" t="inlineStr">
        <is>
          <t>Valid date</t>
        </is>
      </c>
      <c r="H109" s="8" t="inlineStr">
        <is>
          <t>TYPE:DATE</t>
        </is>
      </c>
      <c r="I109" s="8" t="inlineStr">
        <is>
          <t>Point-in-time</t>
        </is>
      </c>
      <c r="J109" s="8" t="inlineStr">
        <is>
          <t>One-to-one</t>
        </is>
      </c>
      <c r="K109" s="8" t="inlineStr">
        <is>
          <t>N/A — not a one-to-many numeric field</t>
        </is>
      </c>
      <c r="L109" s="8" t="inlineStr">
        <is>
          <t>Board Portal / Governance Records (Diligent, BoardEffect)</t>
        </is>
      </c>
      <c r="M109" s="8" t="inlineStr">
        <is>
          <t>CIL Architecture Team</t>
        </is>
      </c>
      <c r="N109" s="8" t="inlineStr">
        <is>
          <t>2026-06-27</t>
        </is>
      </c>
      <c r="O109" s="8" t="inlineStr">
        <is>
          <t>CorpStage CIL Registry v1.1</t>
        </is>
      </c>
      <c r="P109" s="8" t="inlineStr">
        <is>
          <t>Group only (single enterprise-wide fact, does not repeat per node)</t>
        </is>
      </c>
      <c r="Q109" s="8" t="inlineStr">
        <is>
          <t>Global</t>
        </is>
      </c>
      <c r="R109" s="8" t="inlineStr">
        <is>
          <t>Tier 1 (Standard) — available to all frameworks and all customers</t>
        </is>
      </c>
      <c r="S109" s="8" t="inlineStr">
        <is>
          <t>Owned by D05 Governance Intelligence as a board and executive governance fact. Legal obligations of directors owned by D08. D05 owns the governance structure and practice intelligence; D08 owns the legal dimension of director duties.</t>
        </is>
      </c>
    </row>
    <row r="110" ht="15" customHeight="1" s="6">
      <c r="A110" s="8" t="inlineStr">
        <is>
          <t>CDE-G109</t>
        </is>
      </c>
      <c r="B110" s="8" t="inlineStr">
        <is>
          <t>Crisis Governance Structure Last Tested/Drilled</t>
        </is>
      </c>
      <c r="C110" s="8" t="inlineStr">
        <is>
          <t>Date</t>
        </is>
      </c>
      <c r="D110" s="8" t="inlineStr">
        <is>
          <t>Supplemental</t>
        </is>
      </c>
      <c r="E110" s="8" t="inlineStr">
        <is>
          <t>Optional</t>
        </is>
      </c>
      <c r="F110" s="8" t="inlineStr">
        <is>
          <t>P3</t>
        </is>
      </c>
      <c r="G110" s="8" t="inlineStr">
        <is>
          <t>Valid date</t>
        </is>
      </c>
      <c r="H110" s="8" t="inlineStr">
        <is>
          <t>TYPE:DATE</t>
        </is>
      </c>
      <c r="I110" s="8" t="inlineStr">
        <is>
          <t>Point-in-time</t>
        </is>
      </c>
      <c r="J110" s="8" t="inlineStr">
        <is>
          <t>One-to-one</t>
        </is>
      </c>
      <c r="K110" s="8" t="inlineStr">
        <is>
          <t>N/A — not a one-to-many numeric field</t>
        </is>
      </c>
      <c r="L110" s="8" t="inlineStr">
        <is>
          <t>User Validation</t>
        </is>
      </c>
      <c r="M110" s="8" t="inlineStr">
        <is>
          <t>CIL Architecture Team</t>
        </is>
      </c>
      <c r="N110" s="8" t="inlineStr">
        <is>
          <t>2026-06-27</t>
        </is>
      </c>
      <c r="O110" s="8" t="inlineStr">
        <is>
          <t>CorpStage CIL Registry v1.1</t>
        </is>
      </c>
      <c r="P110" s="8" t="inlineStr">
        <is>
          <t>Group only (single enterprise-wide fact, does not repeat per node)</t>
        </is>
      </c>
      <c r="Q110" s="8" t="inlineStr">
        <is>
          <t>Global</t>
        </is>
      </c>
      <c r="R110" s="8" t="inlineStr">
        <is>
          <t>Tier 1 (Standard) — available to all frameworks and all customers</t>
        </is>
      </c>
      <c r="S110" s="8" t="inlineStr">
        <is>
          <t>Owned by D05 Governance Intelligence as a board and executive governance fact. Legal obligations of directors owned by D08. D05 owns the governance structure and practice intelligence; D08 owns the legal dimension of director duties.</t>
        </is>
      </c>
    </row>
    <row r="111" ht="15" customHeight="1" s="6">
      <c r="A111" s="8" t="inlineStr">
        <is>
          <t>CDE-G110</t>
        </is>
      </c>
      <c r="B111" s="8" t="inlineStr">
        <is>
          <t>Governance Crisis Event Resolution Outcome</t>
        </is>
      </c>
      <c r="C111" s="8" t="inlineStr">
        <is>
          <t>Text</t>
        </is>
      </c>
      <c r="D111" s="8" t="inlineStr">
        <is>
          <t>Supplemental</t>
        </is>
      </c>
      <c r="E111" s="8" t="inlineStr">
        <is>
          <t>Optional</t>
        </is>
      </c>
      <c r="F111" s="8" t="inlineStr">
        <is>
          <t>P3</t>
        </is>
      </c>
      <c r="G111" s="8" t="inlineStr">
        <is>
          <t>Non-empty text</t>
        </is>
      </c>
      <c r="H111" s="8" t="inlineStr">
        <is>
          <t>TYPE:TEXT</t>
        </is>
      </c>
      <c r="I111" s="8" t="inlineStr">
        <is>
          <t>Point-in-time</t>
        </is>
      </c>
      <c r="J111" s="8" t="inlineStr">
        <is>
          <t>One-to-many</t>
        </is>
      </c>
      <c r="K111" s="8" t="inlineStr">
        <is>
          <t>N/A — not a one-to-many numeric field</t>
        </is>
      </c>
      <c r="L111" s="8" t="inlineStr">
        <is>
          <t>User Validation</t>
        </is>
      </c>
      <c r="M111" s="8" t="inlineStr">
        <is>
          <t>CIL Architecture Team</t>
        </is>
      </c>
      <c r="N111" s="8" t="inlineStr">
        <is>
          <t>2026-06-27</t>
        </is>
      </c>
      <c r="O111" s="8" t="inlineStr">
        <is>
          <t>CorpStage CIL Registry v1.1</t>
        </is>
      </c>
      <c r="P111" s="8" t="inlineStr">
        <is>
          <t>Company, Group (collected per legal entity, not below Company level)</t>
        </is>
      </c>
      <c r="Q111" s="8" t="inlineStr">
        <is>
          <t>Global</t>
        </is>
      </c>
      <c r="R111" s="8" t="inlineStr">
        <is>
          <t>Tier 1 (Standard) — available to all frameworks and all customers</t>
        </is>
      </c>
      <c r="S111" s="8" t="inlineStr">
        <is>
          <t>Owned by D05 Governance Intelligence as a board and executive governance fact. Legal obligations of directors owned by D08. D05 owns the governance structure and practice intelligence; D08 owns the legal dimension of director duties.</t>
        </is>
      </c>
    </row>
    <row r="112" ht="15" customHeight="1" s="6">
      <c r="A112" s="8" t="inlineStr">
        <is>
          <t>CDE-G111</t>
        </is>
      </c>
      <c r="B112" s="8" t="inlineStr">
        <is>
          <t>Multiple Governance Codes Followed (If Cross-Listed)</t>
        </is>
      </c>
      <c r="C112" s="8" t="inlineStr">
        <is>
          <t>Boolean</t>
        </is>
      </c>
      <c r="D112" s="8" t="inlineStr">
        <is>
          <t>Supplemental</t>
        </is>
      </c>
      <c r="E112" s="8" t="inlineStr">
        <is>
          <t>Optional</t>
        </is>
      </c>
      <c r="F112" s="8" t="inlineStr">
        <is>
          <t>P3</t>
        </is>
      </c>
      <c r="G112" s="8" t="inlineStr">
        <is>
          <t>True/False/Unknown (tri-state)</t>
        </is>
      </c>
      <c r="H112" s="8" t="inlineStr">
        <is>
          <t>TYPE:BOOLEAN|ALLOWED:TRUE,FALSE,UNKNOWN</t>
        </is>
      </c>
      <c r="I112" s="8" t="inlineStr">
        <is>
          <t>Point-in-time</t>
        </is>
      </c>
      <c r="J112" s="8" t="inlineStr">
        <is>
          <t>One-to-one</t>
        </is>
      </c>
      <c r="K112" s="8" t="inlineStr">
        <is>
          <t>N/A — not a one-to-many numeric field</t>
        </is>
      </c>
      <c r="L112" s="8" t="inlineStr">
        <is>
          <t>Annual Report / 10-K Filing (SEC EDGAR, Company IR Site)</t>
        </is>
      </c>
      <c r="M112" s="8" t="inlineStr">
        <is>
          <t>CIL Architecture Team</t>
        </is>
      </c>
      <c r="N112" s="8" t="inlineStr">
        <is>
          <t>2026-06-27</t>
        </is>
      </c>
      <c r="O112" s="8" t="inlineStr">
        <is>
          <t>CorpStage CIL Registry v1.2</t>
        </is>
      </c>
      <c r="P112" s="8" t="inlineStr">
        <is>
          <t>Group only (single enterprise-wide fact, does not repeat per node)</t>
        </is>
      </c>
      <c r="Q112" s="8" t="inlineStr">
        <is>
          <t>Global</t>
        </is>
      </c>
      <c r="R112" s="8" t="inlineStr">
        <is>
          <t>Tier 1 (Standard) — available to all frameworks and all customers</t>
        </is>
      </c>
      <c r="S112" s="8" t="inlineStr">
        <is>
          <t>Owned by D05 Governance Intelligence as a board and executive governance fact. Legal obligations of directors owned by D08. D05 owns the governance structure and practice intelligence; D08 owns the legal dimension of director duties.</t>
        </is>
      </c>
    </row>
    <row r="113" ht="15" customHeight="1" s="6">
      <c r="A113" s="8" t="inlineStr">
        <is>
          <t>CDE-G112</t>
        </is>
      </c>
      <c r="B113" s="8" t="inlineStr">
        <is>
          <t>Governance Rating Trend (3yr)</t>
        </is>
      </c>
      <c r="C113" s="8" t="inlineStr">
        <is>
          <t>Text</t>
        </is>
      </c>
      <c r="D113" s="8" t="inlineStr">
        <is>
          <t>Supplemental</t>
        </is>
      </c>
      <c r="E113" s="8" t="inlineStr">
        <is>
          <t>Optional</t>
        </is>
      </c>
      <c r="F113" s="8" t="inlineStr">
        <is>
          <t>P3</t>
        </is>
      </c>
      <c r="G113" s="8" t="inlineStr">
        <is>
          <t>Improving/Stable/Declining</t>
        </is>
      </c>
      <c r="H113" s="8" t="inlineStr">
        <is>
          <t>TYPE:ENUM|ALLOWED:IMPROVING,STABLE,DECLINING</t>
        </is>
      </c>
      <c r="I113" s="8" t="inlineStr">
        <is>
          <t>Point-in-time</t>
        </is>
      </c>
      <c r="J113" s="8" t="inlineStr">
        <is>
          <t>One-to-one</t>
        </is>
      </c>
      <c r="K113" s="8" t="inlineStr">
        <is>
          <t>N/A — not a one-to-many numeric field</t>
        </is>
      </c>
      <c r="L113" s="8" t="inlineStr">
        <is>
          <t>User Validation</t>
        </is>
      </c>
      <c r="M113" s="8" t="inlineStr">
        <is>
          <t>CIL Architecture Team</t>
        </is>
      </c>
      <c r="N113" s="8" t="inlineStr">
        <is>
          <t>2026-06-27</t>
        </is>
      </c>
      <c r="O113" s="8" t="inlineStr">
        <is>
          <t>CorpStage CIL Registry v1.2</t>
        </is>
      </c>
      <c r="P113" s="8" t="inlineStr">
        <is>
          <t>Group only (single enterprise-wide fact, does not repeat per node)</t>
        </is>
      </c>
      <c r="Q113" s="8" t="inlineStr">
        <is>
          <t>Global</t>
        </is>
      </c>
      <c r="R113" s="8" t="inlineStr">
        <is>
          <t>Tier 1 (Standard) — available to all frameworks and all customers</t>
        </is>
      </c>
      <c r="S113" s="8" t="inlineStr">
        <is>
          <t>Owned by D05 Governance Intelligence as a board and executive governance fact. Legal obligations of directors owned by D08. D05 owns the governance structure and practice intelligence; D08 owns the legal dimension of director duties.</t>
        </is>
      </c>
    </row>
    <row r="114" ht="15" customHeight="1" s="6">
      <c r="A114" s="8" t="inlineStr">
        <is>
          <t>CDE-G113</t>
        </is>
      </c>
      <c r="B114" s="8" t="inlineStr">
        <is>
          <t>Succession Pipeline Last Reviewed Date</t>
        </is>
      </c>
      <c r="C114" s="8" t="inlineStr">
        <is>
          <t>Date</t>
        </is>
      </c>
      <c r="D114" s="8" t="inlineStr">
        <is>
          <t>Supplemental</t>
        </is>
      </c>
      <c r="E114" s="8" t="inlineStr">
        <is>
          <t>Optional</t>
        </is>
      </c>
      <c r="F114" s="8" t="inlineStr">
        <is>
          <t>P3</t>
        </is>
      </c>
      <c r="G114" s="8" t="inlineStr">
        <is>
          <t>Valid date</t>
        </is>
      </c>
      <c r="H114" s="8" t="inlineStr">
        <is>
          <t>TYPE:DATE</t>
        </is>
      </c>
      <c r="I114" s="8" t="inlineStr">
        <is>
          <t>Point-in-time</t>
        </is>
      </c>
      <c r="J114" s="8" t="inlineStr">
        <is>
          <t>One-to-one</t>
        </is>
      </c>
      <c r="K114" s="8" t="inlineStr">
        <is>
          <t>N/A — not a one-to-many numeric field</t>
        </is>
      </c>
      <c r="L114" s="8" t="inlineStr">
        <is>
          <t>Board Portal / Governance Records (Diligent, BoardEffect)</t>
        </is>
      </c>
      <c r="M114" s="8" t="inlineStr">
        <is>
          <t>CIL Architecture Team</t>
        </is>
      </c>
      <c r="N114" s="8" t="inlineStr">
        <is>
          <t>2026-06-27</t>
        </is>
      </c>
      <c r="O114" s="8" t="inlineStr">
        <is>
          <t>CorpStage CIL Registry v1.2</t>
        </is>
      </c>
      <c r="P114" s="8" t="inlineStr">
        <is>
          <t>Group only (single enterprise-wide fact, does not repeat per node)</t>
        </is>
      </c>
      <c r="Q114" s="8" t="inlineStr">
        <is>
          <t>Global</t>
        </is>
      </c>
      <c r="R114" s="8" t="inlineStr">
        <is>
          <t>Tier 1 (Standard) — available to all frameworks and all customers</t>
        </is>
      </c>
      <c r="S114" s="8" t="inlineStr">
        <is>
          <t>Owned by D05 Governance Intelligence as a board and executive governance fact. Legal obligations of directors owned by D08. D05 owns the governance structure and practice intelligence; D08 owns the legal dimension of director duties.</t>
        </is>
      </c>
    </row>
    <row r="115" ht="15" customHeight="1" s="6">
      <c r="A115" s="8" t="inlineStr">
        <is>
          <t>CDE-G114</t>
        </is>
      </c>
      <c r="B115" s="8" t="inlineStr">
        <is>
          <t>CEO Pay Ratio Industry Benchmark</t>
        </is>
      </c>
      <c r="C115" s="8" t="inlineStr">
        <is>
          <t>Numeric</t>
        </is>
      </c>
      <c r="D115" s="8" t="inlineStr">
        <is>
          <t>Supplemental</t>
        </is>
      </c>
      <c r="E115" s="8" t="inlineStr">
        <is>
          <t>Optional</t>
        </is>
      </c>
      <c r="F115" s="8" t="inlineStr">
        <is>
          <t>P3</t>
        </is>
      </c>
      <c r="G115" s="8" t="inlineStr">
        <is>
          <t>&gt;=0, numeric</t>
        </is>
      </c>
      <c r="H115" s="8" t="inlineStr">
        <is>
          <t>TYPE:NUMERIC|MIN:0</t>
        </is>
      </c>
      <c r="I115" s="8" t="inlineStr">
        <is>
          <t>Point-in-time</t>
        </is>
      </c>
      <c r="J115" s="8" t="inlineStr">
        <is>
          <t>One-to-one</t>
        </is>
      </c>
      <c r="K115" s="8" t="inlineStr">
        <is>
          <t>N/A — not a one-to-many numeric field</t>
        </is>
      </c>
      <c r="L115" s="8" t="inlineStr">
        <is>
          <t>User Validation</t>
        </is>
      </c>
      <c r="M115" s="8" t="inlineStr">
        <is>
          <t>CIL Architecture Team</t>
        </is>
      </c>
      <c r="N115" s="8" t="inlineStr">
        <is>
          <t>2026-06-27</t>
        </is>
      </c>
      <c r="O115" s="8" t="inlineStr">
        <is>
          <t>CorpStage CIL Registry v1.2</t>
        </is>
      </c>
      <c r="P115" s="8" t="inlineStr">
        <is>
          <t>Group only (single enterprise-wide fact, does not repeat per node)</t>
        </is>
      </c>
      <c r="Q115" s="8" t="inlineStr">
        <is>
          <t>Global</t>
        </is>
      </c>
      <c r="R115" s="8" t="inlineStr">
        <is>
          <t>Tier 1 (Standard) — available to all frameworks and all customers</t>
        </is>
      </c>
      <c r="S115" s="8" t="inlineStr">
        <is>
          <t>Owned by D05 Governance Intelligence as a board and executive governance fact. Legal obligations of directors owned by D08. D05 owns the governance structure and practice intelligence; D08 owns the legal dimension of director duties.</t>
        </is>
      </c>
    </row>
    <row r="116" ht="15" customHeight="1" s="6">
      <c r="A116" s="8" t="inlineStr">
        <is>
          <t>CDE-G115</t>
        </is>
      </c>
      <c r="B116" s="8" t="inlineStr">
        <is>
          <t>Director-Specific Conflict-of-Interest Disclosure Process Documented</t>
        </is>
      </c>
      <c r="C116" s="8" t="inlineStr">
        <is>
          <t>Boolean</t>
        </is>
      </c>
      <c r="D116" s="8" t="inlineStr">
        <is>
          <t>Required</t>
        </is>
      </c>
      <c r="E116" s="8" t="inlineStr">
        <is>
          <t>Multi</t>
        </is>
      </c>
      <c r="F116" s="8" t="inlineStr">
        <is>
          <t>P1</t>
        </is>
      </c>
      <c r="G116" s="8" t="inlineStr">
        <is>
          <t>True/False</t>
        </is>
      </c>
      <c r="H116" s="8" t="inlineStr">
        <is>
          <t>TYPE:BOOLEAN|ALLOWED:TRUE,FALSE</t>
        </is>
      </c>
      <c r="I116" s="8" t="inlineStr">
        <is>
          <t>Effective-dated</t>
        </is>
      </c>
      <c r="J116" s="8" t="inlineStr">
        <is>
          <t>One-to-one</t>
        </is>
      </c>
      <c r="K116" s="8" t="inlineStr">
        <is>
          <t>N/A — not a one-to-many numeric field</t>
        </is>
      </c>
      <c r="L116" s="8" t="inlineStr">
        <is>
          <t>Annual Report / 10-K Filing (SEC EDGAR, Company IR Site)</t>
        </is>
      </c>
      <c r="M116" s="8" t="inlineStr">
        <is>
          <t>CIL Architecture Team</t>
        </is>
      </c>
      <c r="N116" s="8" t="inlineStr">
        <is>
          <t>2026-06-27</t>
        </is>
      </c>
      <c r="O116" s="8" t="inlineStr">
        <is>
          <t>CorpStage CIL Registry v1.1</t>
        </is>
      </c>
      <c r="P116" s="8" t="inlineStr">
        <is>
          <t>Group only (single enterprise-wide fact, does not repeat per node)</t>
        </is>
      </c>
      <c r="Q116" s="8" t="inlineStr">
        <is>
          <t>Global</t>
        </is>
      </c>
      <c r="R116" s="8" t="inlineStr">
        <is>
          <t>Tier 1 (Standard) — available to all frameworks and all customers</t>
        </is>
      </c>
      <c r="S116" s="8" t="inlineStr">
        <is>
          <t>Owned by D05 Governance Intelligence as a board and executive governance fact. Legal obligations of directors owned by D08. D05 owns the governance structure and practice intelligence; D08 owns the legal dimension of director duties.</t>
        </is>
      </c>
    </row>
    <row r="117" ht="15" customHeight="1" s="6">
      <c r="A117" s="8" t="inlineStr">
        <is>
          <t>CDE-G116</t>
        </is>
      </c>
      <c r="B117" s="8" t="inlineStr">
        <is>
          <t>Board Diversity Policy Documented (Beyond Gender)</t>
        </is>
      </c>
      <c r="C117" s="8" t="inlineStr">
        <is>
          <t>Boolean</t>
        </is>
      </c>
      <c r="D117" s="8" t="inlineStr">
        <is>
          <t>Recommended</t>
        </is>
      </c>
      <c r="E117" s="8" t="inlineStr">
        <is>
          <t>Multi</t>
        </is>
      </c>
      <c r="F117" s="8" t="inlineStr">
        <is>
          <t>P2</t>
        </is>
      </c>
      <c r="G117" s="8" t="inlineStr">
        <is>
          <t>True/False</t>
        </is>
      </c>
      <c r="H117" s="8" t="inlineStr">
        <is>
          <t>TYPE:BOOLEAN|ALLOWED:TRUE,FALSE</t>
        </is>
      </c>
      <c r="I117" s="8" t="inlineStr">
        <is>
          <t>Effective-dated</t>
        </is>
      </c>
      <c r="J117" s="8" t="inlineStr">
        <is>
          <t>One-to-one</t>
        </is>
      </c>
      <c r="K117" s="8" t="inlineStr">
        <is>
          <t>N/A — not a one-to-many numeric field</t>
        </is>
      </c>
      <c r="L117" s="8" t="inlineStr">
        <is>
          <t>Annual Report / 10-K Filing (SEC EDGAR, Company IR Site)</t>
        </is>
      </c>
      <c r="M117" s="8" t="inlineStr">
        <is>
          <t>CIL Architecture Team</t>
        </is>
      </c>
      <c r="N117" s="8" t="inlineStr">
        <is>
          <t>2026-06-27</t>
        </is>
      </c>
      <c r="O117" s="8" t="inlineStr">
        <is>
          <t>CorpStage CIL Registry v1.1</t>
        </is>
      </c>
      <c r="P117" s="8" t="inlineStr">
        <is>
          <t>Group only (single enterprise-wide fact, does not repeat per node)</t>
        </is>
      </c>
      <c r="Q117" s="8" t="inlineStr">
        <is>
          <t>Global</t>
        </is>
      </c>
      <c r="R117" s="8" t="inlineStr">
        <is>
          <t>Tier 1 (Standard) — available to all frameworks and all customers</t>
        </is>
      </c>
      <c r="S117" s="8" t="inlineStr">
        <is>
          <t>Owned by D05 Governance Intelligence as a board and executive governance fact. Legal obligations of directors owned by D08. D05 owns the governance structure and practice intelligence; D08 owns the legal dimension of director duties.</t>
        </is>
      </c>
    </row>
    <row r="118" ht="15" customHeight="1" s="6">
      <c r="A118" s="8" t="inlineStr">
        <is>
          <t>CDE-G117</t>
        </is>
      </c>
      <c r="B118" s="8" t="inlineStr">
        <is>
          <t>Director-Specific Insider Trading Pre-Clearance Requirement Documented</t>
        </is>
      </c>
      <c r="C118" s="8" t="inlineStr">
        <is>
          <t>Boolean</t>
        </is>
      </c>
      <c r="D118" s="8" t="inlineStr">
        <is>
          <t>Recommended</t>
        </is>
      </c>
      <c r="E118" s="8" t="inlineStr">
        <is>
          <t>Multi</t>
        </is>
      </c>
      <c r="F118" s="8" t="inlineStr">
        <is>
          <t>P2</t>
        </is>
      </c>
      <c r="G118" s="8" t="inlineStr">
        <is>
          <t>True/False</t>
        </is>
      </c>
      <c r="H118" s="8" t="inlineStr">
        <is>
          <t>TYPE:BOOLEAN|ALLOWED:TRUE,FALSE</t>
        </is>
      </c>
      <c r="I118" s="8" t="inlineStr">
        <is>
          <t>Effective-dated</t>
        </is>
      </c>
      <c r="J118" s="8" t="inlineStr">
        <is>
          <t>One-to-one</t>
        </is>
      </c>
      <c r="K118" s="8" t="inlineStr">
        <is>
          <t>N/A — not a one-to-many numeric field</t>
        </is>
      </c>
      <c r="L118" s="8" t="inlineStr">
        <is>
          <t>Annual Report / 10-K Filing (SEC EDGAR, Company IR Site)</t>
        </is>
      </c>
      <c r="M118" s="8" t="inlineStr">
        <is>
          <t>CIL Architecture Team</t>
        </is>
      </c>
      <c r="N118" s="8" t="inlineStr">
        <is>
          <t>2026-06-27</t>
        </is>
      </c>
      <c r="O118" s="8" t="inlineStr">
        <is>
          <t>CorpStage CIL Registry v1.1</t>
        </is>
      </c>
      <c r="P118" s="8" t="inlineStr">
        <is>
          <t>Group only (single enterprise-wide fact, does not repeat per node)</t>
        </is>
      </c>
      <c r="Q118" s="8" t="inlineStr">
        <is>
          <t>Global</t>
        </is>
      </c>
      <c r="R118" s="8" t="inlineStr">
        <is>
          <t>Tier 1 (Standard) — available to all frameworks and all customers</t>
        </is>
      </c>
      <c r="S118" s="8" t="inlineStr">
        <is>
          <t>Distinct from Domain 6 Compliance &amp; Regulatory Intelligence's CDE-C191/193 (general employee insider trading blackout/violation tracking) — this CDE captures the DIRECTOR-SPECIFIC pre-clearance/reporting requirement (e.g. Section 16-style obligations), a governance-specific mechanism Domain 6 does not currently distinguish from the general employee process.</t>
        </is>
      </c>
    </row>
    <row r="119" ht="15" customHeight="1" s="6">
      <c r="A119" s="8" t="inlineStr">
        <is>
          <t>CDE-G118</t>
        </is>
      </c>
      <c r="B119" s="8" t="inlineStr">
        <is>
          <t>Board Meeting Minutes Retention Policy Documented</t>
        </is>
      </c>
      <c r="C119" s="8" t="inlineStr">
        <is>
          <t>Boolean</t>
        </is>
      </c>
      <c r="D119" s="8" t="inlineStr">
        <is>
          <t>Required</t>
        </is>
      </c>
      <c r="E119" s="8" t="inlineStr">
        <is>
          <t>Optional</t>
        </is>
      </c>
      <c r="F119" s="8" t="inlineStr">
        <is>
          <t>P1</t>
        </is>
      </c>
      <c r="G119" s="8" t="inlineStr">
        <is>
          <t>True/False</t>
        </is>
      </c>
      <c r="H119" s="8" t="inlineStr">
        <is>
          <t>TYPE:BOOLEAN|ALLOWED:TRUE,FALSE</t>
        </is>
      </c>
      <c r="I119" s="8" t="inlineStr">
        <is>
          <t>Effective-dated</t>
        </is>
      </c>
      <c r="J119" s="8" t="inlineStr">
        <is>
          <t>One-to-one</t>
        </is>
      </c>
      <c r="K119" s="8" t="inlineStr">
        <is>
          <t>N/A — not a one-to-many numeric field</t>
        </is>
      </c>
      <c r="L119" s="8" t="inlineStr">
        <is>
          <t>User Validation</t>
        </is>
      </c>
      <c r="M119" s="8" t="inlineStr">
        <is>
          <t>CIL Architecture Team</t>
        </is>
      </c>
      <c r="N119" s="8" t="inlineStr">
        <is>
          <t>2026-06-27</t>
        </is>
      </c>
      <c r="O119" s="8" t="inlineStr">
        <is>
          <t>CorpStage CIL Registry v1.1</t>
        </is>
      </c>
      <c r="P119" s="8" t="inlineStr">
        <is>
          <t>Group only (single enterprise-wide fact, does not repeat per node)</t>
        </is>
      </c>
      <c r="Q119" s="8" t="inlineStr">
        <is>
          <t>Global</t>
        </is>
      </c>
      <c r="R119" s="8" t="inlineStr">
        <is>
          <t>Tier 1 (Standard) — available to all frameworks and all customers</t>
        </is>
      </c>
      <c r="S119" s="8" t="inlineStr">
        <is>
          <t>Owned by D05 Governance Intelligence as a board and executive governance fact. Legal obligations of directors owned by D08. D05 owns the governance structure and practice intelligence; D08 owns the legal dimension of director duties.</t>
        </is>
      </c>
    </row>
    <row r="120" ht="15" customHeight="1" s="6">
      <c r="A120" s="8" t="inlineStr">
        <is>
          <t>CDE-G119</t>
        </is>
      </c>
      <c r="B120" s="8" t="inlineStr">
        <is>
          <t>Director and Officer (D&amp;O) Liability Insurance Coverage Exists</t>
        </is>
      </c>
      <c r="C120" s="8" t="inlineStr">
        <is>
          <t>Boolean</t>
        </is>
      </c>
      <c r="D120" s="8" t="inlineStr">
        <is>
          <t>Required</t>
        </is>
      </c>
      <c r="E120" s="8" t="inlineStr">
        <is>
          <t>Multi</t>
        </is>
      </c>
      <c r="F120" s="8" t="inlineStr">
        <is>
          <t>P1</t>
        </is>
      </c>
      <c r="G120" s="8" t="inlineStr">
        <is>
          <t>True/False</t>
        </is>
      </c>
      <c r="H120" s="8" t="inlineStr">
        <is>
          <t>TYPE:BOOLEAN|ALLOWED:TRUE,FALSE</t>
        </is>
      </c>
      <c r="I120" s="8" t="inlineStr">
        <is>
          <t>Effective-dated</t>
        </is>
      </c>
      <c r="J120" s="8" t="inlineStr">
        <is>
          <t>One-to-one</t>
        </is>
      </c>
      <c r="K120" s="8" t="inlineStr">
        <is>
          <t>N/A — not a one-to-many numeric field</t>
        </is>
      </c>
      <c r="L120" s="8" t="inlineStr">
        <is>
          <t>Annual Report / 10-K Filing (SEC EDGAR, Company IR Site)</t>
        </is>
      </c>
      <c r="M120" s="8" t="inlineStr">
        <is>
          <t>CIL Architecture Team</t>
        </is>
      </c>
      <c r="N120" s="8" t="inlineStr">
        <is>
          <t>2026-06-27</t>
        </is>
      </c>
      <c r="O120" s="8" t="inlineStr">
        <is>
          <t>CorpStage CIL Registry v1.1</t>
        </is>
      </c>
      <c r="P120" s="8" t="inlineStr">
        <is>
          <t>Group only (single enterprise-wide fact, does not repeat per node)</t>
        </is>
      </c>
      <c r="Q120" s="8" t="inlineStr">
        <is>
          <t>Global</t>
        </is>
      </c>
      <c r="R120" s="8" t="inlineStr">
        <is>
          <t>Tier 1 (Standard) — available to all frameworks and all customers</t>
        </is>
      </c>
      <c r="S120" s="8" t="inlineStr">
        <is>
          <t>Owned by D05 Governance Intelligence as a board and executive governance fact. Legal obligations of directors owned by D08. D05 owns the governance structure and practice intelligence; D08 owns the legal dimension of director duties.</t>
        </is>
      </c>
    </row>
    <row r="121" ht="15" customHeight="1" s="6">
      <c r="A121" s="8" t="inlineStr">
        <is>
          <t>CDE-G120</t>
        </is>
      </c>
      <c r="B121" s="8" t="inlineStr">
        <is>
          <t>D&amp;O Liability Insurance Coverage Amount</t>
        </is>
      </c>
      <c r="C121" s="8" t="inlineStr">
        <is>
          <t>Numeric</t>
        </is>
      </c>
      <c r="D121" s="8" t="inlineStr">
        <is>
          <t>Recommended</t>
        </is>
      </c>
      <c r="E121" s="8" t="inlineStr">
        <is>
          <t>Optional</t>
        </is>
      </c>
      <c r="F121" s="8" t="inlineStr">
        <is>
          <t>P2</t>
        </is>
      </c>
      <c r="G121" s="8" t="inlineStr">
        <is>
          <t>&gt;=0, numeric</t>
        </is>
      </c>
      <c r="H121" s="8" t="inlineStr">
        <is>
          <t>TYPE:NUMERIC|MIN:0</t>
        </is>
      </c>
      <c r="I121" s="8" t="inlineStr">
        <is>
          <t>Effective-dated</t>
        </is>
      </c>
      <c r="J121" s="8" t="inlineStr">
        <is>
          <t>One-to-one</t>
        </is>
      </c>
      <c r="K121" s="8" t="inlineStr">
        <is>
          <t>N/A — not a one-to-many numeric field</t>
        </is>
      </c>
      <c r="L121" s="8" t="inlineStr">
        <is>
          <t>Annual Report / 10-K Filing (SEC EDGAR, Company IR Site)</t>
        </is>
      </c>
      <c r="M121" s="8" t="inlineStr">
        <is>
          <t>CIL Architecture Team</t>
        </is>
      </c>
      <c r="N121" s="8" t="inlineStr">
        <is>
          <t>2026-06-27</t>
        </is>
      </c>
      <c r="O121" s="8" t="inlineStr">
        <is>
          <t>CorpStage CIL Registry v1.1</t>
        </is>
      </c>
      <c r="P121" s="8" t="inlineStr">
        <is>
          <t>Group only (single enterprise-wide fact, does not repeat per node)</t>
        </is>
      </c>
      <c r="Q121" s="8" t="inlineStr">
        <is>
          <t>Global</t>
        </is>
      </c>
      <c r="R121" s="8" t="inlineStr">
        <is>
          <t>Tier 1 (Standard) — available to all frameworks and all customers</t>
        </is>
      </c>
      <c r="S121" s="8" t="inlineStr">
        <is>
          <t>Owned by D05 Governance Intelligence as a board and executive governance fact. Legal obligations of directors owned by D08. D05 owns the governance structure and practice intelligence; D08 owns the legal dimension of director duties.</t>
        </is>
      </c>
    </row>
    <row r="122" ht="15" customHeight="1" s="6">
      <c r="A122" s="5" t="inlineStr">
        <is>
          <t>CDE-G121</t>
        </is>
      </c>
      <c r="B122" s="5" t="inlineStr">
        <is>
          <t>Director Overboarding Limit Policy Documented (Max Other Board Seats)</t>
        </is>
      </c>
      <c r="C122" s="5" t="inlineStr">
        <is>
          <t>Boolean</t>
        </is>
      </c>
      <c r="D122" s="5" t="inlineStr">
        <is>
          <t>Recommended</t>
        </is>
      </c>
      <c r="E122" s="5" t="inlineStr">
        <is>
          <t>Multi</t>
        </is>
      </c>
      <c r="F122" s="5" t="inlineStr">
        <is>
          <t>P2</t>
        </is>
      </c>
      <c r="G122" s="5" t="inlineStr">
        <is>
          <t>True/False</t>
        </is>
      </c>
      <c r="H122" s="5" t="inlineStr">
        <is>
          <t>TYPE:BOOLEAN|ALLOWED:TRUE,FALSE</t>
        </is>
      </c>
      <c r="I122" s="5" t="inlineStr">
        <is>
          <t>Effective-dated</t>
        </is>
      </c>
      <c r="J122" s="5" t="inlineStr">
        <is>
          <t>One-to-one</t>
        </is>
      </c>
      <c r="K122" s="5" t="inlineStr">
        <is>
          <t>N/A — not a one-to-many numeric field</t>
        </is>
      </c>
      <c r="L122" s="5" t="inlineStr">
        <is>
          <t>Annual Report / 10-K Filing (SEC EDGAR, Company IR Site)</t>
        </is>
      </c>
      <c r="M122" s="5" t="inlineStr">
        <is>
          <t>CIL Architecture Team</t>
        </is>
      </c>
      <c r="N122" s="5" t="inlineStr">
        <is>
          <t>2026-06-27</t>
        </is>
      </c>
      <c r="O122" s="5" t="inlineStr">
        <is>
          <t>CorpStage CIL Registry v1.2</t>
        </is>
      </c>
      <c r="P122" s="5" t="inlineStr">
        <is>
          <t>Group only (single enterprise-wide fact, does not repeat per node)</t>
        </is>
      </c>
      <c r="Q122" s="5" t="inlineStr">
        <is>
          <t>Global</t>
        </is>
      </c>
      <c r="R122" s="5" t="inlineStr">
        <is>
          <t>Tier 1 (Standard) — available to all frameworks and all customers</t>
        </is>
      </c>
      <c r="S122" s="5" t="inlineStr">
        <is>
          <t>Owned by D05 Governance Intelligence as a board and executive governance fact. Legal obligations of directors owned by D08. D05 owns the governance structure and practice intelligence; D08 owns the legal dimension of director duties.</t>
        </is>
      </c>
    </row>
    <row r="123" ht="15" customHeight="1" s="6">
      <c r="A123" s="5" t="inlineStr">
        <is>
          <t>CDE-G122</t>
        </is>
      </c>
      <c r="B123" s="5" t="inlineStr">
        <is>
          <t>Non-Executive Director Term Limit Policy Documented</t>
        </is>
      </c>
      <c r="C123" s="5" t="inlineStr">
        <is>
          <t>Boolean</t>
        </is>
      </c>
      <c r="D123" s="5" t="inlineStr">
        <is>
          <t>Recommended</t>
        </is>
      </c>
      <c r="E123" s="5" t="inlineStr">
        <is>
          <t>Multi</t>
        </is>
      </c>
      <c r="F123" s="5" t="inlineStr">
        <is>
          <t>P2</t>
        </is>
      </c>
      <c r="G123" s="5" t="inlineStr">
        <is>
          <t>True/False</t>
        </is>
      </c>
      <c r="H123" s="5" t="inlineStr">
        <is>
          <t>TYPE:BOOLEAN|ALLOWED:TRUE,FALSE</t>
        </is>
      </c>
      <c r="I123" s="5" t="inlineStr">
        <is>
          <t>Effective-dated</t>
        </is>
      </c>
      <c r="J123" s="5" t="inlineStr">
        <is>
          <t>One-to-one</t>
        </is>
      </c>
      <c r="K123" s="5" t="inlineStr">
        <is>
          <t>N/A — not a one-to-many numeric field</t>
        </is>
      </c>
      <c r="L123" s="5" t="inlineStr">
        <is>
          <t>Annual Report / 10-K Filing (SEC EDGAR, Company IR Site)</t>
        </is>
      </c>
      <c r="M123" s="5" t="inlineStr">
        <is>
          <t>CIL Architecture Team</t>
        </is>
      </c>
      <c r="N123" s="5" t="inlineStr">
        <is>
          <t>2026-06-27</t>
        </is>
      </c>
      <c r="O123" s="5" t="inlineStr">
        <is>
          <t>CorpStage CIL Registry v1.2</t>
        </is>
      </c>
      <c r="P123" s="5" t="inlineStr">
        <is>
          <t>Group only (single enterprise-wide fact, does not repeat per node)</t>
        </is>
      </c>
      <c r="Q123" s="5" t="inlineStr">
        <is>
          <t>Global</t>
        </is>
      </c>
      <c r="R123" s="5" t="inlineStr">
        <is>
          <t>Tier 1 (Standard) — available to all frameworks and all customers</t>
        </is>
      </c>
      <c r="S123" s="5" t="inlineStr">
        <is>
          <t>Owned by D05 Governance Intelligence as a board and executive governance fact. Legal obligations of directors owned by D08. D05 owns the governance structure and practice intelligence; D08 owns the legal dimension of director duties.</t>
        </is>
      </c>
    </row>
    <row r="124" ht="15" customHeight="1" s="6">
      <c r="A124" s="5" t="inlineStr">
        <is>
          <t>CDE-G123</t>
        </is>
      </c>
      <c r="B124" s="5" t="inlineStr">
        <is>
          <t>Board Diversity Numeric Target Documented (e.g. % by Specific Date)</t>
        </is>
      </c>
      <c r="C124" s="5" t="inlineStr">
        <is>
          <t>Text</t>
        </is>
      </c>
      <c r="D124" s="5" t="inlineStr">
        <is>
          <t>Recommended</t>
        </is>
      </c>
      <c r="E124" s="5" t="inlineStr">
        <is>
          <t>Multi</t>
        </is>
      </c>
      <c r="F124" s="5" t="inlineStr">
        <is>
          <t>P2</t>
        </is>
      </c>
      <c r="G124" s="5" t="inlineStr">
        <is>
          <t>Non-empty text</t>
        </is>
      </c>
      <c r="H124" s="5" t="inlineStr">
        <is>
          <t>TYPE:TEXT</t>
        </is>
      </c>
      <c r="I124" s="5" t="inlineStr">
        <is>
          <t>Point-in-time</t>
        </is>
      </c>
      <c r="J124" s="5" t="inlineStr">
        <is>
          <t>One-to-one</t>
        </is>
      </c>
      <c r="K124" s="5" t="inlineStr">
        <is>
          <t>N/A — not a one-to-many numeric field</t>
        </is>
      </c>
      <c r="L124" s="5" t="inlineStr">
        <is>
          <t>Annual Report / 10-K Filing (SEC EDGAR, Company IR Site)</t>
        </is>
      </c>
      <c r="M124" s="5" t="inlineStr">
        <is>
          <t>CIL Architecture Team</t>
        </is>
      </c>
      <c r="N124" s="5" t="inlineStr">
        <is>
          <t>2026-06-27</t>
        </is>
      </c>
      <c r="O124" s="5" t="inlineStr">
        <is>
          <t>CorpStage CIL Registry v1.2</t>
        </is>
      </c>
      <c r="P124" s="5" t="inlineStr">
        <is>
          <t>Group only (single enterprise-wide fact, does not repeat per node)</t>
        </is>
      </c>
      <c r="Q124" s="5" t="inlineStr">
        <is>
          <t>Global</t>
        </is>
      </c>
      <c r="R124" s="5" t="inlineStr">
        <is>
          <t>Tier 1 (Standard) — available to all frameworks and all customers</t>
        </is>
      </c>
      <c r="S124" s="5" t="inlineStr">
        <is>
          <t>Owned by D05 Governance Intelligence as a board and executive governance fact. Legal obligations of directors owned by D08. D05 owns the governance structure and practice intelligence; D08 owns the legal dimension of director duties.</t>
        </is>
      </c>
    </row>
    <row r="125" ht="15" customHeight="1" s="6">
      <c r="A125" s="5" t="inlineStr">
        <is>
          <t>CDE-G124</t>
        </is>
      </c>
      <c r="B125" s="5" t="inlineStr">
        <is>
          <t>Designated Workforce Engagement Director or Employee Voice Mechanism Exists</t>
        </is>
      </c>
      <c r="C125" s="5" t="inlineStr">
        <is>
          <t>Boolean</t>
        </is>
      </c>
      <c r="D125" s="5" t="inlineStr">
        <is>
          <t>Recommended</t>
        </is>
      </c>
      <c r="E125" s="5" t="inlineStr">
        <is>
          <t>Multi</t>
        </is>
      </c>
      <c r="F125" s="5" t="inlineStr">
        <is>
          <t>P2</t>
        </is>
      </c>
      <c r="G125" s="5" t="inlineStr">
        <is>
          <t>True/False</t>
        </is>
      </c>
      <c r="H125" s="5" t="inlineStr">
        <is>
          <t>TYPE:BOOLEAN|ALLOWED:TRUE,FALSE</t>
        </is>
      </c>
      <c r="I125" s="5" t="inlineStr">
        <is>
          <t>Effective-dated</t>
        </is>
      </c>
      <c r="J125" s="5" t="inlineStr">
        <is>
          <t>One-to-one</t>
        </is>
      </c>
      <c r="K125" s="5" t="inlineStr">
        <is>
          <t>N/A — not a one-to-many numeric field</t>
        </is>
      </c>
      <c r="L125" s="5" t="inlineStr">
        <is>
          <t>Annual Report / 10-K Filing (SEC EDGAR, Company IR Site)</t>
        </is>
      </c>
      <c r="M125" s="5" t="inlineStr">
        <is>
          <t>CIL Architecture Team</t>
        </is>
      </c>
      <c r="N125" s="5" t="inlineStr">
        <is>
          <t>2026-06-27</t>
        </is>
      </c>
      <c r="O125" s="5" t="inlineStr">
        <is>
          <t>CorpStage CIL Registry v1.2</t>
        </is>
      </c>
      <c r="P125" s="5" t="inlineStr">
        <is>
          <t>Group only (single enterprise-wide fact, does not repeat per node)</t>
        </is>
      </c>
      <c r="Q125" s="5" t="inlineStr">
        <is>
          <t>Global</t>
        </is>
      </c>
      <c r="R125" s="5" t="inlineStr">
        <is>
          <t>Tier 1 (Standard) — available to all frameworks and all customers</t>
        </is>
      </c>
      <c r="S125" s="5" t="inlineStr">
        <is>
          <t>Owned by D05 Governance Intelligence as a board and executive governance fact. Legal obligations of directors owned by D08. D05 owns the governance structure and practice intelligence; D08 owns the legal dimension of director duties.</t>
        </is>
      </c>
    </row>
    <row r="126" ht="15" customHeight="1" s="6">
      <c r="A126" s="5" t="inlineStr">
        <is>
          <t>CDE-G125</t>
        </is>
      </c>
      <c r="B126" s="5" t="inlineStr">
        <is>
          <t>Virtual or Hybrid AGM Capability Documented</t>
        </is>
      </c>
      <c r="C126" s="5" t="inlineStr">
        <is>
          <t>Boolean</t>
        </is>
      </c>
      <c r="D126" s="5" t="inlineStr">
        <is>
          <t>Recommended</t>
        </is>
      </c>
      <c r="E126" s="5" t="inlineStr">
        <is>
          <t>Optional</t>
        </is>
      </c>
      <c r="F126" s="5" t="inlineStr">
        <is>
          <t>P2</t>
        </is>
      </c>
      <c r="G126" s="5" t="inlineStr">
        <is>
          <t>True/False</t>
        </is>
      </c>
      <c r="H126" s="5" t="inlineStr">
        <is>
          <t>TYPE:BOOLEAN|ALLOWED:TRUE,FALSE</t>
        </is>
      </c>
      <c r="I126" s="5" t="inlineStr">
        <is>
          <t>Effective-dated</t>
        </is>
      </c>
      <c r="J126" s="5" t="inlineStr">
        <is>
          <t>One-to-one</t>
        </is>
      </c>
      <c r="K126" s="5" t="inlineStr">
        <is>
          <t>N/A — not a one-to-many numeric field</t>
        </is>
      </c>
      <c r="L126" s="5" t="inlineStr">
        <is>
          <t>Annual Report / 10-K Filing (SEC EDGAR, Company IR Site)</t>
        </is>
      </c>
      <c r="M126" s="5" t="inlineStr">
        <is>
          <t>CIL Architecture Team</t>
        </is>
      </c>
      <c r="N126" s="5" t="inlineStr">
        <is>
          <t>2026-06-27</t>
        </is>
      </c>
      <c r="O126" s="5" t="inlineStr">
        <is>
          <t>CorpStage CIL Registry v1.2</t>
        </is>
      </c>
      <c r="P126" s="5" t="inlineStr">
        <is>
          <t>Group only (single enterprise-wide fact, does not repeat per node)</t>
        </is>
      </c>
      <c r="Q126" s="5" t="inlineStr">
        <is>
          <t>Global</t>
        </is>
      </c>
      <c r="R126" s="5" t="inlineStr">
        <is>
          <t>Tier 1 (Standard) — available to all frameworks and all customers</t>
        </is>
      </c>
      <c r="S126" s="5" t="inlineStr">
        <is>
          <t>Owned by D05 Governance Intelligence as a board and executive governance fact. Legal obligations of directors owned by D08. D05 owns the governance structure and practice intelligence; D08 owns the legal dimension of director duties.</t>
        </is>
      </c>
    </row>
    <row r="127" ht="15" customHeight="1" s="6">
      <c r="A127" s="5" t="inlineStr">
        <is>
          <t>CDE-G126</t>
        </is>
      </c>
      <c r="B127" s="5" t="inlineStr">
        <is>
          <t>Board Independence from Controlling Shareholder Documented</t>
        </is>
      </c>
      <c r="C127" s="5" t="inlineStr">
        <is>
          <t>Boolean</t>
        </is>
      </c>
      <c r="D127" s="5" t="inlineStr">
        <is>
          <t>Recommended</t>
        </is>
      </c>
      <c r="E127" s="5" t="inlineStr">
        <is>
          <t>Multi</t>
        </is>
      </c>
      <c r="F127" s="5" t="inlineStr">
        <is>
          <t>P2</t>
        </is>
      </c>
      <c r="G127" s="5" t="inlineStr">
        <is>
          <t>True/False/Unknown (tri-state)</t>
        </is>
      </c>
      <c r="H127" s="5" t="inlineStr">
        <is>
          <t>TYPE:BOOLEAN|ALLOWED:TRUE,FALSE,UNKNOWN</t>
        </is>
      </c>
      <c r="I127" s="5" t="inlineStr">
        <is>
          <t>Effective-dated</t>
        </is>
      </c>
      <c r="J127" s="5" t="inlineStr">
        <is>
          <t>One-to-one</t>
        </is>
      </c>
      <c r="K127" s="5" t="inlineStr">
        <is>
          <t>N/A — not a one-to-many numeric field</t>
        </is>
      </c>
      <c r="L127" s="5" t="inlineStr">
        <is>
          <t>Annual Report / 10-K Filing (SEC EDGAR, Company IR Site)</t>
        </is>
      </c>
      <c r="M127" s="5" t="inlineStr">
        <is>
          <t>CIL Architecture Team</t>
        </is>
      </c>
      <c r="N127" s="5" t="inlineStr">
        <is>
          <t>2026-06-27</t>
        </is>
      </c>
      <c r="O127" s="5" t="inlineStr">
        <is>
          <t>CorpStage CIL Registry v1.3</t>
        </is>
      </c>
      <c r="P127" s="5" t="inlineStr">
        <is>
          <t>Group only (single enterprise-wide fact, does not repeat per node)</t>
        </is>
      </c>
      <c r="Q127" s="5" t="inlineStr">
        <is>
          <t>Global</t>
        </is>
      </c>
      <c r="R127" s="5" t="inlineStr">
        <is>
          <t>Tier 1 (Standard) — available to all frameworks and all customers</t>
        </is>
      </c>
      <c r="S127" s="5" t="inlineStr">
        <is>
          <t>Distinct from Domain 4 Risk Intelligence's CDE-R199 (Risk Governance Independence from Controlling Shareholder), which is scoped specifically to the Risk Committee. This CDE captures the OVERALL BOARD's independence from a controlling shareholder, relevant to general comply-or-explain governance disclosure, not just risk oversight.</t>
        </is>
      </c>
    </row>
    <row r="128" ht="15" customHeight="1" s="6">
      <c r="A128" s="5" t="inlineStr">
        <is>
          <t>CDE-G127</t>
        </is>
      </c>
      <c r="B128" s="5" t="inlineStr">
        <is>
          <t>Executive Severance/Golden Parachute Terms Documented</t>
        </is>
      </c>
      <c r="C128" s="5" t="inlineStr">
        <is>
          <t>Boolean</t>
        </is>
      </c>
      <c r="D128" s="5" t="inlineStr">
        <is>
          <t>Recommended</t>
        </is>
      </c>
      <c r="E128" s="5" t="inlineStr">
        <is>
          <t>Multi</t>
        </is>
      </c>
      <c r="F128" s="5" t="inlineStr">
        <is>
          <t>P2</t>
        </is>
      </c>
      <c r="G128" s="5" t="inlineStr">
        <is>
          <t>True/False</t>
        </is>
      </c>
      <c r="H128" s="5" t="inlineStr">
        <is>
          <t>TYPE:BOOLEAN|ALLOWED:TRUE,FALSE</t>
        </is>
      </c>
      <c r="I128" s="5" t="inlineStr">
        <is>
          <t>Effective-dated</t>
        </is>
      </c>
      <c r="J128" s="5" t="inlineStr">
        <is>
          <t>One-to-one</t>
        </is>
      </c>
      <c r="K128" s="5" t="inlineStr">
        <is>
          <t>N/A — not a one-to-many numeric field</t>
        </is>
      </c>
      <c r="L128" s="5" t="inlineStr">
        <is>
          <t>Annual Report / 10-K Filing (SEC EDGAR, Company IR Site)</t>
        </is>
      </c>
      <c r="M128" s="5" t="inlineStr">
        <is>
          <t>CIL Architecture Team</t>
        </is>
      </c>
      <c r="N128" s="5" t="inlineStr">
        <is>
          <t>2026-06-27</t>
        </is>
      </c>
      <c r="O128" s="5" t="inlineStr">
        <is>
          <t>CorpStage CIL Registry v1.3</t>
        </is>
      </c>
      <c r="P128" s="5" t="inlineStr">
        <is>
          <t>Group only (single enterprise-wide fact, does not repeat per node)</t>
        </is>
      </c>
      <c r="Q128" s="5" t="inlineStr">
        <is>
          <t>Global</t>
        </is>
      </c>
      <c r="R128" s="5" t="inlineStr">
        <is>
          <t>Tier 1 (Standard) — available to all frameworks and all customers</t>
        </is>
      </c>
      <c r="S128" s="5" t="inlineStr">
        <is>
          <t>Owned by D05 Governance Intelligence as a board and executive governance fact. Legal obligations of directors owned by D08. D05 owns the governance structure and practice intelligence; D08 owns the legal dimension of director duties.</t>
        </is>
      </c>
    </row>
    <row r="129" ht="15" customHeight="1" s="6">
      <c r="A129" s="5" t="inlineStr">
        <is>
          <t>CDE-G128</t>
        </is>
      </c>
      <c r="B129" s="5" t="inlineStr">
        <is>
          <t>Board M&amp;A/Major Transaction Approval Threshold Documented</t>
        </is>
      </c>
      <c r="C129" s="5" t="inlineStr">
        <is>
          <t>Boolean</t>
        </is>
      </c>
      <c r="D129" s="5" t="inlineStr">
        <is>
          <t>Recommended</t>
        </is>
      </c>
      <c r="E129" s="5" t="inlineStr">
        <is>
          <t>Optional</t>
        </is>
      </c>
      <c r="F129" s="5" t="inlineStr">
        <is>
          <t>P2</t>
        </is>
      </c>
      <c r="G129" s="5" t="inlineStr">
        <is>
          <t>True/False</t>
        </is>
      </c>
      <c r="H129" s="5" t="inlineStr">
        <is>
          <t>TYPE:BOOLEAN|ALLOWED:TRUE,FALSE</t>
        </is>
      </c>
      <c r="I129" s="5" t="inlineStr">
        <is>
          <t>Effective-dated</t>
        </is>
      </c>
      <c r="J129" s="5" t="inlineStr">
        <is>
          <t>One-to-one</t>
        </is>
      </c>
      <c r="K129" s="5" t="inlineStr">
        <is>
          <t>N/A — not a one-to-many numeric field</t>
        </is>
      </c>
      <c r="L129" s="5" t="inlineStr">
        <is>
          <t>Annual Report / 10-K Filing (SEC EDGAR, Company IR Site)</t>
        </is>
      </c>
      <c r="M129" s="5" t="inlineStr">
        <is>
          <t>CIL Architecture Team</t>
        </is>
      </c>
      <c r="N129" s="5" t="inlineStr">
        <is>
          <t>2026-06-27</t>
        </is>
      </c>
      <c r="O129" s="5" t="inlineStr">
        <is>
          <t>CorpStage CIL Registry v1.3</t>
        </is>
      </c>
      <c r="P129" s="5" t="inlineStr">
        <is>
          <t>Group only (single enterprise-wide fact, does not repeat per node)</t>
        </is>
      </c>
      <c r="Q129" s="5" t="inlineStr">
        <is>
          <t>Global</t>
        </is>
      </c>
      <c r="R129" s="5" t="inlineStr">
        <is>
          <t>Tier 1 (Standard) — available to all frameworks and all customers</t>
        </is>
      </c>
      <c r="S129" s="5" t="inlineStr">
        <is>
          <t>Owned by D05 Governance Intelligence as a board and executive governance fact. Legal obligations of directors owned by D08. D05 owns the governance structure and practice intelligence; D08 owns the legal dimension of director duties.</t>
        </is>
      </c>
    </row>
    <row r="130" ht="15" customHeight="1" s="6">
      <c r="A130" s="5" t="inlineStr">
        <is>
          <t>CDE-G129</t>
        </is>
      </c>
      <c r="B130" s="5" t="inlineStr">
        <is>
          <t>Cumulative Voting Rights for Director Elections Exist</t>
        </is>
      </c>
      <c r="C130" s="5" t="inlineStr">
        <is>
          <t>Boolean</t>
        </is>
      </c>
      <c r="D130" s="5" t="inlineStr">
        <is>
          <t>Recommended</t>
        </is>
      </c>
      <c r="E130" s="5" t="inlineStr">
        <is>
          <t>Optional</t>
        </is>
      </c>
      <c r="F130" s="5" t="inlineStr">
        <is>
          <t>P2</t>
        </is>
      </c>
      <c r="G130" s="5" t="inlineStr">
        <is>
          <t>True/False</t>
        </is>
      </c>
      <c r="H130" s="5" t="inlineStr">
        <is>
          <t>TYPE:BOOLEAN|ALLOWED:TRUE,FALSE</t>
        </is>
      </c>
      <c r="I130" s="5" t="inlineStr">
        <is>
          <t>Effective-dated</t>
        </is>
      </c>
      <c r="J130" s="5" t="inlineStr">
        <is>
          <t>One-to-one</t>
        </is>
      </c>
      <c r="K130" s="5" t="inlineStr">
        <is>
          <t>N/A — not a one-to-many numeric field</t>
        </is>
      </c>
      <c r="L130" s="5" t="inlineStr">
        <is>
          <t>Annual Report / 10-K Filing (SEC EDGAR, Company IR Site)</t>
        </is>
      </c>
      <c r="M130" s="5" t="inlineStr">
        <is>
          <t>CIL Architecture Team</t>
        </is>
      </c>
      <c r="N130" s="5" t="inlineStr">
        <is>
          <t>2026-06-27</t>
        </is>
      </c>
      <c r="O130" s="5" t="inlineStr">
        <is>
          <t>CorpStage CIL Registry v1.3</t>
        </is>
      </c>
      <c r="P130" s="5" t="inlineStr">
        <is>
          <t>Group only (single enterprise-wide fact, does not repeat per node)</t>
        </is>
      </c>
      <c r="Q130" s="5" t="inlineStr">
        <is>
          <t>Global</t>
        </is>
      </c>
      <c r="R130" s="5" t="inlineStr">
        <is>
          <t>Tier 1 (Standard) — available to all frameworks and all customers</t>
        </is>
      </c>
      <c r="S130" s="5" t="inlineStr">
        <is>
          <t>Owned by D05 Governance Intelligence as a board and executive governance fact. Legal obligations of directors owned by D08. D05 owns the governance structure and practice intelligence; D08 owns the legal dimension of director duties.</t>
        </is>
      </c>
    </row>
    <row r="131" ht="15" customHeight="1" s="6">
      <c r="A131" s="5" t="inlineStr">
        <is>
          <t>CDE-G130</t>
        </is>
      </c>
      <c r="B131" s="5" t="inlineStr">
        <is>
          <t>Director Indemnification Agreement Exists (Distinct from D&amp;O Insurance)</t>
        </is>
      </c>
      <c r="C131" s="5" t="inlineStr">
        <is>
          <t>Boolean</t>
        </is>
      </c>
      <c r="D131" s="5" t="inlineStr">
        <is>
          <t>Recommended</t>
        </is>
      </c>
      <c r="E131" s="5" t="inlineStr">
        <is>
          <t>Optional</t>
        </is>
      </c>
      <c r="F131" s="5" t="inlineStr">
        <is>
          <t>P2</t>
        </is>
      </c>
      <c r="G131" s="5" t="inlineStr">
        <is>
          <t>True/False</t>
        </is>
      </c>
      <c r="H131" s="5" t="inlineStr">
        <is>
          <t>TYPE:BOOLEAN|ALLOWED:TRUE,FALSE</t>
        </is>
      </c>
      <c r="I131" s="5" t="inlineStr">
        <is>
          <t>Effective-dated</t>
        </is>
      </c>
      <c r="J131" s="5" t="inlineStr">
        <is>
          <t>One-to-one</t>
        </is>
      </c>
      <c r="K131" s="5" t="inlineStr">
        <is>
          <t>N/A — not a one-to-many numeric field</t>
        </is>
      </c>
      <c r="L131" s="5" t="inlineStr">
        <is>
          <t>Annual Report / 10-K Filing (SEC EDGAR, Company IR Site)</t>
        </is>
      </c>
      <c r="M131" s="5" t="inlineStr">
        <is>
          <t>CIL Architecture Team</t>
        </is>
      </c>
      <c r="N131" s="5" t="inlineStr">
        <is>
          <t>2026-06-27</t>
        </is>
      </c>
      <c r="O131" s="5" t="inlineStr">
        <is>
          <t>CorpStage CIL Registry v1.3</t>
        </is>
      </c>
      <c r="P131" s="5" t="inlineStr">
        <is>
          <t>Group only (single enterprise-wide fact, does not repeat per node)</t>
        </is>
      </c>
      <c r="Q131" s="5" t="inlineStr">
        <is>
          <t>Global</t>
        </is>
      </c>
      <c r="R131" s="5" t="inlineStr">
        <is>
          <t>Tier 1 (Standard) — available to all frameworks and all customers</t>
        </is>
      </c>
      <c r="S131" s="5" t="inlineStr">
        <is>
          <t>Owned by D05 Governance Intelligence as a board and executive governance fact. Legal obligations of directors owned by D08. D05 owns the governance structure and practice intelligence; D08 owns the legal dimension of director duties.</t>
        </is>
      </c>
    </row>
    <row r="132" ht="15" customHeight="1" s="6">
      <c r="A132" s="5" t="inlineStr">
        <is>
          <t>CDE-G131</t>
        </is>
      </c>
      <c r="B132" s="5" t="inlineStr">
        <is>
          <t>Board Process for Setting Corporate Purpose Documented</t>
        </is>
      </c>
      <c r="C132" s="5" t="inlineStr">
        <is>
          <t>Boolean</t>
        </is>
      </c>
      <c r="D132" s="5" t="inlineStr">
        <is>
          <t>Recommended</t>
        </is>
      </c>
      <c r="E132" s="5" t="inlineStr">
        <is>
          <t>Multi</t>
        </is>
      </c>
      <c r="F132" s="5" t="inlineStr">
        <is>
          <t>P2</t>
        </is>
      </c>
      <c r="G132" s="5" t="inlineStr">
        <is>
          <t>True/False</t>
        </is>
      </c>
      <c r="H132" s="5" t="inlineStr">
        <is>
          <t>TYPE:BOOLEAN|ALLOWED:TRUE,FALSE</t>
        </is>
      </c>
      <c r="I132" s="5" t="inlineStr">
        <is>
          <t>Effective-dated</t>
        </is>
      </c>
      <c r="J132" s="5" t="inlineStr">
        <is>
          <t>One-to-one</t>
        </is>
      </c>
      <c r="K132" s="5" t="inlineStr">
        <is>
          <t>N/A — not a one-to-many numeric field</t>
        </is>
      </c>
      <c r="L132" s="5" t="inlineStr">
        <is>
          <t>Annual Report / 10-K Filing (SEC EDGAR, Company IR Site)</t>
        </is>
      </c>
      <c r="M132" s="5" t="inlineStr">
        <is>
          <t>CIL Architecture Team</t>
        </is>
      </c>
      <c r="N132" s="5" t="inlineStr">
        <is>
          <t>2026-06-27</t>
        </is>
      </c>
      <c r="O132" s="5" t="inlineStr">
        <is>
          <t>CorpStage CIL Registry v1.4</t>
        </is>
      </c>
      <c r="P132" s="5" t="inlineStr">
        <is>
          <t>Group only (single enterprise-wide fact, does not repeat per node)</t>
        </is>
      </c>
      <c r="Q132" s="5" t="inlineStr">
        <is>
          <t>Global</t>
        </is>
      </c>
      <c r="R132" s="5" t="inlineStr">
        <is>
          <t>Tier 1 (Standard) — available to all frameworks and all customers</t>
        </is>
      </c>
      <c r="S132" s="5" t="inlineStr">
        <is>
          <t>Owned by D05 Governance Intelligence as a board and executive governance fact. Legal obligations of directors owned by D08. D05 owns the governance structure and practice intelligence; D08 owns the legal dimension of director duties.</t>
        </is>
      </c>
    </row>
    <row r="133" ht="15" customHeight="1" s="6">
      <c r="A133" s="5" t="inlineStr">
        <is>
          <t>CDE-G132</t>
        </is>
      </c>
      <c r="B133" s="5" t="inlineStr">
        <is>
          <t>Dual-Class Sunset Trigger Condition Documented</t>
        </is>
      </c>
      <c r="C133" s="5" t="inlineStr">
        <is>
          <t>Text</t>
        </is>
      </c>
      <c r="D133" s="5" t="inlineStr">
        <is>
          <t>Supplemental</t>
        </is>
      </c>
      <c r="E133" s="5" t="inlineStr">
        <is>
          <t>Optional</t>
        </is>
      </c>
      <c r="F133" s="5" t="inlineStr">
        <is>
          <t>P3</t>
        </is>
      </c>
      <c r="G133" s="5" t="inlineStr">
        <is>
          <t>Non-empty text</t>
        </is>
      </c>
      <c r="H133" s="5" t="inlineStr">
        <is>
          <t>TYPE:TEXT</t>
        </is>
      </c>
      <c r="I133" s="5" t="inlineStr">
        <is>
          <t>Point-in-time</t>
        </is>
      </c>
      <c r="J133" s="5" t="inlineStr">
        <is>
          <t>One-to-one</t>
        </is>
      </c>
      <c r="K133" s="5" t="inlineStr">
        <is>
          <t>N/A — not a one-to-many numeric field</t>
        </is>
      </c>
      <c r="L133" s="5" t="inlineStr">
        <is>
          <t>Annual Report / 10-K Filing (SEC EDGAR, Company IR Site)</t>
        </is>
      </c>
      <c r="M133" s="5" t="inlineStr">
        <is>
          <t>CIL Architecture Team</t>
        </is>
      </c>
      <c r="N133" s="5" t="inlineStr">
        <is>
          <t>2026-06-27</t>
        </is>
      </c>
      <c r="O133" s="5" t="inlineStr">
        <is>
          <t>CorpStage CIL Registry v1.4</t>
        </is>
      </c>
      <c r="P133" s="5" t="inlineStr">
        <is>
          <t>Group only (single enterprise-wide fact, does not repeat per node)</t>
        </is>
      </c>
      <c r="Q133" s="5" t="inlineStr">
        <is>
          <t>Global</t>
        </is>
      </c>
      <c r="R133" s="5" t="inlineStr">
        <is>
          <t>Tier 1 (Standard) — available to all frameworks and all customers</t>
        </is>
      </c>
      <c r="S133" s="5" t="inlineStr">
        <is>
          <t>Owned by D05 Governance Intelligence as a board and executive governance fact. Legal obligations of directors owned by D08. D05 owns the governance structure and practice intelligence; D08 owns the legal dimension of director duties.</t>
        </is>
      </c>
    </row>
    <row r="134" ht="15" customHeight="1" s="6">
      <c r="A134" s="5" t="inlineStr">
        <is>
          <t>CDE-G133</t>
        </is>
      </c>
      <c r="B134" s="5" t="inlineStr">
        <is>
          <t>Majority Voting Standard for Uncontested Director Elections Documented</t>
        </is>
      </c>
      <c r="C134" s="5" t="inlineStr">
        <is>
          <t>Boolean</t>
        </is>
      </c>
      <c r="D134" s="5" t="inlineStr">
        <is>
          <t>Recommended</t>
        </is>
      </c>
      <c r="E134" s="5" t="inlineStr">
        <is>
          <t>Multi</t>
        </is>
      </c>
      <c r="F134" s="5" t="inlineStr">
        <is>
          <t>P2</t>
        </is>
      </c>
      <c r="G134" s="5" t="inlineStr">
        <is>
          <t>True/False</t>
        </is>
      </c>
      <c r="H134" s="5" t="inlineStr">
        <is>
          <t>TYPE:BOOLEAN|ALLOWED:TRUE,FALSE</t>
        </is>
      </c>
      <c r="I134" s="5" t="inlineStr">
        <is>
          <t>Effective-dated</t>
        </is>
      </c>
      <c r="J134" s="5" t="inlineStr">
        <is>
          <t>One-to-one</t>
        </is>
      </c>
      <c r="K134" s="5" t="inlineStr">
        <is>
          <t>N/A — not a one-to-many numeric field</t>
        </is>
      </c>
      <c r="L134" s="5" t="inlineStr">
        <is>
          <t>Annual Report / 10-K Filing (SEC EDGAR, Company IR Site)</t>
        </is>
      </c>
      <c r="M134" s="5" t="inlineStr">
        <is>
          <t>CIL Architecture Team</t>
        </is>
      </c>
      <c r="N134" s="5" t="inlineStr">
        <is>
          <t>2026-06-27</t>
        </is>
      </c>
      <c r="O134" s="5" t="inlineStr">
        <is>
          <t>CorpStage CIL Registry v1.4</t>
        </is>
      </c>
      <c r="P134" s="5" t="inlineStr">
        <is>
          <t>Group only (single enterprise-wide fact, does not repeat per node)</t>
        </is>
      </c>
      <c r="Q134" s="5" t="inlineStr">
        <is>
          <t>Global</t>
        </is>
      </c>
      <c r="R134" s="5" t="inlineStr">
        <is>
          <t>Tier 1 (Standard) — available to all frameworks and all customers</t>
        </is>
      </c>
      <c r="S134" s="5" t="inlineStr">
        <is>
          <t>Owned by D05 Governance Intelligence as a board and executive governance fact. Legal obligations of directors owned by D08. D05 owns the governance structure and practice intelligence; D08 owns the legal dimension of director duties.</t>
        </is>
      </c>
    </row>
    <row r="135" ht="15" customHeight="1" s="6">
      <c r="A135" s="5" t="inlineStr">
        <is>
          <t>CDE-G134</t>
        </is>
      </c>
      <c r="B135" s="5" t="inlineStr">
        <is>
          <t>Board Observer Rights Granted to Investors Documented</t>
        </is>
      </c>
      <c r="C135" s="5" t="inlineStr">
        <is>
          <t>Boolean</t>
        </is>
      </c>
      <c r="D135" s="5" t="inlineStr">
        <is>
          <t>Recommended</t>
        </is>
      </c>
      <c r="E135" s="5" t="inlineStr">
        <is>
          <t>Optional</t>
        </is>
      </c>
      <c r="F135" s="5" t="inlineStr">
        <is>
          <t>P2</t>
        </is>
      </c>
      <c r="G135" s="5" t="inlineStr">
        <is>
          <t>True/False/Unknown (tri-state)</t>
        </is>
      </c>
      <c r="H135" s="5" t="inlineStr">
        <is>
          <t>TYPE:BOOLEAN|ALLOWED:TRUE,FALSE,UNKNOWN</t>
        </is>
      </c>
      <c r="I135" s="5" t="inlineStr">
        <is>
          <t>Effective-dated</t>
        </is>
      </c>
      <c r="J135" s="5" t="inlineStr">
        <is>
          <t>One-to-one</t>
        </is>
      </c>
      <c r="K135" s="5" t="inlineStr">
        <is>
          <t>N/A — not a one-to-many numeric field</t>
        </is>
      </c>
      <c r="L135" s="5" t="inlineStr">
        <is>
          <t>Annual Report / 10-K Filing (SEC EDGAR, Company IR Site)</t>
        </is>
      </c>
      <c r="M135" s="5" t="inlineStr">
        <is>
          <t>CIL Architecture Team</t>
        </is>
      </c>
      <c r="N135" s="5" t="inlineStr">
        <is>
          <t>2026-06-27</t>
        </is>
      </c>
      <c r="O135" s="5" t="inlineStr">
        <is>
          <t>CorpStage CIL Registry v1.4</t>
        </is>
      </c>
      <c r="P135" s="5" t="inlineStr">
        <is>
          <t>Group only (single enterprise-wide fact, does not repeat per node)</t>
        </is>
      </c>
      <c r="Q135" s="5" t="inlineStr">
        <is>
          <t>Global</t>
        </is>
      </c>
      <c r="R135" s="5" t="inlineStr">
        <is>
          <t>Tier 1 (Standard) — available to all frameworks and all customers</t>
        </is>
      </c>
      <c r="S135" s="5" t="inlineStr">
        <is>
          <t>Owned by D05 Governance Intelligence as a board and executive governance fact. Legal obligations of directors owned by D08. D05 owns the governance structure and practice intelligence; D08 owns the legal dimension of director duties.</t>
        </is>
      </c>
    </row>
    <row r="136" ht="15" customHeight="1" s="6">
      <c r="A136" s="5" t="inlineStr">
        <is>
          <t>CDE-G135</t>
        </is>
      </c>
      <c r="B136" s="5" t="inlineStr">
        <is>
          <t>Annual Director and Officer Disclosure Questionnaire Process Documented</t>
        </is>
      </c>
      <c r="C136" s="5" t="inlineStr">
        <is>
          <t>Boolean</t>
        </is>
      </c>
      <c r="D136" s="5" t="inlineStr">
        <is>
          <t>Recommended</t>
        </is>
      </c>
      <c r="E136" s="5" t="inlineStr">
        <is>
          <t>Multi</t>
        </is>
      </c>
      <c r="F136" s="5" t="inlineStr">
        <is>
          <t>P2</t>
        </is>
      </c>
      <c r="G136" s="5" t="inlineStr">
        <is>
          <t>True/False</t>
        </is>
      </c>
      <c r="H136" s="5" t="inlineStr">
        <is>
          <t>TYPE:BOOLEAN|ALLOWED:TRUE,FALSE</t>
        </is>
      </c>
      <c r="I136" s="5" t="inlineStr">
        <is>
          <t>Effective-dated</t>
        </is>
      </c>
      <c r="J136" s="5" t="inlineStr">
        <is>
          <t>One-to-one</t>
        </is>
      </c>
      <c r="K136" s="5" t="inlineStr">
        <is>
          <t>N/A — not a one-to-many numeric field</t>
        </is>
      </c>
      <c r="L136" s="5" t="inlineStr">
        <is>
          <t>User Validation</t>
        </is>
      </c>
      <c r="M136" s="5" t="inlineStr">
        <is>
          <t>CIL Architecture Team</t>
        </is>
      </c>
      <c r="N136" s="5" t="inlineStr">
        <is>
          <t>2026-06-27</t>
        </is>
      </c>
      <c r="O136" s="5" t="inlineStr">
        <is>
          <t>CorpStage CIL Registry v1.4</t>
        </is>
      </c>
      <c r="P136" s="5" t="inlineStr">
        <is>
          <t>Group only (single enterprise-wide fact, does not repeat per node)</t>
        </is>
      </c>
      <c r="Q136" s="5" t="inlineStr">
        <is>
          <t>Global</t>
        </is>
      </c>
      <c r="R136" s="5" t="inlineStr">
        <is>
          <t>Tier 1 (Standard) — available to all frameworks and all customers</t>
        </is>
      </c>
      <c r="S136" s="5" t="inlineStr">
        <is>
          <t>Owned by D05 Governance Intelligence as a board and executive governance fact. Legal obligations of directors owned by D08. D05 owns the governance structure and practice intelligence; D08 owns the legal dimension of director duties.</t>
        </is>
      </c>
    </row>
    <row r="137" ht="15" customHeight="1" s="6">
      <c r="A137" s="5" t="inlineStr">
        <is>
          <t>CDE-G136</t>
        </is>
      </c>
      <c r="B137" s="5" t="inlineStr">
        <is>
          <t>Board Process for Monitoring and Overseeing Corporate Culture Documented</t>
        </is>
      </c>
      <c r="C137" s="5" t="inlineStr">
        <is>
          <t>Boolean</t>
        </is>
      </c>
      <c r="D137" s="5" t="inlineStr">
        <is>
          <t>Required</t>
        </is>
      </c>
      <c r="E137" s="5" t="inlineStr">
        <is>
          <t>Multi</t>
        </is>
      </c>
      <c r="F137" s="5" t="inlineStr">
        <is>
          <t>P1</t>
        </is>
      </c>
      <c r="G137" s="5" t="inlineStr">
        <is>
          <t>True/False</t>
        </is>
      </c>
      <c r="H137" s="5" t="inlineStr">
        <is>
          <t>TYPE:BOOLEAN|ALLOWED:TRUE,FALSE</t>
        </is>
      </c>
      <c r="I137" s="5" t="inlineStr">
        <is>
          <t>Effective-dated</t>
        </is>
      </c>
      <c r="J137" s="5" t="inlineStr">
        <is>
          <t>One-to-one</t>
        </is>
      </c>
      <c r="K137" s="5" t="inlineStr">
        <is>
          <t>N/A — not a one-to-many numeric field</t>
        </is>
      </c>
      <c r="L137" s="5" t="inlineStr">
        <is>
          <t>Annual Report / 10-K Filing (SEC EDGAR, Company IR Site)</t>
        </is>
      </c>
      <c r="M137" s="5" t="inlineStr">
        <is>
          <t>CIL Architecture Team</t>
        </is>
      </c>
      <c r="N137" s="5" t="inlineStr">
        <is>
          <t>2026-06-27</t>
        </is>
      </c>
      <c r="O137" s="5" t="inlineStr">
        <is>
          <t>CorpStage CIL Registry v1.5</t>
        </is>
      </c>
      <c r="P137" s="5" t="inlineStr">
        <is>
          <t>Group only (single enterprise-wide fact, does not repeat per node)</t>
        </is>
      </c>
      <c r="Q137" s="5" t="inlineStr">
        <is>
          <t>Global</t>
        </is>
      </c>
      <c r="R137" s="5" t="inlineStr">
        <is>
          <t>Tier 1 (Standard) — available to all frameworks and all customers</t>
        </is>
      </c>
      <c r="S137" s="5" t="inlineStr">
        <is>
          <t>Owned by D05 Governance Intelligence as a board and executive governance fact. Legal obligations of directors owned by D08. D05 owns the governance structure and practice intelligence; D08 owns the legal dimension of director duties.</t>
        </is>
      </c>
    </row>
    <row r="138" ht="15" customHeight="1" s="6">
      <c r="A138" s="5" t="inlineStr">
        <is>
          <t>CDE-G137</t>
        </is>
      </c>
      <c r="B138" s="5" t="inlineStr">
        <is>
          <t>Internal Controls Effectiveness Declaration Made by Board (e.g. UK Code Provision 29-Style)</t>
        </is>
      </c>
      <c r="C138" s="5" t="inlineStr">
        <is>
          <t>Boolean</t>
        </is>
      </c>
      <c r="D138" s="5" t="inlineStr">
        <is>
          <t>Required</t>
        </is>
      </c>
      <c r="E138" s="5" t="inlineStr">
        <is>
          <t>Multi</t>
        </is>
      </c>
      <c r="F138" s="5" t="inlineStr">
        <is>
          <t>P1</t>
        </is>
      </c>
      <c r="G138" s="5" t="inlineStr">
        <is>
          <t>True/False/Unknown (tri-state)</t>
        </is>
      </c>
      <c r="H138" s="5" t="inlineStr">
        <is>
          <t>TYPE:BOOLEAN|ALLOWED:TRUE,FALSE,UNKNOWN</t>
        </is>
      </c>
      <c r="I138" s="5" t="inlineStr">
        <is>
          <t>Effective-dated</t>
        </is>
      </c>
      <c r="J138" s="5" t="inlineStr">
        <is>
          <t>One-to-one</t>
        </is>
      </c>
      <c r="K138" s="5" t="inlineStr">
        <is>
          <t>N/A — not a one-to-many numeric field</t>
        </is>
      </c>
      <c r="L138" s="5" t="inlineStr">
        <is>
          <t>Annual Report / 10-K Filing (SEC EDGAR, Company IR Site)</t>
        </is>
      </c>
      <c r="M138" s="5" t="inlineStr">
        <is>
          <t>CIL Architecture Team</t>
        </is>
      </c>
      <c r="N138" s="5" t="inlineStr">
        <is>
          <t>2026-06-27</t>
        </is>
      </c>
      <c r="O138" s="5" t="inlineStr">
        <is>
          <t>CorpStage CIL Registry v1.5</t>
        </is>
      </c>
      <c r="P138" s="5" t="inlineStr">
        <is>
          <t>Group only (single enterprise-wide fact, does not repeat per node)</t>
        </is>
      </c>
      <c r="Q138" s="5" t="inlineStr">
        <is>
          <t>Global</t>
        </is>
      </c>
      <c r="R138" s="5" t="inlineStr">
        <is>
          <t>Tier 1 (Standard) — available to all frameworks and all customers</t>
        </is>
      </c>
      <c r="S138" s="5" t="inlineStr">
        <is>
          <t>UK Corporate Governance Code 2024 Provision 29 becomes applicable for financial years beginning on or after 1 January 2026, per verified search — this CDE anticipates that requirement.</t>
        </is>
      </c>
    </row>
    <row r="139" ht="15" customHeight="1" s="6">
      <c r="A139" s="5" t="inlineStr">
        <is>
          <t>CDE-G138</t>
        </is>
      </c>
      <c r="B139" s="5" t="inlineStr">
        <is>
          <t>Director Liability Cap or Limitation Provision Documented</t>
        </is>
      </c>
      <c r="C139" s="5" t="inlineStr">
        <is>
          <t>Boolean</t>
        </is>
      </c>
      <c r="D139" s="5" t="inlineStr">
        <is>
          <t>Supplemental</t>
        </is>
      </c>
      <c r="E139" s="5" t="inlineStr">
        <is>
          <t>Optional</t>
        </is>
      </c>
      <c r="F139" s="5" t="inlineStr">
        <is>
          <t>P3</t>
        </is>
      </c>
      <c r="G139" s="5" t="inlineStr">
        <is>
          <t>True/False</t>
        </is>
      </c>
      <c r="H139" s="5" t="inlineStr">
        <is>
          <t>TYPE:BOOLEAN|ALLOWED:TRUE,FALSE</t>
        </is>
      </c>
      <c r="I139" s="5" t="inlineStr">
        <is>
          <t>Effective-dated</t>
        </is>
      </c>
      <c r="J139" s="5" t="inlineStr">
        <is>
          <t>One-to-one</t>
        </is>
      </c>
      <c r="K139" s="5" t="inlineStr">
        <is>
          <t>N/A — not a one-to-many numeric field</t>
        </is>
      </c>
      <c r="L139" s="5" t="inlineStr">
        <is>
          <t>Annual Report / 10-K Filing (SEC EDGAR, Company IR Site)</t>
        </is>
      </c>
      <c r="M139" s="5" t="inlineStr">
        <is>
          <t>CIL Architecture Team</t>
        </is>
      </c>
      <c r="N139" s="5" t="inlineStr">
        <is>
          <t>2026-06-27</t>
        </is>
      </c>
      <c r="O139" s="5" t="inlineStr">
        <is>
          <t>CorpStage CIL Registry v1.5</t>
        </is>
      </c>
      <c r="P139" s="5" t="inlineStr">
        <is>
          <t>Group only (single enterprise-wide fact, does not repeat per node)</t>
        </is>
      </c>
      <c r="Q139" s="5" t="inlineStr">
        <is>
          <t>Global</t>
        </is>
      </c>
      <c r="R139" s="5" t="inlineStr">
        <is>
          <t>Tier 1 (Standard) — available to all frameworks and all customers</t>
        </is>
      </c>
      <c r="S139" s="5" t="inlineStr">
        <is>
          <t>Owned by D05 Governance Intelligence as a board and executive governance fact. Legal obligations of directors owned by D08. D05 owns the governance structure and practice intelligence; D08 owns the legal dimension of director duties.</t>
        </is>
      </c>
    </row>
    <row r="140" ht="15" customHeight="1" s="6">
      <c r="A140" s="5" t="inlineStr">
        <is>
          <t>CDE-G139</t>
        </is>
      </c>
      <c r="B140" s="5" t="inlineStr">
        <is>
          <t>Whistleblower Matter Escalation Path to Board/Audit Committee Documented</t>
        </is>
      </c>
      <c r="C140" s="5" t="inlineStr">
        <is>
          <t>Boolean</t>
        </is>
      </c>
      <c r="D140" s="5" t="inlineStr">
        <is>
          <t>Required</t>
        </is>
      </c>
      <c r="E140" s="5" t="inlineStr">
        <is>
          <t>Multi</t>
        </is>
      </c>
      <c r="F140" s="5" t="inlineStr">
        <is>
          <t>P1</t>
        </is>
      </c>
      <c r="G140" s="5" t="inlineStr">
        <is>
          <t>True/False</t>
        </is>
      </c>
      <c r="H140" s="5" t="inlineStr">
        <is>
          <t>TYPE:BOOLEAN|ALLOWED:TRUE,FALSE</t>
        </is>
      </c>
      <c r="I140" s="5" t="inlineStr">
        <is>
          <t>Effective-dated</t>
        </is>
      </c>
      <c r="J140" s="5" t="inlineStr">
        <is>
          <t>One-to-one</t>
        </is>
      </c>
      <c r="K140" s="5" t="inlineStr">
        <is>
          <t>N/A — not a one-to-many numeric field</t>
        </is>
      </c>
      <c r="L140" s="5" t="inlineStr">
        <is>
          <t>Board Portal / Governance Records (Diligent, BoardEffect)</t>
        </is>
      </c>
      <c r="M140" s="5" t="inlineStr">
        <is>
          <t>CIL Architecture Team</t>
        </is>
      </c>
      <c r="N140" s="5" t="inlineStr">
        <is>
          <t>2026-06-27</t>
        </is>
      </c>
      <c r="O140" s="5" t="inlineStr">
        <is>
          <t>CorpStage CIL Registry v1.5</t>
        </is>
      </c>
      <c r="P140" s="5" t="inlineStr">
        <is>
          <t>Group only (single enterprise-wide fact, does not repeat per node)</t>
        </is>
      </c>
      <c r="Q140" s="5" t="inlineStr">
        <is>
          <t>Global</t>
        </is>
      </c>
      <c r="R140" s="5" t="inlineStr">
        <is>
          <t>Tier 1 (Standard) — available to all frameworks and all customers</t>
        </is>
      </c>
      <c r="S140" s="5" t="inlineStr">
        <is>
          <t>Distinct from Domain 6 Compliance &amp; Regulatory Intelligence's CDE-C069/070/071 (whistleblower channel operator/volume/category breakdown), which own the CHANNEL OPERATIONS view. This CDE captures the GOVERNANCE ESCALATION PATH specifically — whether and how whistleblower matters reach the Board or Audit Committee level, a distinct governance-accountability fact.</t>
        </is>
      </c>
    </row>
    <row r="141" ht="15" customHeight="1" s="6">
      <c r="A141" s="5" t="inlineStr">
        <is>
          <t>CDE-G140</t>
        </is>
      </c>
      <c r="B141" s="5" t="inlineStr">
        <is>
          <t>Board Dividend Policy Approval Process Documented</t>
        </is>
      </c>
      <c r="C141" s="5" t="inlineStr">
        <is>
          <t>Boolean</t>
        </is>
      </c>
      <c r="D141" s="5" t="inlineStr">
        <is>
          <t>Recommended</t>
        </is>
      </c>
      <c r="E141" s="5" t="inlineStr">
        <is>
          <t>Optional</t>
        </is>
      </c>
      <c r="F141" s="5" t="inlineStr">
        <is>
          <t>P2</t>
        </is>
      </c>
      <c r="G141" s="5" t="inlineStr">
        <is>
          <t>True/False</t>
        </is>
      </c>
      <c r="H141" s="5" t="inlineStr">
        <is>
          <t>TYPE:BOOLEAN|ALLOWED:TRUE,FALSE</t>
        </is>
      </c>
      <c r="I141" s="5" t="inlineStr">
        <is>
          <t>Effective-dated</t>
        </is>
      </c>
      <c r="J141" s="5" t="inlineStr">
        <is>
          <t>One-to-one</t>
        </is>
      </c>
      <c r="K141" s="5" t="inlineStr">
        <is>
          <t>N/A — not a one-to-many numeric field</t>
        </is>
      </c>
      <c r="L141" s="5" t="inlineStr">
        <is>
          <t>Board Portal / Governance Records (Diligent, BoardEffect)</t>
        </is>
      </c>
      <c r="M141" s="5" t="inlineStr">
        <is>
          <t>CIL Architecture Team</t>
        </is>
      </c>
      <c r="N141" s="5" t="inlineStr">
        <is>
          <t>2026-06-27</t>
        </is>
      </c>
      <c r="O141" s="5" t="inlineStr">
        <is>
          <t>CorpStage CIL Registry v1.5</t>
        </is>
      </c>
      <c r="P141" s="5" t="inlineStr">
        <is>
          <t>Group only (single enterprise-wide fact, does not repeat per node)</t>
        </is>
      </c>
      <c r="Q141" s="5" t="inlineStr">
        <is>
          <t>Global</t>
        </is>
      </c>
      <c r="R141" s="5" t="inlineStr">
        <is>
          <t>Tier 1 (Standard) — available to all frameworks and all customers</t>
        </is>
      </c>
      <c r="S141" s="5" t="inlineStr">
        <is>
          <t>Owned by D05 Governance Intelligence as a board and executive governance fact. Legal obligations of directors owned by D08. D05 owns the governance structure and practice intelligence; D08 owns the legal dimension of director duties.</t>
        </is>
      </c>
    </row>
    <row r="142" ht="15" customHeight="1" s="6">
      <c r="A142" s="5" t="inlineStr">
        <is>
          <t>CDE-G141</t>
        </is>
      </c>
      <c r="B142" s="5" t="inlineStr">
        <is>
          <t>Board Annual Budget/Business Plan Approval Process Documented</t>
        </is>
      </c>
      <c r="C142" s="5" t="inlineStr">
        <is>
          <t>Boolean</t>
        </is>
      </c>
      <c r="D142" s="5" t="inlineStr">
        <is>
          <t>Recommended</t>
        </is>
      </c>
      <c r="E142" s="5" t="inlineStr">
        <is>
          <t>Optional</t>
        </is>
      </c>
      <c r="F142" s="5" t="inlineStr">
        <is>
          <t>P2</t>
        </is>
      </c>
      <c r="G142" s="5" t="inlineStr">
        <is>
          <t>True/False</t>
        </is>
      </c>
      <c r="H142" s="5" t="inlineStr">
        <is>
          <t>TYPE:BOOLEAN|ALLOWED:TRUE,FALSE</t>
        </is>
      </c>
      <c r="I142" s="5" t="inlineStr">
        <is>
          <t>Effective-dated</t>
        </is>
      </c>
      <c r="J142" s="5" t="inlineStr">
        <is>
          <t>One-to-one</t>
        </is>
      </c>
      <c r="K142" s="5" t="inlineStr">
        <is>
          <t>N/A — not a one-to-many numeric field</t>
        </is>
      </c>
      <c r="L142" s="5" t="inlineStr">
        <is>
          <t>Board Portal / Governance Records (Diligent, BoardEffect)</t>
        </is>
      </c>
      <c r="M142" s="5" t="inlineStr">
        <is>
          <t>CIL Architecture Team</t>
        </is>
      </c>
      <c r="N142" s="5" t="inlineStr">
        <is>
          <t>2026-06-27</t>
        </is>
      </c>
      <c r="O142" s="5" t="inlineStr">
        <is>
          <t>CorpStage CIL Registry v1.6</t>
        </is>
      </c>
      <c r="P142" s="5" t="inlineStr">
        <is>
          <t>Group only (single enterprise-wide fact, does not repeat per node)</t>
        </is>
      </c>
      <c r="Q142" s="5" t="inlineStr">
        <is>
          <t>Global</t>
        </is>
      </c>
      <c r="R142" s="5" t="inlineStr">
        <is>
          <t>Tier 1 (Standard) — available to all frameworks and all customers</t>
        </is>
      </c>
      <c r="S142" s="5" t="inlineStr">
        <is>
          <t>Owned by D05 Governance Intelligence as a board and executive governance fact. Legal obligations of directors owned by D08. D05 owns the governance structure and practice intelligence; D08 owns the legal dimension of director duties.</t>
        </is>
      </c>
    </row>
    <row r="143" ht="15" customHeight="1" s="6">
      <c r="A143" s="5" t="inlineStr">
        <is>
          <t>CDE-G142</t>
        </is>
      </c>
      <c r="B143" s="5" t="inlineStr">
        <is>
          <t>Board Major Capital Expenditure Approval Threshold Documented</t>
        </is>
      </c>
      <c r="C143" s="5" t="inlineStr">
        <is>
          <t>Boolean</t>
        </is>
      </c>
      <c r="D143" s="5" t="inlineStr">
        <is>
          <t>Recommended</t>
        </is>
      </c>
      <c r="E143" s="5" t="inlineStr">
        <is>
          <t>Optional</t>
        </is>
      </c>
      <c r="F143" s="5" t="inlineStr">
        <is>
          <t>P2</t>
        </is>
      </c>
      <c r="G143" s="5" t="inlineStr">
        <is>
          <t>True/False</t>
        </is>
      </c>
      <c r="H143" s="5" t="inlineStr">
        <is>
          <t>TYPE:BOOLEAN|ALLOWED:TRUE,FALSE</t>
        </is>
      </c>
      <c r="I143" s="5" t="inlineStr">
        <is>
          <t>Effective-dated</t>
        </is>
      </c>
      <c r="J143" s="5" t="inlineStr">
        <is>
          <t>One-to-one</t>
        </is>
      </c>
      <c r="K143" s="5" t="inlineStr">
        <is>
          <t>N/A — not a one-to-many numeric field</t>
        </is>
      </c>
      <c r="L143" s="5" t="inlineStr">
        <is>
          <t>Board Portal / Governance Records (Diligent, BoardEffect)</t>
        </is>
      </c>
      <c r="M143" s="5" t="inlineStr">
        <is>
          <t>CIL Architecture Team</t>
        </is>
      </c>
      <c r="N143" s="5" t="inlineStr">
        <is>
          <t>2026-06-27</t>
        </is>
      </c>
      <c r="O143" s="5" t="inlineStr">
        <is>
          <t>CorpStage CIL Registry v1.6</t>
        </is>
      </c>
      <c r="P143" s="5" t="inlineStr">
        <is>
          <t>Group only (single enterprise-wide fact, does not repeat per node)</t>
        </is>
      </c>
      <c r="Q143" s="5" t="inlineStr">
        <is>
          <t>Global</t>
        </is>
      </c>
      <c r="R143" s="5" t="inlineStr">
        <is>
          <t>Tier 1 (Standard) — available to all frameworks and all customers</t>
        </is>
      </c>
      <c r="S143" s="5" t="inlineStr">
        <is>
          <t>Owned by D05 Governance Intelligence as a board and executive governance fact. Legal obligations of directors owned by D08. D05 owns the governance structure and practice intelligence; D08 owns the legal dimension of director duties.</t>
        </is>
      </c>
    </row>
    <row r="144" ht="15" customHeight="1" s="6">
      <c r="A144" s="5" t="inlineStr">
        <is>
          <t>CDE-G143</t>
        </is>
      </c>
      <c r="B144" s="5" t="inlineStr">
        <is>
          <t>Director Appointment Letter/Terms of Engagement Formally Documented</t>
        </is>
      </c>
      <c r="C144" s="5" t="inlineStr">
        <is>
          <t>Boolean</t>
        </is>
      </c>
      <c r="D144" s="5" t="inlineStr">
        <is>
          <t>Recommended</t>
        </is>
      </c>
      <c r="E144" s="5" t="inlineStr">
        <is>
          <t>Optional</t>
        </is>
      </c>
      <c r="F144" s="5" t="inlineStr">
        <is>
          <t>P2</t>
        </is>
      </c>
      <c r="G144" s="5" t="inlineStr">
        <is>
          <t>True/False</t>
        </is>
      </c>
      <c r="H144" s="5" t="inlineStr">
        <is>
          <t>TYPE:BOOLEAN|ALLOWED:TRUE,FALSE</t>
        </is>
      </c>
      <c r="I144" s="5" t="inlineStr">
        <is>
          <t>Effective-dated</t>
        </is>
      </c>
      <c r="J144" s="5" t="inlineStr">
        <is>
          <t>One-to-one</t>
        </is>
      </c>
      <c r="K144" s="5" t="inlineStr">
        <is>
          <t>N/A — not a one-to-many numeric field</t>
        </is>
      </c>
      <c r="L144" s="5" t="inlineStr">
        <is>
          <t>User Validation</t>
        </is>
      </c>
      <c r="M144" s="5" t="inlineStr">
        <is>
          <t>CIL Architecture Team</t>
        </is>
      </c>
      <c r="N144" s="5" t="inlineStr">
        <is>
          <t>2026-06-27</t>
        </is>
      </c>
      <c r="O144" s="5" t="inlineStr">
        <is>
          <t>CorpStage CIL Registry v1.6</t>
        </is>
      </c>
      <c r="P144" s="5" t="inlineStr">
        <is>
          <t>Group only (single enterprise-wide fact, does not repeat per node)</t>
        </is>
      </c>
      <c r="Q144" s="5" t="inlineStr">
        <is>
          <t>Global</t>
        </is>
      </c>
      <c r="R144" s="5" t="inlineStr">
        <is>
          <t>Tier 1 (Standard) — available to all frameworks and all customers</t>
        </is>
      </c>
      <c r="S144" s="5" t="inlineStr">
        <is>
          <t>Owned by D05 Governance Intelligence as a board and executive governance fact. Legal obligations of directors owned by D08. D05 owns the governance structure and practice intelligence; D08 owns the legal dimension of director duties.</t>
        </is>
      </c>
    </row>
    <row r="145" ht="15" customHeight="1" s="6">
      <c r="A145" s="5" t="inlineStr">
        <is>
          <t>CDE-G144</t>
        </is>
      </c>
      <c r="B145" s="5" t="inlineStr">
        <is>
          <t>Auditor Independence/Rotation Policy Documented</t>
        </is>
      </c>
      <c r="C145" s="5" t="inlineStr">
        <is>
          <t>Boolean</t>
        </is>
      </c>
      <c r="D145" s="5" t="inlineStr">
        <is>
          <t>Required</t>
        </is>
      </c>
      <c r="E145" s="5" t="inlineStr">
        <is>
          <t>Multi</t>
        </is>
      </c>
      <c r="F145" s="5" t="inlineStr">
        <is>
          <t>P1</t>
        </is>
      </c>
      <c r="G145" s="5" t="inlineStr">
        <is>
          <t>True/False</t>
        </is>
      </c>
      <c r="H145" s="5" t="inlineStr">
        <is>
          <t>TYPE:BOOLEAN|ALLOWED:TRUE,FALSE</t>
        </is>
      </c>
      <c r="I145" s="5" t="inlineStr">
        <is>
          <t>Effective-dated</t>
        </is>
      </c>
      <c r="J145" s="5" t="inlineStr">
        <is>
          <t>One-to-one</t>
        </is>
      </c>
      <c r="K145" s="5" t="inlineStr">
        <is>
          <t>N/A — not a one-to-many numeric field</t>
        </is>
      </c>
      <c r="L145" s="5" t="inlineStr">
        <is>
          <t>Annual Report / 10-K Filing (SEC EDGAR, Company IR Site)</t>
        </is>
      </c>
      <c r="M145" s="5" t="inlineStr">
        <is>
          <t>CIL Architecture Team</t>
        </is>
      </c>
      <c r="N145" s="5" t="inlineStr">
        <is>
          <t>2026-06-27</t>
        </is>
      </c>
      <c r="O145" s="5" t="inlineStr">
        <is>
          <t>CorpStage CIL Registry v1.6</t>
        </is>
      </c>
      <c r="P145" s="5" t="inlineStr">
        <is>
          <t>Group only (single enterprise-wide fact, does not repeat per node)</t>
        </is>
      </c>
      <c r="Q145" s="5" t="inlineStr">
        <is>
          <t>Global</t>
        </is>
      </c>
      <c r="R145" s="5" t="inlineStr">
        <is>
          <t>Tier 1 (Standard) — available to all frameworks and all customers</t>
        </is>
      </c>
      <c r="S145" s="5" t="inlineStr">
        <is>
          <t>Owned by D05 Governance Intelligence as a board and executive governance fact. Legal obligations of directors owned by D08. D05 owns the governance structure and practice intelligence; D08 owns the legal dimension of director duties.</t>
        </is>
      </c>
    </row>
    <row r="146" ht="15" customHeight="1" s="6">
      <c r="A146" s="5" t="inlineStr">
        <is>
          <t>CDE-G145</t>
        </is>
      </c>
      <c r="B146" s="5" t="inlineStr">
        <is>
          <t>Board Materials Confidentiality/Information-Handling Policy Documented</t>
        </is>
      </c>
      <c r="C146" s="5" t="inlineStr">
        <is>
          <t>Boolean</t>
        </is>
      </c>
      <c r="D146" s="5" t="inlineStr">
        <is>
          <t>Supplemental</t>
        </is>
      </c>
      <c r="E146" s="5" t="inlineStr">
        <is>
          <t>Optional</t>
        </is>
      </c>
      <c r="F146" s="5" t="inlineStr">
        <is>
          <t>P3</t>
        </is>
      </c>
      <c r="G146" s="5" t="inlineStr">
        <is>
          <t>True/False/Unknown (tri-state)</t>
        </is>
      </c>
      <c r="H146" s="5" t="inlineStr">
        <is>
          <t>TYPE:BOOLEAN|ALLOWED:TRUE,FALSE,UNKNOWN</t>
        </is>
      </c>
      <c r="I146" s="5" t="inlineStr">
        <is>
          <t>Effective-dated</t>
        </is>
      </c>
      <c r="J146" s="5" t="inlineStr">
        <is>
          <t>One-to-one</t>
        </is>
      </c>
      <c r="K146" s="5" t="inlineStr">
        <is>
          <t>N/A — not a one-to-many numeric field</t>
        </is>
      </c>
      <c r="L146" s="5" t="inlineStr">
        <is>
          <t>User Validation</t>
        </is>
      </c>
      <c r="M146" s="5" t="inlineStr">
        <is>
          <t>CIL Architecture Team</t>
        </is>
      </c>
      <c r="N146" s="5" t="inlineStr">
        <is>
          <t>2026-06-27</t>
        </is>
      </c>
      <c r="O146" s="5" t="inlineStr">
        <is>
          <t>CorpStage CIL Registry v1.6</t>
        </is>
      </c>
      <c r="P146" s="5" t="inlineStr">
        <is>
          <t>Group only (single enterprise-wide fact, does not repeat per node)</t>
        </is>
      </c>
      <c r="Q146" s="5" t="inlineStr">
        <is>
          <t>Global</t>
        </is>
      </c>
      <c r="R146" s="5" t="inlineStr">
        <is>
          <t>Tier 1 (Standard) — available to all frameworks and all customers</t>
        </is>
      </c>
      <c r="S146" s="5" t="inlineStr">
        <is>
          <t>Owned by D05 Governance Intelligence as a board and executive governance fact. Legal obligations of directors owned by D08. D05 owns the governance structure and practice intelligence; D08 owns the legal dimension of director duties.</t>
        </is>
      </c>
    </row>
    <row r="147" ht="15" customHeight="1" s="6">
      <c r="A147" s="5" t="inlineStr">
        <is>
          <t>CDE-G146</t>
        </is>
      </c>
      <c r="B147" s="5" t="inlineStr">
        <is>
          <t>Workforce Engagement Method (Director from Workforce/Advisory Panel/Designated NED)</t>
        </is>
      </c>
      <c r="C147" s="5" t="inlineStr">
        <is>
          <t>Text</t>
        </is>
      </c>
      <c r="D147" s="5" t="inlineStr">
        <is>
          <t>Required</t>
        </is>
      </c>
      <c r="E147" s="5" t="inlineStr">
        <is>
          <t>Multi</t>
        </is>
      </c>
      <c r="F147" s="5" t="inlineStr">
        <is>
          <t>P1</t>
        </is>
      </c>
      <c r="G147" s="5" t="inlineStr">
        <is>
          <t>Director from Workforce/Advisory Panel/Designated NED/Alternative Explained</t>
        </is>
      </c>
      <c r="H147" s="5" t="inlineStr">
        <is>
          <t>TYPE:ENUM|ALLOWED:DIRECTOR_FROM_WORKFORCE,ADVISORY_PANEL,DESIGNATED_NED,ALTERNATIVE_EXPLAINED</t>
        </is>
      </c>
      <c r="I147" s="5" t="inlineStr">
        <is>
          <t>Effective-dated</t>
        </is>
      </c>
      <c r="J147" s="5" t="inlineStr">
        <is>
          <t>One-to-one</t>
        </is>
      </c>
      <c r="K147" s="5" t="inlineStr">
        <is>
          <t>N/A — not a one-to-many numeric field</t>
        </is>
      </c>
      <c r="L147" s="5" t="inlineStr">
        <is>
          <t>Annual Report / 10-K Filing (SEC EDGAR, Company IR Site)</t>
        </is>
      </c>
      <c r="M147" s="5" t="inlineStr">
        <is>
          <t>CIL Architecture Team</t>
        </is>
      </c>
      <c r="N147" s="5" t="inlineStr">
        <is>
          <t>2026-06-27</t>
        </is>
      </c>
      <c r="O147" s="5" t="inlineStr">
        <is>
          <t>CorpStage CIL Registry v2.0</t>
        </is>
      </c>
      <c r="P147" s="5" t="inlineStr">
        <is>
          <t>Group only (single enterprise-wide fact, does not repeat per node)</t>
        </is>
      </c>
      <c r="Q147" s="5" t="inlineStr">
        <is>
          <t>Global</t>
        </is>
      </c>
      <c r="R147" s="5" t="inlineStr">
        <is>
          <t>Tier 1 (Standard) — available to all frameworks and all customers</t>
        </is>
      </c>
      <c r="S147" s="5" t="inlineStr">
        <is>
          <t>UK Corporate Governance Code 2024, Provision 5 (verified via primary FRC source text).</t>
        </is>
      </c>
    </row>
    <row r="148" ht="15" customHeight="1" s="6">
      <c r="A148" s="5" t="inlineStr">
        <is>
          <t>CDE-G147</t>
        </is>
      </c>
      <c r="B148" s="5" t="inlineStr">
        <is>
          <t>Workforce Confidential/Anonymous Concern-Raising Mechanism Documented</t>
        </is>
      </c>
      <c r="C148" s="5" t="inlineStr">
        <is>
          <t>Boolean</t>
        </is>
      </c>
      <c r="D148" s="5" t="inlineStr">
        <is>
          <t>Required</t>
        </is>
      </c>
      <c r="E148" s="5" t="inlineStr">
        <is>
          <t>Multi</t>
        </is>
      </c>
      <c r="F148" s="5" t="inlineStr">
        <is>
          <t>P1</t>
        </is>
      </c>
      <c r="G148" s="5" t="inlineStr">
        <is>
          <t>True/False</t>
        </is>
      </c>
      <c r="H148" s="5" t="inlineStr">
        <is>
          <t>TYPE:BOOLEAN|ALLOWED:TRUE,FALSE</t>
        </is>
      </c>
      <c r="I148" s="5" t="inlineStr">
        <is>
          <t>Effective-dated</t>
        </is>
      </c>
      <c r="J148" s="5" t="inlineStr">
        <is>
          <t>One-to-one</t>
        </is>
      </c>
      <c r="K148" s="5" t="inlineStr">
        <is>
          <t>N/A — not a one-to-many numeric field</t>
        </is>
      </c>
      <c r="L148" s="5" t="inlineStr">
        <is>
          <t>Annual Report / 10-K Filing (SEC EDGAR, Company IR Site)</t>
        </is>
      </c>
      <c r="M148" s="5" t="inlineStr">
        <is>
          <t>CIL Architecture Team</t>
        </is>
      </c>
      <c r="N148" s="5" t="inlineStr">
        <is>
          <t>2026-06-27</t>
        </is>
      </c>
      <c r="O148" s="5" t="inlineStr">
        <is>
          <t>CorpStage CIL Registry v2.0</t>
        </is>
      </c>
      <c r="P148" s="5" t="inlineStr">
        <is>
          <t>Group only (single enterprise-wide fact, does not repeat per node)</t>
        </is>
      </c>
      <c r="Q148" s="5" t="inlineStr">
        <is>
          <t>Global</t>
        </is>
      </c>
      <c r="R148" s="5" t="inlineStr">
        <is>
          <t>Tier 1 (Standard) — available to all frameworks and all customers</t>
        </is>
      </c>
      <c r="S148" s="5" t="inlineStr">
        <is>
          <t>UK Corporate Governance Code 2024, Provision 6 (verified via primary FRC source text).</t>
        </is>
      </c>
    </row>
    <row r="149" ht="15" customHeight="1" s="6">
      <c r="A149" s="5" t="inlineStr">
        <is>
          <t>CDE-G148</t>
        </is>
      </c>
      <c r="B149" s="5" t="inlineStr">
        <is>
          <t>Conflict of Interest from Significant Shareholdings Identification Process Documented</t>
        </is>
      </c>
      <c r="C149" s="5" t="inlineStr">
        <is>
          <t>Boolean</t>
        </is>
      </c>
      <c r="D149" s="5" t="inlineStr">
        <is>
          <t>Required</t>
        </is>
      </c>
      <c r="E149" s="5" t="inlineStr">
        <is>
          <t>Multi</t>
        </is>
      </c>
      <c r="F149" s="5" t="inlineStr">
        <is>
          <t>P1</t>
        </is>
      </c>
      <c r="G149" s="5" t="inlineStr">
        <is>
          <t>True/False</t>
        </is>
      </c>
      <c r="H149" s="5" t="inlineStr">
        <is>
          <t>TYPE:BOOLEAN|ALLOWED:TRUE,FALSE</t>
        </is>
      </c>
      <c r="I149" s="5" t="inlineStr">
        <is>
          <t>Effective-dated</t>
        </is>
      </c>
      <c r="J149" s="5" t="inlineStr">
        <is>
          <t>One-to-one</t>
        </is>
      </c>
      <c r="K149" s="5" t="inlineStr">
        <is>
          <t>N/A — not a one-to-many numeric field</t>
        </is>
      </c>
      <c r="L149" s="5" t="inlineStr">
        <is>
          <t>Annual Report / 10-K Filing (SEC EDGAR, Company IR Site)</t>
        </is>
      </c>
      <c r="M149" s="5" t="inlineStr">
        <is>
          <t>CIL Architecture Team</t>
        </is>
      </c>
      <c r="N149" s="5" t="inlineStr">
        <is>
          <t>2026-06-27</t>
        </is>
      </c>
      <c r="O149" s="5" t="inlineStr">
        <is>
          <t>CorpStage CIL Registry v2.0</t>
        </is>
      </c>
      <c r="P149" s="5" t="inlineStr">
        <is>
          <t>Group only (single enterprise-wide fact, does not repeat per node)</t>
        </is>
      </c>
      <c r="Q149" s="5" t="inlineStr">
        <is>
          <t>Global</t>
        </is>
      </c>
      <c r="R149" s="5" t="inlineStr">
        <is>
          <t>Tier 1 (Standard) — available to all frameworks and all customers</t>
        </is>
      </c>
      <c r="S149" s="5" t="inlineStr">
        <is>
          <t>UK Corporate Governance Code 2024, Provision 7 (verified via primary FRC source text).</t>
        </is>
      </c>
    </row>
    <row r="150" ht="15" customHeight="1" s="6">
      <c r="A150" s="5" t="inlineStr">
        <is>
          <t>CDE-G149</t>
        </is>
      </c>
      <c r="B150" s="5" t="inlineStr">
        <is>
          <t>Director Resignation Written Statement of Concerns Process Documented</t>
        </is>
      </c>
      <c r="C150" s="5" t="inlineStr">
        <is>
          <t>Boolean</t>
        </is>
      </c>
      <c r="D150" s="5" t="inlineStr">
        <is>
          <t>Recommended</t>
        </is>
      </c>
      <c r="E150" s="5" t="inlineStr">
        <is>
          <t>Multi</t>
        </is>
      </c>
      <c r="F150" s="5" t="inlineStr">
        <is>
          <t>P2</t>
        </is>
      </c>
      <c r="G150" s="5" t="inlineStr">
        <is>
          <t>True/False</t>
        </is>
      </c>
      <c r="H150" s="5" t="inlineStr">
        <is>
          <t>TYPE:BOOLEAN|ALLOWED:TRUE,FALSE</t>
        </is>
      </c>
      <c r="I150" s="5" t="inlineStr">
        <is>
          <t>Effective-dated</t>
        </is>
      </c>
      <c r="J150" s="5" t="inlineStr">
        <is>
          <t>One-to-one</t>
        </is>
      </c>
      <c r="K150" s="5" t="inlineStr">
        <is>
          <t>N/A — not a one-to-many numeric field</t>
        </is>
      </c>
      <c r="L150" s="5" t="inlineStr">
        <is>
          <t>Board Portal / Governance Records (Diligent, BoardEffect)</t>
        </is>
      </c>
      <c r="M150" s="5" t="inlineStr">
        <is>
          <t>CIL Architecture Team</t>
        </is>
      </c>
      <c r="N150" s="5" t="inlineStr">
        <is>
          <t>2026-06-27</t>
        </is>
      </c>
      <c r="O150" s="5" t="inlineStr">
        <is>
          <t>CorpStage CIL Registry v2.0</t>
        </is>
      </c>
      <c r="P150" s="5" t="inlineStr">
        <is>
          <t>Group only (single enterprise-wide fact, does not repeat per node)</t>
        </is>
      </c>
      <c r="Q150" s="5" t="inlineStr">
        <is>
          <t>Global</t>
        </is>
      </c>
      <c r="R150" s="5" t="inlineStr">
        <is>
          <t>Tier 1 (Standard) — available to all frameworks and all customers</t>
        </is>
      </c>
      <c r="S150" s="5" t="inlineStr">
        <is>
          <t>UK Corporate Governance Code 2024, Provision 8 (verified via primary FRC source text).</t>
        </is>
      </c>
    </row>
    <row r="151" ht="15" customHeight="1" s="6">
      <c r="A151" s="5" t="inlineStr">
        <is>
          <t>CDE-G150</t>
        </is>
      </c>
      <c r="B151" s="5" t="inlineStr">
        <is>
          <t>Long-Term Value Generation/Business Model Description Documented</t>
        </is>
      </c>
      <c r="C151" s="5" t="inlineStr">
        <is>
          <t>Boolean</t>
        </is>
      </c>
      <c r="D151" s="5" t="inlineStr">
        <is>
          <t>Required</t>
        </is>
      </c>
      <c r="E151" s="5" t="inlineStr">
        <is>
          <t>Multi</t>
        </is>
      </c>
      <c r="F151" s="5" t="inlineStr">
        <is>
          <t>P1</t>
        </is>
      </c>
      <c r="G151" s="5" t="inlineStr">
        <is>
          <t>True/False</t>
        </is>
      </c>
      <c r="H151" s="5" t="inlineStr">
        <is>
          <t>TYPE:BOOLEAN|ALLOWED:TRUE,FALSE</t>
        </is>
      </c>
      <c r="I151" s="5" t="inlineStr">
        <is>
          <t>Effective-dated</t>
        </is>
      </c>
      <c r="J151" s="5" t="inlineStr">
        <is>
          <t>One-to-one</t>
        </is>
      </c>
      <c r="K151" s="5" t="inlineStr">
        <is>
          <t>N/A — not a one-to-many numeric field</t>
        </is>
      </c>
      <c r="L151" s="5" t="inlineStr">
        <is>
          <t>Annual Report / 10-K Filing (SEC EDGAR, Company IR Site)</t>
        </is>
      </c>
      <c r="M151" s="5" t="inlineStr">
        <is>
          <t>CIL Architecture Team</t>
        </is>
      </c>
      <c r="N151" s="5" t="inlineStr">
        <is>
          <t>2026-06-27</t>
        </is>
      </c>
      <c r="O151" s="5" t="inlineStr">
        <is>
          <t>CorpStage CIL Registry v2.0</t>
        </is>
      </c>
      <c r="P151" s="5" t="inlineStr">
        <is>
          <t>Group only (single enterprise-wide fact, does not repeat per node)</t>
        </is>
      </c>
      <c r="Q151" s="5" t="inlineStr">
        <is>
          <t>Global</t>
        </is>
      </c>
      <c r="R151" s="5" t="inlineStr">
        <is>
          <t>Tier 1 (Standard) — available to all frameworks and all customers</t>
        </is>
      </c>
      <c r="S151" s="5" t="inlineStr">
        <is>
          <t>UK Corporate Governance Code 2024, Provision 1 (verified via primary FRC source text).</t>
        </is>
      </c>
    </row>
    <row r="152" ht="15" customHeight="1" s="6">
      <c r="A152" s="5" t="inlineStr">
        <is>
          <t>CDE-G151</t>
        </is>
      </c>
      <c r="B152" s="5" t="inlineStr">
        <is>
          <t>Culture Embedding Assessment Documented (Distinct from Monitoring)</t>
        </is>
      </c>
      <c r="C152" s="5" t="inlineStr">
        <is>
          <t>Boolean</t>
        </is>
      </c>
      <c r="D152" s="5" t="inlineStr">
        <is>
          <t>Recommended</t>
        </is>
      </c>
      <c r="E152" s="5" t="inlineStr">
        <is>
          <t>Multi</t>
        </is>
      </c>
      <c r="F152" s="5" t="inlineStr">
        <is>
          <t>P2</t>
        </is>
      </c>
      <c r="G152" s="5" t="inlineStr">
        <is>
          <t>True/False</t>
        </is>
      </c>
      <c r="H152" s="5" t="inlineStr">
        <is>
          <t>TYPE:BOOLEAN|ALLOWED:TRUE,FALSE</t>
        </is>
      </c>
      <c r="I152" s="5" t="inlineStr">
        <is>
          <t>Effective-dated</t>
        </is>
      </c>
      <c r="J152" s="5" t="inlineStr">
        <is>
          <t>One-to-one</t>
        </is>
      </c>
      <c r="K152" s="5" t="inlineStr">
        <is>
          <t>N/A — not a one-to-many numeric field</t>
        </is>
      </c>
      <c r="L152" s="5" t="inlineStr">
        <is>
          <t>Annual Report / 10-K Filing (SEC EDGAR, Company IR Site)</t>
        </is>
      </c>
      <c r="M152" s="5" t="inlineStr">
        <is>
          <t>CIL Architecture Team</t>
        </is>
      </c>
      <c r="N152" s="5" t="inlineStr">
        <is>
          <t>2026-06-27</t>
        </is>
      </c>
      <c r="O152" s="5" t="inlineStr">
        <is>
          <t>CorpStage CIL Registry v2.0</t>
        </is>
      </c>
      <c r="P152" s="5" t="inlineStr">
        <is>
          <t>Group only (single enterprise-wide fact, does not repeat per node)</t>
        </is>
      </c>
      <c r="Q152" s="5" t="inlineStr">
        <is>
          <t>Global</t>
        </is>
      </c>
      <c r="R152" s="5" t="inlineStr">
        <is>
          <t>Tier 1 (Standard) — available to all frameworks and all customers</t>
        </is>
      </c>
      <c r="S152" s="5" t="inlineStr">
        <is>
          <t>UK Corporate Governance Code 2024, Provision 2 (verified via primary FRC source text).</t>
        </is>
      </c>
    </row>
    <row r="153" ht="15" customHeight="1" s="6">
      <c r="A153" s="5" t="inlineStr">
        <is>
          <t>CDE-G152</t>
        </is>
      </c>
      <c r="B153" s="5" t="inlineStr">
        <is>
          <t>20% Vote-Against Threshold Triggered Explanation Process Documented</t>
        </is>
      </c>
      <c r="C153" s="5" t="inlineStr">
        <is>
          <t>Boolean</t>
        </is>
      </c>
      <c r="D153" s="5" t="inlineStr">
        <is>
          <t>Required</t>
        </is>
      </c>
      <c r="E153" s="5" t="inlineStr">
        <is>
          <t>Multi</t>
        </is>
      </c>
      <c r="F153" s="5" t="inlineStr">
        <is>
          <t>P1</t>
        </is>
      </c>
      <c r="G153" s="5" t="inlineStr">
        <is>
          <t>True/False</t>
        </is>
      </c>
      <c r="H153" s="5" t="inlineStr">
        <is>
          <t>TYPE:BOOLEAN|ALLOWED:TRUE,FALSE</t>
        </is>
      </c>
      <c r="I153" s="5" t="inlineStr">
        <is>
          <t>Effective-dated</t>
        </is>
      </c>
      <c r="J153" s="5" t="inlineStr">
        <is>
          <t>One-to-one</t>
        </is>
      </c>
      <c r="K153" s="5" t="inlineStr">
        <is>
          <t>N/A — not a one-to-many numeric field</t>
        </is>
      </c>
      <c r="L153" s="5" t="inlineStr">
        <is>
          <t>Annual Report / 10-K Filing (SEC EDGAR, Company IR Site)</t>
        </is>
      </c>
      <c r="M153" s="5" t="inlineStr">
        <is>
          <t>CIL Architecture Team</t>
        </is>
      </c>
      <c r="N153" s="5" t="inlineStr">
        <is>
          <t>2026-06-27</t>
        </is>
      </c>
      <c r="O153" s="5" t="inlineStr">
        <is>
          <t>CorpStage CIL Registry v2.0</t>
        </is>
      </c>
      <c r="P153" s="5" t="inlineStr">
        <is>
          <t>Group only (single enterprise-wide fact, does not repeat per node)</t>
        </is>
      </c>
      <c r="Q153" s="5" t="inlineStr">
        <is>
          <t>Global</t>
        </is>
      </c>
      <c r="R153" s="5" t="inlineStr">
        <is>
          <t>Tier 1 (Standard) — available to all frameworks and all customers</t>
        </is>
      </c>
      <c r="S153" s="5" t="inlineStr">
        <is>
          <t>UK Corporate Governance Code 2024, Provision 4 (verified via primary FRC source text).</t>
        </is>
      </c>
    </row>
    <row r="154" ht="15" customHeight="1" s="6">
      <c r="A154" s="5" t="inlineStr">
        <is>
          <t>CDE-G153</t>
        </is>
      </c>
      <c r="B154" s="5" t="inlineStr">
        <is>
          <t>Nomination Committee Chair Restriction Documented (Chair Cannot Chair Own-Succession Discussion)</t>
        </is>
      </c>
      <c r="C154" s="5" t="inlineStr">
        <is>
          <t>Boolean</t>
        </is>
      </c>
      <c r="D154" s="5" t="inlineStr">
        <is>
          <t>Recommended</t>
        </is>
      </c>
      <c r="E154" s="5" t="inlineStr">
        <is>
          <t>Multi</t>
        </is>
      </c>
      <c r="F154" s="5" t="inlineStr">
        <is>
          <t>P2</t>
        </is>
      </c>
      <c r="G154" s="5" t="inlineStr">
        <is>
          <t>True/False</t>
        </is>
      </c>
      <c r="H154" s="5" t="inlineStr">
        <is>
          <t>TYPE:BOOLEAN|ALLOWED:TRUE,FALSE</t>
        </is>
      </c>
      <c r="I154" s="5" t="inlineStr">
        <is>
          <t>Effective-dated</t>
        </is>
      </c>
      <c r="J154" s="5" t="inlineStr">
        <is>
          <t>One-to-one</t>
        </is>
      </c>
      <c r="K154" s="5" t="inlineStr">
        <is>
          <t>N/A — not a one-to-many numeric field</t>
        </is>
      </c>
      <c r="L154" s="5" t="inlineStr">
        <is>
          <t>Annual Report / 10-K Filing (SEC EDGAR, Company IR Site)</t>
        </is>
      </c>
      <c r="M154" s="5" t="inlineStr">
        <is>
          <t>CIL Architecture Team</t>
        </is>
      </c>
      <c r="N154" s="5" t="inlineStr">
        <is>
          <t>2026-06-27</t>
        </is>
      </c>
      <c r="O154" s="5" t="inlineStr">
        <is>
          <t>CorpStage CIL Registry v2.0</t>
        </is>
      </c>
      <c r="P154" s="5" t="inlineStr">
        <is>
          <t>Group only (single enterprise-wide fact, does not repeat per node)</t>
        </is>
      </c>
      <c r="Q154" s="5" t="inlineStr">
        <is>
          <t>Global</t>
        </is>
      </c>
      <c r="R154" s="5" t="inlineStr">
        <is>
          <t>Tier 1 (Standard) — available to all frameworks and all customers</t>
        </is>
      </c>
      <c r="S154" s="5" t="inlineStr">
        <is>
          <t>UK Corporate Governance Code 2024, Provision 17 (verified via primary FRC source text).</t>
        </is>
      </c>
    </row>
    <row r="155" ht="15" customHeight="1" s="6">
      <c r="A155" s="5" t="inlineStr">
        <is>
          <t>CDE-G154</t>
        </is>
      </c>
      <c r="B155" s="5" t="inlineStr">
        <is>
          <t>Chair 9-Year Tenure Limit Policy Documented (Specific Provision 19 Threshold)</t>
        </is>
      </c>
      <c r="C155" s="5" t="inlineStr">
        <is>
          <t>Boolean</t>
        </is>
      </c>
      <c r="D155" s="5" t="inlineStr">
        <is>
          <t>Required</t>
        </is>
      </c>
      <c r="E155" s="5" t="inlineStr">
        <is>
          <t>Multi</t>
        </is>
      </c>
      <c r="F155" s="5" t="inlineStr">
        <is>
          <t>P1</t>
        </is>
      </c>
      <c r="G155" s="5" t="inlineStr">
        <is>
          <t>True/False</t>
        </is>
      </c>
      <c r="H155" s="5" t="inlineStr">
        <is>
          <t>TYPE:BOOLEAN|ALLOWED:TRUE,FALSE</t>
        </is>
      </c>
      <c r="I155" s="5" t="inlineStr">
        <is>
          <t>Effective-dated</t>
        </is>
      </c>
      <c r="J155" s="5" t="inlineStr">
        <is>
          <t>One-to-one</t>
        </is>
      </c>
      <c r="K155" s="5" t="inlineStr">
        <is>
          <t>N/A — not a one-to-many numeric field</t>
        </is>
      </c>
      <c r="L155" s="5" t="inlineStr">
        <is>
          <t>Annual Report / 10-K Filing (SEC EDGAR, Company IR Site)</t>
        </is>
      </c>
      <c r="M155" s="5" t="inlineStr">
        <is>
          <t>CIL Architecture Team</t>
        </is>
      </c>
      <c r="N155" s="5" t="inlineStr">
        <is>
          <t>2026-06-27</t>
        </is>
      </c>
      <c r="O155" s="5" t="inlineStr">
        <is>
          <t>CorpStage CIL Registry v2.0</t>
        </is>
      </c>
      <c r="P155" s="5" t="inlineStr">
        <is>
          <t>Group only (single enterprise-wide fact, does not repeat per node)</t>
        </is>
      </c>
      <c r="Q155" s="5" t="inlineStr">
        <is>
          <t>Global</t>
        </is>
      </c>
      <c r="R155" s="5" t="inlineStr">
        <is>
          <t>Tier 1 (Standard) — available to all frameworks and all customers</t>
        </is>
      </c>
      <c r="S155" s="5" t="inlineStr">
        <is>
          <t>UK Corporate Governance Code 2024, Provision 19 (verified via primary FRC source text).</t>
        </is>
      </c>
    </row>
    <row r="156" ht="15" customHeight="1" s="6">
      <c r="A156" s="5" t="inlineStr">
        <is>
          <t>CDE-G155</t>
        </is>
      </c>
      <c r="B156" s="5" t="inlineStr">
        <is>
          <t>Open Advertising or External Search Consultancy Used and Disclosed for Chair/NED Appointments</t>
        </is>
      </c>
      <c r="C156" s="5" t="inlineStr">
        <is>
          <t>Boolean</t>
        </is>
      </c>
      <c r="D156" s="5" t="inlineStr">
        <is>
          <t>Recommended</t>
        </is>
      </c>
      <c r="E156" s="5" t="inlineStr">
        <is>
          <t>Multi</t>
        </is>
      </c>
      <c r="F156" s="5" t="inlineStr">
        <is>
          <t>P2</t>
        </is>
      </c>
      <c r="G156" s="5" t="inlineStr">
        <is>
          <t>True/False</t>
        </is>
      </c>
      <c r="H156" s="5" t="inlineStr">
        <is>
          <t>TYPE:BOOLEAN|ALLOWED:TRUE,FALSE</t>
        </is>
      </c>
      <c r="I156" s="5" t="inlineStr">
        <is>
          <t>Effective-dated</t>
        </is>
      </c>
      <c r="J156" s="5" t="inlineStr">
        <is>
          <t>One-to-one</t>
        </is>
      </c>
      <c r="K156" s="5" t="inlineStr">
        <is>
          <t>N/A — not a one-to-many numeric field</t>
        </is>
      </c>
      <c r="L156" s="5" t="inlineStr">
        <is>
          <t>Annual Report / 10-K Filing (SEC EDGAR, Company IR Site)</t>
        </is>
      </c>
      <c r="M156" s="5" t="inlineStr">
        <is>
          <t>CIL Architecture Team</t>
        </is>
      </c>
      <c r="N156" s="5" t="inlineStr">
        <is>
          <t>2026-06-27</t>
        </is>
      </c>
      <c r="O156" s="5" t="inlineStr">
        <is>
          <t>CorpStage CIL Registry v2.0</t>
        </is>
      </c>
      <c r="P156" s="5" t="inlineStr">
        <is>
          <t>Group only (single enterprise-wide fact, does not repeat per node)</t>
        </is>
      </c>
      <c r="Q156" s="5" t="inlineStr">
        <is>
          <t>Global</t>
        </is>
      </c>
      <c r="R156" s="5" t="inlineStr">
        <is>
          <t>Tier 1 (Standard) — available to all frameworks and all customers</t>
        </is>
      </c>
      <c r="S156" s="5" t="inlineStr">
        <is>
          <t>UK Corporate Governance Code 2024, Provision 20 (verified via primary FRC source text).</t>
        </is>
      </c>
    </row>
    <row r="157" ht="15" customHeight="1" s="6">
      <c r="A157" s="5" t="inlineStr">
        <is>
          <t>CDE-G156</t>
        </is>
      </c>
      <c r="B157" s="5" t="inlineStr">
        <is>
          <t>Audit Committee Minimum Size Requirement Met (3, or 2 for Smaller Companies)</t>
        </is>
      </c>
      <c r="C157" s="5" t="inlineStr">
        <is>
          <t>Boolean</t>
        </is>
      </c>
      <c r="D157" s="5" t="inlineStr">
        <is>
          <t>Required</t>
        </is>
      </c>
      <c r="E157" s="5" t="inlineStr">
        <is>
          <t>Multi</t>
        </is>
      </c>
      <c r="F157" s="5" t="inlineStr">
        <is>
          <t>P1</t>
        </is>
      </c>
      <c r="G157" s="5" t="inlineStr">
        <is>
          <t>True/False</t>
        </is>
      </c>
      <c r="H157" s="5" t="inlineStr">
        <is>
          <t>TYPE:BOOLEAN|ALLOWED:TRUE,FALSE</t>
        </is>
      </c>
      <c r="I157" s="5" t="inlineStr">
        <is>
          <t>Effective-dated</t>
        </is>
      </c>
      <c r="J157" s="5" t="inlineStr">
        <is>
          <t>One-to-one</t>
        </is>
      </c>
      <c r="K157" s="5" t="inlineStr">
        <is>
          <t>N/A — not a one-to-many numeric field</t>
        </is>
      </c>
      <c r="L157" s="5" t="inlineStr">
        <is>
          <t>Annual Report / 10-K Filing (SEC EDGAR, Company IR Site)</t>
        </is>
      </c>
      <c r="M157" s="5" t="inlineStr">
        <is>
          <t>CIL Architecture Team</t>
        </is>
      </c>
      <c r="N157" s="5" t="inlineStr">
        <is>
          <t>2026-06-27</t>
        </is>
      </c>
      <c r="O157" s="5" t="inlineStr">
        <is>
          <t>CorpStage CIL Registry v2.0</t>
        </is>
      </c>
      <c r="P157" s="5" t="inlineStr">
        <is>
          <t>Group only (single enterprise-wide fact, does not repeat per node)</t>
        </is>
      </c>
      <c r="Q157" s="5" t="inlineStr">
        <is>
          <t>Global</t>
        </is>
      </c>
      <c r="R157" s="5" t="inlineStr">
        <is>
          <t>Tier 1 (Standard) — available to all frameworks and all customers</t>
        </is>
      </c>
      <c r="S157" s="5" t="inlineStr">
        <is>
          <t>UK Corporate Governance Code 2024, Provision 24 (verified via primary FRC source text).</t>
        </is>
      </c>
    </row>
    <row r="158" ht="15" customHeight="1" s="6">
      <c r="A158" s="5" t="inlineStr">
        <is>
          <t>CDE-G157</t>
        </is>
      </c>
      <c r="B158" s="5" t="inlineStr">
        <is>
          <t>Going Concern Basis Statement Documented (Distinct from General Internal Controls Declaration)</t>
        </is>
      </c>
      <c r="C158" s="5" t="inlineStr">
        <is>
          <t>Boolean</t>
        </is>
      </c>
      <c r="D158" s="5" t="inlineStr">
        <is>
          <t>Required</t>
        </is>
      </c>
      <c r="E158" s="5" t="inlineStr">
        <is>
          <t>Multi</t>
        </is>
      </c>
      <c r="F158" s="5" t="inlineStr">
        <is>
          <t>P1</t>
        </is>
      </c>
      <c r="G158" s="5" t="inlineStr">
        <is>
          <t>True/False</t>
        </is>
      </c>
      <c r="H158" s="5" t="inlineStr">
        <is>
          <t>TYPE:BOOLEAN|ALLOWED:TRUE,FALSE</t>
        </is>
      </c>
      <c r="I158" s="5" t="inlineStr">
        <is>
          <t>Effective-dated</t>
        </is>
      </c>
      <c r="J158" s="5" t="inlineStr">
        <is>
          <t>One-to-one</t>
        </is>
      </c>
      <c r="K158" s="5" t="inlineStr">
        <is>
          <t>N/A — not a one-to-many numeric field</t>
        </is>
      </c>
      <c r="L158" s="5" t="inlineStr">
        <is>
          <t>Annual Report / 10-K Filing (SEC EDGAR, Company IR Site)</t>
        </is>
      </c>
      <c r="M158" s="5" t="inlineStr">
        <is>
          <t>CIL Architecture Team</t>
        </is>
      </c>
      <c r="N158" s="5" t="inlineStr">
        <is>
          <t>2026-06-27</t>
        </is>
      </c>
      <c r="O158" s="5" t="inlineStr">
        <is>
          <t>CorpStage CIL Registry v2.0</t>
        </is>
      </c>
      <c r="P158" s="5" t="inlineStr">
        <is>
          <t>Group only (single enterprise-wide fact, does not repeat per node)</t>
        </is>
      </c>
      <c r="Q158" s="5" t="inlineStr">
        <is>
          <t>Global</t>
        </is>
      </c>
      <c r="R158" s="5" t="inlineStr">
        <is>
          <t>Tier 1 (Standard) — available to all frameworks and all customers</t>
        </is>
      </c>
      <c r="S158" s="5" t="inlineStr">
        <is>
          <t>UK Corporate Governance Code 2024, Provision 30 (verified via primary FRC source text).</t>
        </is>
      </c>
    </row>
    <row r="159" ht="15" customHeight="1" s="6">
      <c r="A159" s="5" t="inlineStr">
        <is>
          <t>CDE-G158</t>
        </is>
      </c>
      <c r="B159" s="5" t="inlineStr">
        <is>
          <t>Viability/Prospects Statement Over Assessed Period Documented</t>
        </is>
      </c>
      <c r="C159" s="5" t="inlineStr">
        <is>
          <t>Boolean</t>
        </is>
      </c>
      <c r="D159" s="5" t="inlineStr">
        <is>
          <t>Recommended</t>
        </is>
      </c>
      <c r="E159" s="5" t="inlineStr">
        <is>
          <t>Multi</t>
        </is>
      </c>
      <c r="F159" s="5" t="inlineStr">
        <is>
          <t>P2</t>
        </is>
      </c>
      <c r="G159" s="5" t="inlineStr">
        <is>
          <t>True/False</t>
        </is>
      </c>
      <c r="H159" s="5" t="inlineStr">
        <is>
          <t>TYPE:BOOLEAN|ALLOWED:TRUE,FALSE</t>
        </is>
      </c>
      <c r="I159" s="5" t="inlineStr">
        <is>
          <t>Effective-dated</t>
        </is>
      </c>
      <c r="J159" s="5" t="inlineStr">
        <is>
          <t>One-to-one</t>
        </is>
      </c>
      <c r="K159" s="5" t="inlineStr">
        <is>
          <t>N/A — not a one-to-many numeric field</t>
        </is>
      </c>
      <c r="L159" s="5" t="inlineStr">
        <is>
          <t>Annual Report / 10-K Filing (SEC EDGAR, Company IR Site)</t>
        </is>
      </c>
      <c r="M159" s="5" t="inlineStr">
        <is>
          <t>CIL Architecture Team</t>
        </is>
      </c>
      <c r="N159" s="5" t="inlineStr">
        <is>
          <t>2026-06-27</t>
        </is>
      </c>
      <c r="O159" s="5" t="inlineStr">
        <is>
          <t>CorpStage CIL Registry v2.0</t>
        </is>
      </c>
      <c r="P159" s="5" t="inlineStr">
        <is>
          <t>Group only (single enterprise-wide fact, does not repeat per node)</t>
        </is>
      </c>
      <c r="Q159" s="5" t="inlineStr">
        <is>
          <t>Global</t>
        </is>
      </c>
      <c r="R159" s="5" t="inlineStr">
        <is>
          <t>Tier 1 (Standard) — available to all frameworks and all customers</t>
        </is>
      </c>
      <c r="S159" s="5" t="inlineStr">
        <is>
          <t>UK Corporate Governance Code 2024, Provision 31 (verified via primary FRC source text).</t>
        </is>
      </c>
    </row>
    <row r="160" ht="15" customHeight="1" s="6">
      <c r="A160" s="5" t="inlineStr">
        <is>
          <t>CDE-G159</t>
        </is>
      </c>
      <c r="B160" s="5" t="inlineStr">
        <is>
          <t>Post-Employment Shareholding Requirement Policy Documented (5-Year Vesting)</t>
        </is>
      </c>
      <c r="C160" s="5" t="inlineStr">
        <is>
          <t>Boolean</t>
        </is>
      </c>
      <c r="D160" s="5" t="inlineStr">
        <is>
          <t>Supplemental</t>
        </is>
      </c>
      <c r="E160" s="5" t="inlineStr">
        <is>
          <t>Optional</t>
        </is>
      </c>
      <c r="F160" s="5" t="inlineStr">
        <is>
          <t>P3</t>
        </is>
      </c>
      <c r="G160" s="5" t="inlineStr">
        <is>
          <t>True/False</t>
        </is>
      </c>
      <c r="H160" s="5" t="inlineStr">
        <is>
          <t>TYPE:BOOLEAN|ALLOWED:TRUE,FALSE</t>
        </is>
      </c>
      <c r="I160" s="5" t="inlineStr">
        <is>
          <t>Effective-dated</t>
        </is>
      </c>
      <c r="J160" s="5" t="inlineStr">
        <is>
          <t>One-to-one</t>
        </is>
      </c>
      <c r="K160" s="5" t="inlineStr">
        <is>
          <t>N/A — not a one-to-many numeric field</t>
        </is>
      </c>
      <c r="L160" s="5" t="inlineStr">
        <is>
          <t>Annual Report / 10-K Filing (SEC EDGAR, Company IR Site)</t>
        </is>
      </c>
      <c r="M160" s="5" t="inlineStr">
        <is>
          <t>CIL Architecture Team</t>
        </is>
      </c>
      <c r="N160" s="5" t="inlineStr">
        <is>
          <t>2026-06-27</t>
        </is>
      </c>
      <c r="O160" s="5" t="inlineStr">
        <is>
          <t>CorpStage CIL Registry v2.0</t>
        </is>
      </c>
      <c r="P160" s="5" t="inlineStr">
        <is>
          <t>Group only (single enterprise-wide fact, does not repeat per node)</t>
        </is>
      </c>
      <c r="Q160" s="5" t="inlineStr">
        <is>
          <t>Global</t>
        </is>
      </c>
      <c r="R160" s="5" t="inlineStr">
        <is>
          <t>Tier 1 (Standard) — available to all frameworks and all customers</t>
        </is>
      </c>
      <c r="S160" s="5" t="inlineStr">
        <is>
          <t>UK Corporate Governance Code 2024, Provision 36 (verified via primary FRC source text).</t>
        </is>
      </c>
    </row>
    <row r="161" ht="15" customHeight="1" s="6">
      <c r="A161" s="5" t="inlineStr">
        <is>
          <t>CDE-G160</t>
        </is>
      </c>
      <c r="B161" s="5" t="inlineStr">
        <is>
          <t>Executive Pension Contribution Rate Aligned with Workforce Documented</t>
        </is>
      </c>
      <c r="C161" s="5" t="inlineStr">
        <is>
          <t>Boolean</t>
        </is>
      </c>
      <c r="D161" s="5" t="inlineStr">
        <is>
          <t>Recommended</t>
        </is>
      </c>
      <c r="E161" s="5" t="inlineStr">
        <is>
          <t>Multi</t>
        </is>
      </c>
      <c r="F161" s="5" t="inlineStr">
        <is>
          <t>P2</t>
        </is>
      </c>
      <c r="G161" s="5" t="inlineStr">
        <is>
          <t>True/False</t>
        </is>
      </c>
      <c r="H161" s="5" t="inlineStr">
        <is>
          <t>TYPE:BOOLEAN|ALLOWED:TRUE,FALSE</t>
        </is>
      </c>
      <c r="I161" s="5" t="inlineStr">
        <is>
          <t>Effective-dated</t>
        </is>
      </c>
      <c r="J161" s="5" t="inlineStr">
        <is>
          <t>One-to-one</t>
        </is>
      </c>
      <c r="K161" s="5" t="inlineStr">
        <is>
          <t>N/A — not a one-to-many numeric field</t>
        </is>
      </c>
      <c r="L161" s="5" t="inlineStr">
        <is>
          <t>Annual Report / 10-K Filing (SEC EDGAR, Company IR Site)</t>
        </is>
      </c>
      <c r="M161" s="5" t="inlineStr">
        <is>
          <t>CIL Architecture Team</t>
        </is>
      </c>
      <c r="N161" s="5" t="inlineStr">
        <is>
          <t>2026-06-27</t>
        </is>
      </c>
      <c r="O161" s="5" t="inlineStr">
        <is>
          <t>CorpStage CIL Registry v2.0</t>
        </is>
      </c>
      <c r="P161" s="5" t="inlineStr">
        <is>
          <t>Group only (single enterprise-wide fact, does not repeat per node)</t>
        </is>
      </c>
      <c r="Q161" s="5" t="inlineStr">
        <is>
          <t>Global</t>
        </is>
      </c>
      <c r="R161" s="5" t="inlineStr">
        <is>
          <t>Tier 1 (Standard) — available to all frameworks and all customers</t>
        </is>
      </c>
      <c r="S161" s="5" t="inlineStr">
        <is>
          <t>UK Corporate Governance Code 2024, Provision 39 (verified via primary FRC source text).</t>
        </is>
      </c>
    </row>
    <row r="162" ht="15" customHeight="1" s="6">
      <c r="A162" s="5" t="inlineStr">
        <is>
          <t>CDE-G161</t>
        </is>
      </c>
      <c r="B162" s="5" t="inlineStr">
        <is>
          <t>Director Notice/Contract Period Limit Documented (1 Year or Less)</t>
        </is>
      </c>
      <c r="C162" s="5" t="inlineStr">
        <is>
          <t>Boolean</t>
        </is>
      </c>
      <c r="D162" s="5" t="inlineStr">
        <is>
          <t>Recommended</t>
        </is>
      </c>
      <c r="E162" s="5" t="inlineStr">
        <is>
          <t>Multi</t>
        </is>
      </c>
      <c r="F162" s="5" t="inlineStr">
        <is>
          <t>P2</t>
        </is>
      </c>
      <c r="G162" s="5" t="inlineStr">
        <is>
          <t>True/False</t>
        </is>
      </c>
      <c r="H162" s="5" t="inlineStr">
        <is>
          <t>TYPE:BOOLEAN|ALLOWED:TRUE,FALSE</t>
        </is>
      </c>
      <c r="I162" s="5" t="inlineStr">
        <is>
          <t>Effective-dated</t>
        </is>
      </c>
      <c r="J162" s="5" t="inlineStr">
        <is>
          <t>One-to-one</t>
        </is>
      </c>
      <c r="K162" s="5" t="inlineStr">
        <is>
          <t>N/A — not a one-to-many numeric field</t>
        </is>
      </c>
      <c r="L162" s="5" t="inlineStr">
        <is>
          <t>Annual Report / 10-K Filing (SEC EDGAR, Company IR Site)</t>
        </is>
      </c>
      <c r="M162" s="5" t="inlineStr">
        <is>
          <t>CIL Architecture Team</t>
        </is>
      </c>
      <c r="N162" s="5" t="inlineStr">
        <is>
          <t>2026-06-27</t>
        </is>
      </c>
      <c r="O162" s="5" t="inlineStr">
        <is>
          <t>CorpStage CIL Registry v2.0</t>
        </is>
      </c>
      <c r="P162" s="5" t="inlineStr">
        <is>
          <t>Group only (single enterprise-wide fact, does not repeat per node)</t>
        </is>
      </c>
      <c r="Q162" s="5" t="inlineStr">
        <is>
          <t>Global</t>
        </is>
      </c>
      <c r="R162" s="5" t="inlineStr">
        <is>
          <t>Tier 1 (Standard) — available to all frameworks and all customers</t>
        </is>
      </c>
      <c r="S162" s="5" t="inlineStr">
        <is>
          <t>UK Corporate Governance Code 2024, Provision 40 (verified via primary FRC source text).</t>
        </is>
      </c>
    </row>
    <row r="163" ht="15" customHeight="1" s="6">
      <c r="A163" s="5" t="inlineStr">
        <is>
          <t>CDE-G162</t>
        </is>
      </c>
      <c r="B163" s="5" t="inlineStr">
        <is>
          <t>Institutional Investor Stewardship Code Adherence Documented</t>
        </is>
      </c>
      <c r="C163" s="5" t="inlineStr">
        <is>
          <t>Boolean</t>
        </is>
      </c>
      <c r="D163" s="5" t="inlineStr">
        <is>
          <t>Recommended</t>
        </is>
      </c>
      <c r="E163" s="5" t="inlineStr">
        <is>
          <t>Multi</t>
        </is>
      </c>
      <c r="F163" s="5" t="inlineStr">
        <is>
          <t>P2</t>
        </is>
      </c>
      <c r="G163" s="5" t="inlineStr">
        <is>
          <t>True/False/Unknown (tri-state)</t>
        </is>
      </c>
      <c r="H163" s="5" t="inlineStr">
        <is>
          <t>TYPE:BOOLEAN|ALLOWED:TRUE,FALSE,UNKNOWN</t>
        </is>
      </c>
      <c r="I163" s="5" t="inlineStr">
        <is>
          <t>Effective-dated</t>
        </is>
      </c>
      <c r="J163" s="5" t="inlineStr">
        <is>
          <t>One-to-one</t>
        </is>
      </c>
      <c r="K163" s="5" t="inlineStr">
        <is>
          <t>N/A — not a one-to-many numeric field</t>
        </is>
      </c>
      <c r="L163" s="5" t="inlineStr">
        <is>
          <t>User Validation</t>
        </is>
      </c>
      <c r="M163" s="5" t="inlineStr">
        <is>
          <t>CIL Architecture Team</t>
        </is>
      </c>
      <c r="N163" s="5" t="inlineStr">
        <is>
          <t>2026-06-27</t>
        </is>
      </c>
      <c r="O163" s="5" t="inlineStr">
        <is>
          <t>CorpStage CIL Registry v2.1</t>
        </is>
      </c>
      <c r="P163" s="5" t="inlineStr">
        <is>
          <t>Group only (single enterprise-wide fact, does not repeat per node)</t>
        </is>
      </c>
      <c r="Q163" s="5" t="inlineStr">
        <is>
          <t>Global</t>
        </is>
      </c>
      <c r="R163" s="5" t="inlineStr">
        <is>
          <t>Tier 1 (Standard) — available to all frameworks and all customers</t>
        </is>
      </c>
      <c r="S163" s="5" t="inlineStr">
        <is>
          <t>G20/OECD Principles of Corporate Governance 2023, Chapter III (verified via primary OECD source text).</t>
        </is>
      </c>
    </row>
    <row r="164" ht="15" customHeight="1" s="6">
      <c r="A164" s="5" t="inlineStr">
        <is>
          <t>CDE-G163</t>
        </is>
      </c>
      <c r="B164" s="5" t="inlineStr">
        <is>
          <t>Proxy Advisor Conflict-of-Interest Disclosure Received/Reviewed</t>
        </is>
      </c>
      <c r="C164" s="5" t="inlineStr">
        <is>
          <t>Boolean</t>
        </is>
      </c>
      <c r="D164" s="5" t="inlineStr">
        <is>
          <t>Supplemental</t>
        </is>
      </c>
      <c r="E164" s="5" t="inlineStr">
        <is>
          <t>Optional</t>
        </is>
      </c>
      <c r="F164" s="5" t="inlineStr">
        <is>
          <t>P3</t>
        </is>
      </c>
      <c r="G164" s="5" t="inlineStr">
        <is>
          <t>True/False/Unknown (tri-state)</t>
        </is>
      </c>
      <c r="H164" s="5" t="inlineStr">
        <is>
          <t>TYPE:BOOLEAN|ALLOWED:TRUE,FALSE,UNKNOWN</t>
        </is>
      </c>
      <c r="I164" s="5" t="inlineStr">
        <is>
          <t>Effective-dated</t>
        </is>
      </c>
      <c r="J164" s="5" t="inlineStr">
        <is>
          <t>One-to-one</t>
        </is>
      </c>
      <c r="K164" s="5" t="inlineStr">
        <is>
          <t>N/A — not a one-to-many numeric field</t>
        </is>
      </c>
      <c r="L164" s="5" t="inlineStr">
        <is>
          <t>User Validation</t>
        </is>
      </c>
      <c r="M164" s="5" t="inlineStr">
        <is>
          <t>CIL Architecture Team</t>
        </is>
      </c>
      <c r="N164" s="5" t="inlineStr">
        <is>
          <t>2026-06-27</t>
        </is>
      </c>
      <c r="O164" s="5" t="inlineStr">
        <is>
          <t>CorpStage CIL Registry v2.1</t>
        </is>
      </c>
      <c r="P164" s="5" t="inlineStr">
        <is>
          <t>Group only (single enterprise-wide fact, does not repeat per node)</t>
        </is>
      </c>
      <c r="Q164" s="5" t="inlineStr">
        <is>
          <t>Global</t>
        </is>
      </c>
      <c r="R164" s="5" t="inlineStr">
        <is>
          <t>Tier 1 (Standard) — available to all frameworks and all customers</t>
        </is>
      </c>
      <c r="S164" s="5" t="inlineStr">
        <is>
          <t>G20/OECD Principles of Corporate Governance 2023, Chapter III (verified via primary OECD source text).</t>
        </is>
      </c>
    </row>
    <row r="165" ht="15" customHeight="1" s="6">
      <c r="A165" s="5" t="inlineStr">
        <is>
          <t>CDE-G164</t>
        </is>
      </c>
      <c r="B165" s="5" t="inlineStr">
        <is>
          <t>Major Institutional Shareholder Voting Policy Disclosure Reviewed</t>
        </is>
      </c>
      <c r="C165" s="5" t="inlineStr">
        <is>
          <t>Boolean</t>
        </is>
      </c>
      <c r="D165" s="5" t="inlineStr">
        <is>
          <t>Supplemental</t>
        </is>
      </c>
      <c r="E165" s="5" t="inlineStr">
        <is>
          <t>Optional</t>
        </is>
      </c>
      <c r="F165" s="5" t="inlineStr">
        <is>
          <t>P3</t>
        </is>
      </c>
      <c r="G165" s="5" t="inlineStr">
        <is>
          <t>True/False/Unknown (tri-state)</t>
        </is>
      </c>
      <c r="H165" s="5" t="inlineStr">
        <is>
          <t>TYPE:BOOLEAN|ALLOWED:TRUE,FALSE,UNKNOWN</t>
        </is>
      </c>
      <c r="I165" s="5" t="inlineStr">
        <is>
          <t>Effective-dated</t>
        </is>
      </c>
      <c r="J165" s="5" t="inlineStr">
        <is>
          <t>One-to-one</t>
        </is>
      </c>
      <c r="K165" s="5" t="inlineStr">
        <is>
          <t>N/A — not a one-to-many numeric field</t>
        </is>
      </c>
      <c r="L165" s="5" t="inlineStr">
        <is>
          <t>User Validation</t>
        </is>
      </c>
      <c r="M165" s="5" t="inlineStr">
        <is>
          <t>CIL Architecture Team</t>
        </is>
      </c>
      <c r="N165" s="5" t="inlineStr">
        <is>
          <t>2026-06-27</t>
        </is>
      </c>
      <c r="O165" s="5" t="inlineStr">
        <is>
          <t>CorpStage CIL Registry v2.1</t>
        </is>
      </c>
      <c r="P165" s="5" t="inlineStr">
        <is>
          <t>Group only (single enterprise-wide fact, does not repeat per node)</t>
        </is>
      </c>
      <c r="Q165" s="5" t="inlineStr">
        <is>
          <t>Global</t>
        </is>
      </c>
      <c r="R165" s="5" t="inlineStr">
        <is>
          <t>Tier 1 (Standard) — available to all frameworks and all customers</t>
        </is>
      </c>
      <c r="S165" s="5" t="inlineStr">
        <is>
          <t>G20/OECD Principles of Corporate Governance 2023, Chapter III (verified via primary OECD source text).</t>
        </is>
      </c>
    </row>
    <row r="166" ht="15" customHeight="1" s="6">
      <c r="A166" s="5" t="inlineStr">
        <is>
          <t>CDE-G165</t>
        </is>
      </c>
      <c r="B166" s="5" t="inlineStr">
        <is>
          <t>Board Sustainability and Resilience Risk Oversight Integration Documented</t>
        </is>
      </c>
      <c r="C166" s="5" t="inlineStr">
        <is>
          <t>Boolean</t>
        </is>
      </c>
      <c r="D166" s="5" t="inlineStr">
        <is>
          <t>Recommended</t>
        </is>
      </c>
      <c r="E166" s="5" t="inlineStr">
        <is>
          <t>Multi</t>
        </is>
      </c>
      <c r="F166" s="5" t="inlineStr">
        <is>
          <t>P2</t>
        </is>
      </c>
      <c r="G166" s="5" t="inlineStr">
        <is>
          <t>True/False</t>
        </is>
      </c>
      <c r="H166" s="5" t="inlineStr">
        <is>
          <t>TYPE:BOOLEAN|ALLOWED:TRUE,FALSE</t>
        </is>
      </c>
      <c r="I166" s="5" t="inlineStr">
        <is>
          <t>Effective-dated</t>
        </is>
      </c>
      <c r="J166" s="5" t="inlineStr">
        <is>
          <t>One-to-one</t>
        </is>
      </c>
      <c r="K166" s="5" t="inlineStr">
        <is>
          <t>N/A — not a one-to-many numeric field</t>
        </is>
      </c>
      <c r="L166" s="5" t="inlineStr">
        <is>
          <t>Annual Report / 10-K Filing (SEC EDGAR, Company IR Site)</t>
        </is>
      </c>
      <c r="M166" s="5" t="inlineStr">
        <is>
          <t>CIL Architecture Team</t>
        </is>
      </c>
      <c r="N166" s="5" t="inlineStr">
        <is>
          <t>2026-06-27</t>
        </is>
      </c>
      <c r="O166" s="5" t="inlineStr">
        <is>
          <t>CorpStage CIL Registry v2.1</t>
        </is>
      </c>
      <c r="P166" s="5" t="inlineStr">
        <is>
          <t>Group only (single enterprise-wide fact, does not repeat per node)</t>
        </is>
      </c>
      <c r="Q166" s="5" t="inlineStr">
        <is>
          <t>Global</t>
        </is>
      </c>
      <c r="R166" s="5" t="inlineStr">
        <is>
          <t>Tier 1 (Standard) — available to all frameworks and all customers</t>
        </is>
      </c>
      <c r="S166" s="5" t="inlineStr">
        <is>
          <t>G20/OECD Principles of Corporate Governance 2023, Chapter VI (verified via primary OECD source text). Distinct from Domain 7 ESG &amp; Sustainability Intelligence's ES-GOV series, which captures the SUSTAINABILITY-SPECIFIC governance lens (Board sustainability committee, climate-linked comp). This CDE captures the GENERAL OECD Chapter VI requirement that the overall Board integrate sustainability/resilience into its general risk oversight, a broader governance-architecture fact.</t>
        </is>
      </c>
    </row>
    <row r="167" ht="15" customHeight="1" s="6">
      <c r="A167" s="5" t="inlineStr">
        <is>
          <t>CDE-G166</t>
        </is>
      </c>
      <c r="B167" s="5" t="inlineStr">
        <is>
          <t>Company Group Governance Framework Documented (Parent-Subsidiary Oversight)</t>
        </is>
      </c>
      <c r="C167" s="5" t="inlineStr">
        <is>
          <t>Boolean</t>
        </is>
      </c>
      <c r="D167" s="5" t="inlineStr">
        <is>
          <t>Supplemental</t>
        </is>
      </c>
      <c r="E167" s="5" t="inlineStr">
        <is>
          <t>Optional</t>
        </is>
      </c>
      <c r="F167" s="5" t="inlineStr">
        <is>
          <t>P3</t>
        </is>
      </c>
      <c r="G167" s="5" t="inlineStr">
        <is>
          <t>True/False/Unknown (tri-state)</t>
        </is>
      </c>
      <c r="H167" s="5" t="inlineStr">
        <is>
          <t>TYPE:BOOLEAN|ALLOWED:TRUE,FALSE,UNKNOWN</t>
        </is>
      </c>
      <c r="I167" s="5" t="inlineStr">
        <is>
          <t>Effective-dated</t>
        </is>
      </c>
      <c r="J167" s="5" t="inlineStr">
        <is>
          <t>One-to-one</t>
        </is>
      </c>
      <c r="K167" s="5" t="inlineStr">
        <is>
          <t>N/A — not a one-to-many numeric field</t>
        </is>
      </c>
      <c r="L167" s="5" t="inlineStr">
        <is>
          <t>Annual Report / 10-K Filing (SEC EDGAR, Company IR Site)</t>
        </is>
      </c>
      <c r="M167" s="5" t="inlineStr">
        <is>
          <t>CIL Architecture Team</t>
        </is>
      </c>
      <c r="N167" s="5" t="inlineStr">
        <is>
          <t>2026-06-27</t>
        </is>
      </c>
      <c r="O167" s="5" t="inlineStr">
        <is>
          <t>CorpStage CIL Registry v2.1</t>
        </is>
      </c>
      <c r="P167" s="5" t="inlineStr">
        <is>
          <t>Group only (single enterprise-wide fact, does not repeat per node)</t>
        </is>
      </c>
      <c r="Q167" s="5" t="inlineStr">
        <is>
          <t>Global</t>
        </is>
      </c>
      <c r="R167" s="5" t="inlineStr">
        <is>
          <t>Tier 1 (Standard) — available to all frameworks and all customers</t>
        </is>
      </c>
      <c r="S167" s="5" t="inlineStr">
        <is>
          <t>G20/OECD Principles of Corporate Governance 2023, Chapter I (Company Groups) (verified via primary OECD source text).</t>
        </is>
      </c>
    </row>
    <row r="168" ht="15" customHeight="1" s="6">
      <c r="A168" s="5" t="inlineStr">
        <is>
          <t>CDE-G167</t>
        </is>
      </c>
      <c r="B168" s="5" t="inlineStr">
        <is>
          <t>Digital Security and Data Privacy Designated as Board-Level Risk Oversight Category</t>
        </is>
      </c>
      <c r="C168" s="5" t="inlineStr">
        <is>
          <t>Boolean</t>
        </is>
      </c>
      <c r="D168" s="5" t="inlineStr">
        <is>
          <t>Recommended</t>
        </is>
      </c>
      <c r="E168" s="5" t="inlineStr">
        <is>
          <t>Multi</t>
        </is>
      </c>
      <c r="F168" s="5" t="inlineStr">
        <is>
          <t>P2</t>
        </is>
      </c>
      <c r="G168" s="5" t="inlineStr">
        <is>
          <t>True/False</t>
        </is>
      </c>
      <c r="H168" s="5" t="inlineStr">
        <is>
          <t>TYPE:BOOLEAN|ALLOWED:TRUE,FALSE</t>
        </is>
      </c>
      <c r="I168" s="5" t="inlineStr">
        <is>
          <t>Effective-dated</t>
        </is>
      </c>
      <c r="J168" s="5" t="inlineStr">
        <is>
          <t>One-to-one</t>
        </is>
      </c>
      <c r="K168" s="5" t="inlineStr">
        <is>
          <t>N/A — not a one-to-many numeric field</t>
        </is>
      </c>
      <c r="L168" s="5" t="inlineStr">
        <is>
          <t>Annual Report / 10-K Filing (SEC EDGAR, Company IR Site)</t>
        </is>
      </c>
      <c r="M168" s="5" t="inlineStr">
        <is>
          <t>CIL Architecture Team</t>
        </is>
      </c>
      <c r="N168" s="5" t="inlineStr">
        <is>
          <t>2026-06-27</t>
        </is>
      </c>
      <c r="O168" s="5" t="inlineStr">
        <is>
          <t>CorpStage CIL Registry v2.1</t>
        </is>
      </c>
      <c r="P168" s="5" t="inlineStr">
        <is>
          <t>Group only (single enterprise-wide fact, does not repeat per node)</t>
        </is>
      </c>
      <c r="Q168" s="5" t="inlineStr">
        <is>
          <t>Global</t>
        </is>
      </c>
      <c r="R168" s="5" t="inlineStr">
        <is>
          <t>Tier 1 (Standard) — available to all frameworks and all customers</t>
        </is>
      </c>
      <c r="S168" s="5" t="inlineStr">
        <is>
          <t>G20/OECD Principles of Corporate Governance 2023, Chapter V (verified via primary OECD source text).</t>
        </is>
      </c>
    </row>
    <row r="169" ht="15" customHeight="1" s="6">
      <c r="A169" s="5" t="inlineStr">
        <is>
          <t>CDE-G168</t>
        </is>
      </c>
      <c r="B169" s="5" t="inlineStr">
        <is>
          <t>Digital Tools Used for Shareholder Meetings (Distinct from Basic Virtual/Hybrid AGM Capability)</t>
        </is>
      </c>
      <c r="C169" s="5" t="inlineStr">
        <is>
          <t>Boolean</t>
        </is>
      </c>
      <c r="D169" s="5" t="inlineStr">
        <is>
          <t>Supplemental</t>
        </is>
      </c>
      <c r="E169" s="5" t="inlineStr">
        <is>
          <t>Optional</t>
        </is>
      </c>
      <c r="F169" s="5" t="inlineStr">
        <is>
          <t>P3</t>
        </is>
      </c>
      <c r="G169" s="5" t="inlineStr">
        <is>
          <t>True/False/Unknown (tri-state)</t>
        </is>
      </c>
      <c r="H169" s="5" t="inlineStr">
        <is>
          <t>TYPE:BOOLEAN|ALLOWED:TRUE,FALSE,UNKNOWN</t>
        </is>
      </c>
      <c r="I169" s="5" t="inlineStr">
        <is>
          <t>Effective-dated</t>
        </is>
      </c>
      <c r="J169" s="5" t="inlineStr">
        <is>
          <t>One-to-one</t>
        </is>
      </c>
      <c r="K169" s="5" t="inlineStr">
        <is>
          <t>N/A — not a one-to-many numeric field</t>
        </is>
      </c>
      <c r="L169" s="5" t="inlineStr">
        <is>
          <t>User Validation</t>
        </is>
      </c>
      <c r="M169" s="5" t="inlineStr">
        <is>
          <t>CIL Architecture Team</t>
        </is>
      </c>
      <c r="N169" s="5" t="inlineStr">
        <is>
          <t>2026-06-27</t>
        </is>
      </c>
      <c r="O169" s="5" t="inlineStr">
        <is>
          <t>CorpStage CIL Registry v2.1</t>
        </is>
      </c>
      <c r="P169" s="5" t="inlineStr">
        <is>
          <t>Group only (single enterprise-wide fact, does not repeat per node)</t>
        </is>
      </c>
      <c r="Q169" s="5" t="inlineStr">
        <is>
          <t>Global</t>
        </is>
      </c>
      <c r="R169" s="5" t="inlineStr">
        <is>
          <t>Tier 1 (Standard) — available to all frameworks and all customers</t>
        </is>
      </c>
      <c r="S169" s="5" t="inlineStr">
        <is>
          <t>G20/OECD Principles of Corporate Governance 2023, Chapter III (verified via primary OECD source text).</t>
        </is>
      </c>
    </row>
    <row r="170" ht="15" customHeight="1" s="6">
      <c r="A170" s="5" t="inlineStr">
        <is>
          <t>CDE-G169</t>
        </is>
      </c>
      <c r="B170" s="5" t="inlineStr">
        <is>
          <t>Ethical Leadership Characteristics Assessment Documented for Governing Body Members</t>
        </is>
      </c>
      <c r="C170" s="5" t="inlineStr">
        <is>
          <t>Boolean</t>
        </is>
      </c>
      <c r="D170" s="5" t="inlineStr">
        <is>
          <t>Recommended</t>
        </is>
      </c>
      <c r="E170" s="5" t="inlineStr">
        <is>
          <t>Multi</t>
        </is>
      </c>
      <c r="F170" s="5" t="inlineStr">
        <is>
          <t>P2</t>
        </is>
      </c>
      <c r="G170" s="5" t="inlineStr">
        <is>
          <t>True/False</t>
        </is>
      </c>
      <c r="H170" s="5" t="inlineStr">
        <is>
          <t>TYPE:BOOLEAN|ALLOWED:TRUE,FALSE</t>
        </is>
      </c>
      <c r="I170" s="5" t="inlineStr">
        <is>
          <t>Effective-dated</t>
        </is>
      </c>
      <c r="J170" s="5" t="inlineStr">
        <is>
          <t>One-to-one</t>
        </is>
      </c>
      <c r="K170" s="5" t="inlineStr">
        <is>
          <t>N/A — not a one-to-many numeric field</t>
        </is>
      </c>
      <c r="L170" s="5" t="inlineStr">
        <is>
          <t>Annual Report / 10-K Filing (SEC EDGAR, Company IR Site)</t>
        </is>
      </c>
      <c r="M170" s="5" t="inlineStr">
        <is>
          <t>CIL Architecture Team</t>
        </is>
      </c>
      <c r="N170" s="5" t="inlineStr">
        <is>
          <t>2026-06-27</t>
        </is>
      </c>
      <c r="O170" s="5" t="inlineStr">
        <is>
          <t>CorpStage CIL Registry v2.2</t>
        </is>
      </c>
      <c r="P170" s="5" t="inlineStr">
        <is>
          <t>Group only (single enterprise-wide fact, does not repeat per node)</t>
        </is>
      </c>
      <c r="Q170" s="5" t="inlineStr">
        <is>
          <t>Global</t>
        </is>
      </c>
      <c r="R170" s="5" t="inlineStr">
        <is>
          <t>Tier 1 (Standard) — available to all frameworks and all customers</t>
        </is>
      </c>
      <c r="S170" s="5" t="inlineStr">
        <is>
          <t>King IV Report on Corporate Governance for South Africa, Principle 1 (verified via primary IoDSA source text). NOTE: King V is in development as of this build (placeholder sections visible in drafts), but not yet finalized/published — this CIL is built against the current, finalized King IV.</t>
        </is>
      </c>
    </row>
    <row r="171" ht="15" customHeight="1" s="6">
      <c r="A171" s="5" t="inlineStr">
        <is>
          <t>CDE-G170</t>
        </is>
      </c>
      <c r="B171" s="5" t="inlineStr">
        <is>
          <t>Ethics Governance Process Documented (Distinct from General Culture Monitoring)</t>
        </is>
      </c>
      <c r="C171" s="5" t="inlineStr">
        <is>
          <t>Boolean</t>
        </is>
      </c>
      <c r="D171" s="5" t="inlineStr">
        <is>
          <t>Recommended</t>
        </is>
      </c>
      <c r="E171" s="5" t="inlineStr">
        <is>
          <t>Multi</t>
        </is>
      </c>
      <c r="F171" s="5" t="inlineStr">
        <is>
          <t>P2</t>
        </is>
      </c>
      <c r="G171" s="5" t="inlineStr">
        <is>
          <t>True/False</t>
        </is>
      </c>
      <c r="H171" s="5" t="inlineStr">
        <is>
          <t>TYPE:BOOLEAN|ALLOWED:TRUE,FALSE</t>
        </is>
      </c>
      <c r="I171" s="5" t="inlineStr">
        <is>
          <t>Effective-dated</t>
        </is>
      </c>
      <c r="J171" s="5" t="inlineStr">
        <is>
          <t>One-to-one</t>
        </is>
      </c>
      <c r="K171" s="5" t="inlineStr">
        <is>
          <t>N/A — not a one-to-many numeric field</t>
        </is>
      </c>
      <c r="L171" s="5" t="inlineStr">
        <is>
          <t>Annual Report / 10-K Filing (SEC EDGAR, Company IR Site)</t>
        </is>
      </c>
      <c r="M171" s="5" t="inlineStr">
        <is>
          <t>CIL Architecture Team</t>
        </is>
      </c>
      <c r="N171" s="5" t="inlineStr">
        <is>
          <t>2026-06-27</t>
        </is>
      </c>
      <c r="O171" s="5" t="inlineStr">
        <is>
          <t>CorpStage CIL Registry v2.2</t>
        </is>
      </c>
      <c r="P171" s="5" t="inlineStr">
        <is>
          <t>Group only (single enterprise-wide fact, does not repeat per node)</t>
        </is>
      </c>
      <c r="Q171" s="5" t="inlineStr">
        <is>
          <t>Global</t>
        </is>
      </c>
      <c r="R171" s="5" t="inlineStr">
        <is>
          <t>Tier 1 (Standard) — available to all frameworks and all customers</t>
        </is>
      </c>
      <c r="S171" s="5" t="inlineStr">
        <is>
          <t>King IV Report on Corporate Governance for South Africa, Principle 2 (verified via primary IoDSA source text). NOTE: King V is in development but not yet finalized — this CIL is built against the current, finalized King IV.</t>
        </is>
      </c>
    </row>
    <row r="172" ht="15" customHeight="1" s="6">
      <c r="A172" s="5" t="inlineStr">
        <is>
          <t>CDE-G171</t>
        </is>
      </c>
      <c r="B172" s="5" t="inlineStr">
        <is>
          <t>Going-Concern Oversight Framed via Capitals/Solvency/Liquidity (King IV-Specific Lens)</t>
        </is>
      </c>
      <c r="C172" s="5" t="inlineStr">
        <is>
          <t>Boolean</t>
        </is>
      </c>
      <c r="D172" s="5" t="inlineStr">
        <is>
          <t>Supplemental</t>
        </is>
      </c>
      <c r="E172" s="5" t="inlineStr">
        <is>
          <t>Optional</t>
        </is>
      </c>
      <c r="F172" s="5" t="inlineStr">
        <is>
          <t>P3</t>
        </is>
      </c>
      <c r="G172" s="5" t="inlineStr">
        <is>
          <t>True/False</t>
        </is>
      </c>
      <c r="H172" s="5" t="inlineStr">
        <is>
          <t>TYPE:BOOLEAN|ALLOWED:TRUE,FALSE</t>
        </is>
      </c>
      <c r="I172" s="5" t="inlineStr">
        <is>
          <t>Effective-dated</t>
        </is>
      </c>
      <c r="J172" s="5" t="inlineStr">
        <is>
          <t>One-to-one</t>
        </is>
      </c>
      <c r="K172" s="5" t="inlineStr">
        <is>
          <t>N/A — not a one-to-many numeric field</t>
        </is>
      </c>
      <c r="L172" s="5" t="inlineStr">
        <is>
          <t>Annual Report / 10-K Filing (SEC EDGAR, Company IR Site)</t>
        </is>
      </c>
      <c r="M172" s="5" t="inlineStr">
        <is>
          <t>CIL Architecture Team</t>
        </is>
      </c>
      <c r="N172" s="5" t="inlineStr">
        <is>
          <t>2026-06-27</t>
        </is>
      </c>
      <c r="O172" s="5" t="inlineStr">
        <is>
          <t>CorpStage CIL Registry v2.2</t>
        </is>
      </c>
      <c r="P172" s="5" t="inlineStr">
        <is>
          <t>Group only (single enterprise-wide fact, does not repeat per node)</t>
        </is>
      </c>
      <c r="Q172" s="5" t="inlineStr">
        <is>
          <t>Global</t>
        </is>
      </c>
      <c r="R172" s="5" t="inlineStr">
        <is>
          <t>Tier 1 (Standard) — available to all frameworks and all customers</t>
        </is>
      </c>
      <c r="S172" s="5" t="inlineStr">
        <is>
          <t>King IV Report on Corporate Governance for South Africa, Principle 4 (verified via primary IoDSA source text). NOTE: King V is in development but not yet finalized — this CIL is built against the current, finalized King IV.</t>
        </is>
      </c>
    </row>
    <row r="173" ht="15" customHeight="1" s="6">
      <c r="A173" s="5" t="inlineStr">
        <is>
          <t>CDE-G172</t>
        </is>
      </c>
      <c r="B173" s="5" t="inlineStr">
        <is>
          <t>Board Charter Documented and Annually Reviewed (Board as Custodian of Governance)</t>
        </is>
      </c>
      <c r="C173" s="5" t="inlineStr">
        <is>
          <t>Boolean</t>
        </is>
      </c>
      <c r="D173" s="5" t="inlineStr">
        <is>
          <t>Required</t>
        </is>
      </c>
      <c r="E173" s="5" t="inlineStr">
        <is>
          <t>Multi</t>
        </is>
      </c>
      <c r="F173" s="5" t="inlineStr">
        <is>
          <t>P1</t>
        </is>
      </c>
      <c r="G173" s="5" t="inlineStr">
        <is>
          <t>True/False</t>
        </is>
      </c>
      <c r="H173" s="5" t="inlineStr">
        <is>
          <t>TYPE:BOOLEAN|ALLOWED:TRUE,FALSE</t>
        </is>
      </c>
      <c r="I173" s="5" t="inlineStr">
        <is>
          <t>Effective-dated</t>
        </is>
      </c>
      <c r="J173" s="5" t="inlineStr">
        <is>
          <t>One-to-one</t>
        </is>
      </c>
      <c r="K173" s="5" t="inlineStr">
        <is>
          <t>N/A — not a one-to-many numeric field</t>
        </is>
      </c>
      <c r="L173" s="5" t="inlineStr">
        <is>
          <t>Annual Report / 10-K Filing (SEC EDGAR, Company IR Site)</t>
        </is>
      </c>
      <c r="M173" s="5" t="inlineStr">
        <is>
          <t>CIL Architecture Team</t>
        </is>
      </c>
      <c r="N173" s="5" t="inlineStr">
        <is>
          <t>2026-06-27</t>
        </is>
      </c>
      <c r="O173" s="5" t="inlineStr">
        <is>
          <t>CorpStage CIL Registry v2.2</t>
        </is>
      </c>
      <c r="P173" s="5" t="inlineStr">
        <is>
          <t>Group only (single enterprise-wide fact, does not repeat per node)</t>
        </is>
      </c>
      <c r="Q173" s="5" t="inlineStr">
        <is>
          <t>Global</t>
        </is>
      </c>
      <c r="R173" s="5" t="inlineStr">
        <is>
          <t>Tier 1 (Standard) — available to all frameworks and all customers</t>
        </is>
      </c>
      <c r="S173" s="5" t="inlineStr">
        <is>
          <t>King IV Report on Corporate Governance for South Africa, Principle 6 (verified via primary IoDSA source text). NOTE: King V is in development but not yet finalized — this CIL is built against the current, finalized King IV.</t>
        </is>
      </c>
    </row>
    <row r="174" ht="15" customHeight="1" s="6">
      <c r="A174" s="5" t="inlineStr">
        <is>
          <t>CDE-G173</t>
        </is>
      </c>
      <c r="B174" s="5" t="inlineStr">
        <is>
          <t>Technology and Information Governance Established as Distinct Board-Level Domain</t>
        </is>
      </c>
      <c r="C174" s="5" t="inlineStr">
        <is>
          <t>Boolean</t>
        </is>
      </c>
      <c r="D174" s="5" t="inlineStr">
        <is>
          <t>Recommended</t>
        </is>
      </c>
      <c r="E174" s="5" t="inlineStr">
        <is>
          <t>Multi</t>
        </is>
      </c>
      <c r="F174" s="5" t="inlineStr">
        <is>
          <t>P2</t>
        </is>
      </c>
      <c r="G174" s="5" t="inlineStr">
        <is>
          <t>True/False</t>
        </is>
      </c>
      <c r="H174" s="5" t="inlineStr">
        <is>
          <t>TYPE:BOOLEAN|ALLOWED:TRUE,FALSE</t>
        </is>
      </c>
      <c r="I174" s="5" t="inlineStr">
        <is>
          <t>Effective-dated</t>
        </is>
      </c>
      <c r="J174" s="5" t="inlineStr">
        <is>
          <t>One-to-one</t>
        </is>
      </c>
      <c r="K174" s="5" t="inlineStr">
        <is>
          <t>N/A — not a one-to-many numeric field</t>
        </is>
      </c>
      <c r="L174" s="5" t="inlineStr">
        <is>
          <t>Annual Report / 10-K Filing (SEC EDGAR, Company IR Site)</t>
        </is>
      </c>
      <c r="M174" s="5" t="inlineStr">
        <is>
          <t>CIL Architecture Team</t>
        </is>
      </c>
      <c r="N174" s="5" t="inlineStr">
        <is>
          <t>2026-06-27</t>
        </is>
      </c>
      <c r="O174" s="5" t="inlineStr">
        <is>
          <t>CorpStage CIL Registry v2.2</t>
        </is>
      </c>
      <c r="P174" s="5" t="inlineStr">
        <is>
          <t>Group only (single enterprise-wide fact, does not repeat per node)</t>
        </is>
      </c>
      <c r="Q174" s="5" t="inlineStr">
        <is>
          <t>Global</t>
        </is>
      </c>
      <c r="R174" s="5" t="inlineStr">
        <is>
          <t>Tier 1 (Standard) — available to all frameworks and all customers</t>
        </is>
      </c>
      <c r="S174" s="5" t="inlineStr">
        <is>
          <t>King IV Report on Corporate Governance for South Africa, Principle 12 (verified via primary IoDSA source text). NOTE: King V is in development but not yet finalized — this CIL is built against the current, finalized King IV. Distinct from the OECD-derived Digital Security/Data Privacy board-risk-category CDE (under GV-COMP-002) — that CDE captures whether digital security is a NAMED RISK CATEGORY; this CDE captures the broader King IV Principle 12 mandate that technology/information governance itself is a distinct Board-level governance domain (encompassing IT strategy, not just risk).</t>
        </is>
      </c>
    </row>
    <row r="175" ht="15" customHeight="1" s="6">
      <c r="A175" s="5" t="inlineStr">
        <is>
          <t>CDE-G174</t>
        </is>
      </c>
      <c r="B175" s="5" t="inlineStr">
        <is>
          <t>Stakeholder-Inclusive Approach Balancing Material Stakeholder Interests Documented</t>
        </is>
      </c>
      <c r="C175" s="5" t="inlineStr">
        <is>
          <t>Boolean</t>
        </is>
      </c>
      <c r="D175" s="5" t="inlineStr">
        <is>
          <t>Recommended</t>
        </is>
      </c>
      <c r="E175" s="5" t="inlineStr">
        <is>
          <t>Multi</t>
        </is>
      </c>
      <c r="F175" s="5" t="inlineStr">
        <is>
          <t>P2</t>
        </is>
      </c>
      <c r="G175" s="5" t="inlineStr">
        <is>
          <t>True/False</t>
        </is>
      </c>
      <c r="H175" s="5" t="inlineStr">
        <is>
          <t>TYPE:BOOLEAN|ALLOWED:TRUE,FALSE</t>
        </is>
      </c>
      <c r="I175" s="5" t="inlineStr">
        <is>
          <t>Effective-dated</t>
        </is>
      </c>
      <c r="J175" s="5" t="inlineStr">
        <is>
          <t>One-to-one</t>
        </is>
      </c>
      <c r="K175" s="5" t="inlineStr">
        <is>
          <t>N/A — not a one-to-many numeric field</t>
        </is>
      </c>
      <c r="L175" s="5" t="inlineStr">
        <is>
          <t>Annual Report / 10-K Filing (SEC EDGAR, Company IR Site)</t>
        </is>
      </c>
      <c r="M175" s="5" t="inlineStr">
        <is>
          <t>CIL Architecture Team</t>
        </is>
      </c>
      <c r="N175" s="5" t="inlineStr">
        <is>
          <t>2026-06-27</t>
        </is>
      </c>
      <c r="O175" s="5" t="inlineStr">
        <is>
          <t>CorpStage CIL Registry v2.2</t>
        </is>
      </c>
      <c r="P175" s="5" t="inlineStr">
        <is>
          <t>Group only (single enterprise-wide fact, does not repeat per node)</t>
        </is>
      </c>
      <c r="Q175" s="5" t="inlineStr">
        <is>
          <t>Global</t>
        </is>
      </c>
      <c r="R175" s="5" t="inlineStr">
        <is>
          <t>Tier 1 (Standard) — available to all frameworks and all customers</t>
        </is>
      </c>
      <c r="S175" s="5" t="inlineStr">
        <is>
          <t>King IV Report on Corporate Governance for South Africa, Principle 16 (verified via primary IoDSA source text). NOTE: King V is in development but not yet finalized — this CIL is built against the current, finalized King IV.</t>
        </is>
      </c>
    </row>
    <row r="176" ht="15" customHeight="1" s="6">
      <c r="A176" s="5" t="inlineStr">
        <is>
          <t>CDE-G175</t>
        </is>
      </c>
      <c r="B176" s="5" t="inlineStr">
        <is>
          <t>Responsible Investment Practice Documented for Institutional Investor Role (If Applicable)</t>
        </is>
      </c>
      <c r="C176" s="5" t="inlineStr">
        <is>
          <t>Boolean</t>
        </is>
      </c>
      <c r="D176" s="5" t="inlineStr">
        <is>
          <t>Supplemental</t>
        </is>
      </c>
      <c r="E176" s="5" t="inlineStr">
        <is>
          <t>Framework Specific</t>
        </is>
      </c>
      <c r="F176" s="5" t="inlineStr">
        <is>
          <t>P3</t>
        </is>
      </c>
      <c r="G176" s="5" t="inlineStr">
        <is>
          <t>True/False/Unknown (tri-state)</t>
        </is>
      </c>
      <c r="H176" s="5" t="inlineStr">
        <is>
          <t>TYPE:BOOLEAN|ALLOWED:TRUE,FALSE,UNKNOWN</t>
        </is>
      </c>
      <c r="I176" s="5" t="inlineStr">
        <is>
          <t>Effective-dated</t>
        </is>
      </c>
      <c r="J176" s="5" t="inlineStr">
        <is>
          <t>One-to-one</t>
        </is>
      </c>
      <c r="K176" s="5" t="inlineStr">
        <is>
          <t>N/A — not a one-to-many numeric field</t>
        </is>
      </c>
      <c r="L176" s="5" t="inlineStr">
        <is>
          <t>User Validation</t>
        </is>
      </c>
      <c r="M176" s="5" t="inlineStr">
        <is>
          <t>CIL Architecture Team</t>
        </is>
      </c>
      <c r="N176" s="5" t="inlineStr">
        <is>
          <t>2026-06-27</t>
        </is>
      </c>
      <c r="O176" s="5" t="inlineStr">
        <is>
          <t>CorpStage CIL Registry v2.2</t>
        </is>
      </c>
      <c r="P176" s="5" t="inlineStr">
        <is>
          <t>Group only (single enterprise-wide fact, does not repeat per node)</t>
        </is>
      </c>
      <c r="Q176" s="5" t="inlineStr">
        <is>
          <t>Global</t>
        </is>
      </c>
      <c r="R176" s="5" t="inlineStr">
        <is>
          <t>Tier 1 (Standard) — available to all frameworks and all customers</t>
        </is>
      </c>
      <c r="S176" s="5" t="inlineStr">
        <is>
          <t>King IV Report on Corporate Governance for South Africa, Principle 17 (verified via primary IoDSA source text). NOTE: King V is in development but not yet finalized — this CIL is built against the current, finalized King IV.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 min="1" max="1"/>
    <col width="11" customWidth="1" style="5" min="2" max="2"/>
  </cols>
  <sheetData>
    <row r="1" ht="15" customHeight="1" s="6">
      <c r="A1" s="7" t="inlineStr">
        <is>
          <t>BQ ID</t>
        </is>
      </c>
      <c r="B1" s="7" t="inlineStr">
        <is>
          <t>CDE ID</t>
        </is>
      </c>
    </row>
    <row r="2" ht="15" customHeight="1" s="6">
      <c r="A2" s="8" t="inlineStr">
        <is>
          <t>GV-COMP-001</t>
        </is>
      </c>
      <c r="B2" s="8" t="inlineStr">
        <is>
          <t>CDE-G001</t>
        </is>
      </c>
    </row>
    <row r="3" ht="15" customHeight="1" s="6">
      <c r="A3" s="8" t="inlineStr">
        <is>
          <t>GV-COMP-001</t>
        </is>
      </c>
      <c r="B3" s="8" t="inlineStr">
        <is>
          <t>CDE-G002</t>
        </is>
      </c>
    </row>
    <row r="4" ht="15" customHeight="1" s="6">
      <c r="A4" s="8" t="inlineStr">
        <is>
          <t>GV-COMP-002</t>
        </is>
      </c>
      <c r="B4" s="8" t="inlineStr">
        <is>
          <t>CDE-G003</t>
        </is>
      </c>
    </row>
    <row r="5" ht="15" customHeight="1" s="6">
      <c r="A5" s="8" t="inlineStr">
        <is>
          <t>GV-COMP-002</t>
        </is>
      </c>
      <c r="B5" s="8" t="inlineStr">
        <is>
          <t>CDE-G004</t>
        </is>
      </c>
    </row>
    <row r="6" ht="15" customHeight="1" s="6">
      <c r="A6" s="8" t="inlineStr">
        <is>
          <t>GV-COMP-003</t>
        </is>
      </c>
      <c r="B6" s="8" t="inlineStr">
        <is>
          <t>CDE-G005</t>
        </is>
      </c>
    </row>
    <row r="7" ht="15" customHeight="1" s="6">
      <c r="A7" s="8" t="inlineStr">
        <is>
          <t>GV-COMP-003</t>
        </is>
      </c>
      <c r="B7" s="8" t="inlineStr">
        <is>
          <t>CDE-G006</t>
        </is>
      </c>
    </row>
    <row r="8" ht="15" customHeight="1" s="6">
      <c r="A8" s="8" t="inlineStr">
        <is>
          <t>GV-COMP-004</t>
        </is>
      </c>
      <c r="B8" s="8" t="inlineStr">
        <is>
          <t>CDE-G007</t>
        </is>
      </c>
    </row>
    <row r="9" ht="15" customHeight="1" s="6">
      <c r="A9" s="8" t="inlineStr">
        <is>
          <t>GV-COMP-004</t>
        </is>
      </c>
      <c r="B9" s="8" t="inlineStr">
        <is>
          <t>CDE-G008</t>
        </is>
      </c>
    </row>
    <row r="10" ht="15" customHeight="1" s="6">
      <c r="A10" s="8" t="inlineStr">
        <is>
          <t>GV-COMP-005</t>
        </is>
      </c>
      <c r="B10" s="8" t="inlineStr">
        <is>
          <t>CDE-G009</t>
        </is>
      </c>
    </row>
    <row r="11" ht="15" customHeight="1" s="6">
      <c r="A11" s="8" t="inlineStr">
        <is>
          <t>GV-COMP-005</t>
        </is>
      </c>
      <c r="B11" s="8" t="inlineStr">
        <is>
          <t>CDE-G010</t>
        </is>
      </c>
    </row>
    <row r="12" ht="15" customHeight="1" s="6">
      <c r="A12" s="8" t="inlineStr">
        <is>
          <t>GV-COMP-006</t>
        </is>
      </c>
      <c r="B12" s="8" t="inlineStr">
        <is>
          <t>CDE-G011</t>
        </is>
      </c>
    </row>
    <row r="13" ht="15" customHeight="1" s="6">
      <c r="A13" s="8" t="inlineStr">
        <is>
          <t>GV-COMP-006</t>
        </is>
      </c>
      <c r="B13" s="8" t="inlineStr">
        <is>
          <t>CDE-G012</t>
        </is>
      </c>
    </row>
    <row r="14" ht="15" customHeight="1" s="6">
      <c r="A14" s="8" t="inlineStr">
        <is>
          <t>GV-NOM-001</t>
        </is>
      </c>
      <c r="B14" s="8" t="inlineStr">
        <is>
          <t>CDE-G013</t>
        </is>
      </c>
    </row>
    <row r="15" ht="15" customHeight="1" s="6">
      <c r="A15" s="8" t="inlineStr">
        <is>
          <t>GV-NOM-001</t>
        </is>
      </c>
      <c r="B15" s="8" t="inlineStr">
        <is>
          <t>CDE-G014</t>
        </is>
      </c>
    </row>
    <row r="16" ht="15" customHeight="1" s="6">
      <c r="A16" s="8" t="inlineStr">
        <is>
          <t>GV-NOM-002</t>
        </is>
      </c>
      <c r="B16" s="8" t="inlineStr">
        <is>
          <t>CDE-G015</t>
        </is>
      </c>
    </row>
    <row r="17" ht="15" customHeight="1" s="6">
      <c r="A17" s="8" t="inlineStr">
        <is>
          <t>GV-NOM-002</t>
        </is>
      </c>
      <c r="B17" s="8" t="inlineStr">
        <is>
          <t>CDE-G016</t>
        </is>
      </c>
    </row>
    <row r="18" ht="15" customHeight="1" s="6">
      <c r="A18" s="8" t="inlineStr">
        <is>
          <t>GV-NOM-003</t>
        </is>
      </c>
      <c r="B18" s="8" t="inlineStr">
        <is>
          <t>CDE-G017</t>
        </is>
      </c>
    </row>
    <row r="19" ht="15" customHeight="1" s="6">
      <c r="A19" s="8" t="inlineStr">
        <is>
          <t>GV-NOM-003</t>
        </is>
      </c>
      <c r="B19" s="8" t="inlineStr">
        <is>
          <t>CDE-G018</t>
        </is>
      </c>
    </row>
    <row r="20" ht="15" customHeight="1" s="6">
      <c r="A20" s="8" t="inlineStr">
        <is>
          <t>GV-NOM-004</t>
        </is>
      </c>
      <c r="B20" s="8" t="inlineStr">
        <is>
          <t>CDE-G019</t>
        </is>
      </c>
    </row>
    <row r="21" ht="15" customHeight="1" s="6">
      <c r="A21" s="8" t="inlineStr">
        <is>
          <t>GV-NOM-004</t>
        </is>
      </c>
      <c r="B21" s="8" t="inlineStr">
        <is>
          <t>CDE-G020</t>
        </is>
      </c>
    </row>
    <row r="22" ht="15" customHeight="1" s="6">
      <c r="A22" s="8" t="inlineStr">
        <is>
          <t>GV-CMT-001</t>
        </is>
      </c>
      <c r="B22" s="8" t="inlineStr">
        <is>
          <t>CDE-G021</t>
        </is>
      </c>
    </row>
    <row r="23" ht="15" customHeight="1" s="6">
      <c r="A23" s="8" t="inlineStr">
        <is>
          <t>GV-CMT-001</t>
        </is>
      </c>
      <c r="B23" s="8" t="inlineStr">
        <is>
          <t>CDE-G022</t>
        </is>
      </c>
    </row>
    <row r="24" ht="15" customHeight="1" s="6">
      <c r="A24" s="8" t="inlineStr">
        <is>
          <t>GV-CMT-002</t>
        </is>
      </c>
      <c r="B24" s="8" t="inlineStr">
        <is>
          <t>CDE-G023</t>
        </is>
      </c>
    </row>
    <row r="25" ht="15" customHeight="1" s="6">
      <c r="A25" s="8" t="inlineStr">
        <is>
          <t>GV-CMT-002</t>
        </is>
      </c>
      <c r="B25" s="8" t="inlineStr">
        <is>
          <t>CDE-G024</t>
        </is>
      </c>
    </row>
    <row r="26" ht="15" customHeight="1" s="6">
      <c r="A26" s="8" t="inlineStr">
        <is>
          <t>GV-CMT-002</t>
        </is>
      </c>
      <c r="B26" s="8" t="inlineStr">
        <is>
          <t>CDE-G025</t>
        </is>
      </c>
    </row>
    <row r="27" ht="15" customHeight="1" s="6">
      <c r="A27" s="8" t="inlineStr">
        <is>
          <t>GV-CMT-003</t>
        </is>
      </c>
      <c r="B27" s="8" t="inlineStr">
        <is>
          <t>CDE-G026</t>
        </is>
      </c>
    </row>
    <row r="28" ht="15" customHeight="1" s="6">
      <c r="A28" s="8" t="inlineStr">
        <is>
          <t>GV-CMT-003</t>
        </is>
      </c>
      <c r="B28" s="8" t="inlineStr">
        <is>
          <t>CDE-G027</t>
        </is>
      </c>
    </row>
    <row r="29" ht="15" customHeight="1" s="6">
      <c r="A29" s="8" t="inlineStr">
        <is>
          <t>GV-CMT-004</t>
        </is>
      </c>
      <c r="B29" s="8" t="inlineStr">
        <is>
          <t>CDE-G028</t>
        </is>
      </c>
    </row>
    <row r="30" ht="15" customHeight="1" s="6">
      <c r="A30" s="8" t="inlineStr">
        <is>
          <t>GV-CMT-004</t>
        </is>
      </c>
      <c r="B30" s="8" t="inlineStr">
        <is>
          <t>CDE-G029</t>
        </is>
      </c>
    </row>
    <row r="31" ht="15" customHeight="1" s="6">
      <c r="A31" s="8" t="inlineStr">
        <is>
          <t>GV-CMT-004</t>
        </is>
      </c>
      <c r="B31" s="8" t="inlineStr">
        <is>
          <t>CDE-G030</t>
        </is>
      </c>
    </row>
    <row r="32" ht="15" customHeight="1" s="6">
      <c r="A32" s="8" t="inlineStr">
        <is>
          <t>GV-EXEC-001</t>
        </is>
      </c>
      <c r="B32" s="8" t="inlineStr">
        <is>
          <t>CDE-G031</t>
        </is>
      </c>
    </row>
    <row r="33" ht="15" customHeight="1" s="6">
      <c r="A33" s="8" t="inlineStr">
        <is>
          <t>GV-EXEC-001</t>
        </is>
      </c>
      <c r="B33" s="8" t="inlineStr">
        <is>
          <t>CDE-G032</t>
        </is>
      </c>
    </row>
    <row r="34" ht="15" customHeight="1" s="6">
      <c r="A34" s="8" t="inlineStr">
        <is>
          <t>GV-EXEC-002</t>
        </is>
      </c>
      <c r="B34" s="8" t="inlineStr">
        <is>
          <t>CDE-G033</t>
        </is>
      </c>
    </row>
    <row r="35" ht="15" customHeight="1" s="6">
      <c r="A35" s="8" t="inlineStr">
        <is>
          <t>GV-EXEC-002</t>
        </is>
      </c>
      <c r="B35" s="8" t="inlineStr">
        <is>
          <t>CDE-G034</t>
        </is>
      </c>
    </row>
    <row r="36" ht="15" customHeight="1" s="6">
      <c r="A36" s="8" t="inlineStr">
        <is>
          <t>GV-EXEC-003</t>
        </is>
      </c>
      <c r="B36" s="8" t="inlineStr">
        <is>
          <t>CDE-G035</t>
        </is>
      </c>
    </row>
    <row r="37" ht="15" customHeight="1" s="6">
      <c r="A37" s="8" t="inlineStr">
        <is>
          <t>GV-EXEC-003</t>
        </is>
      </c>
      <c r="B37" s="8" t="inlineStr">
        <is>
          <t>CDE-G036</t>
        </is>
      </c>
    </row>
    <row r="38" ht="15" customHeight="1" s="6">
      <c r="A38" s="8" t="inlineStr">
        <is>
          <t>GV-EXEC-004</t>
        </is>
      </c>
      <c r="B38" s="8" t="inlineStr">
        <is>
          <t>CDE-G037</t>
        </is>
      </c>
    </row>
    <row r="39" ht="15" customHeight="1" s="6">
      <c r="A39" s="8" t="inlineStr">
        <is>
          <t>GV-EXEC-004</t>
        </is>
      </c>
      <c r="B39" s="8" t="inlineStr">
        <is>
          <t>CDE-G038</t>
        </is>
      </c>
    </row>
    <row r="40" ht="15" customHeight="1" s="6">
      <c r="A40" s="8" t="inlineStr">
        <is>
          <t>GV-COMP-PAY-001</t>
        </is>
      </c>
      <c r="B40" s="8" t="inlineStr">
        <is>
          <t>CDE-G039</t>
        </is>
      </c>
    </row>
    <row r="41" ht="15" customHeight="1" s="6">
      <c r="A41" s="8" t="inlineStr">
        <is>
          <t>GV-COMP-PAY-001</t>
        </is>
      </c>
      <c r="B41" s="8" t="inlineStr">
        <is>
          <t>CDE-G040</t>
        </is>
      </c>
    </row>
    <row r="42" ht="15" customHeight="1" s="6">
      <c r="A42" s="8" t="inlineStr">
        <is>
          <t>GV-COMP-PAY-002</t>
        </is>
      </c>
      <c r="B42" s="8" t="inlineStr">
        <is>
          <t>CDE-G041</t>
        </is>
      </c>
    </row>
    <row r="43" ht="15" customHeight="1" s="6">
      <c r="A43" s="8" t="inlineStr">
        <is>
          <t>GV-COMP-PAY-003</t>
        </is>
      </c>
      <c r="B43" s="8" t="inlineStr">
        <is>
          <t>CDE-G042</t>
        </is>
      </c>
    </row>
    <row r="44" ht="15" customHeight="1" s="6">
      <c r="A44" s="8" t="inlineStr">
        <is>
          <t>GV-COMP-PAY-003</t>
        </is>
      </c>
      <c r="B44" s="8" t="inlineStr">
        <is>
          <t>CDE-G043</t>
        </is>
      </c>
    </row>
    <row r="45" ht="15" customHeight="1" s="6">
      <c r="A45" s="8" t="inlineStr">
        <is>
          <t>GV-COMP-PAY-004</t>
        </is>
      </c>
      <c r="B45" s="8" t="inlineStr">
        <is>
          <t>CDE-G044</t>
        </is>
      </c>
    </row>
    <row r="46" ht="15" customHeight="1" s="6">
      <c r="A46" s="8" t="inlineStr">
        <is>
          <t>GV-COMP-PAY-004</t>
        </is>
      </c>
      <c r="B46" s="8" t="inlineStr">
        <is>
          <t>CDE-G045</t>
        </is>
      </c>
    </row>
    <row r="47" ht="15" customHeight="1" s="6">
      <c r="A47" s="8" t="inlineStr">
        <is>
          <t>GV-SHR-001</t>
        </is>
      </c>
      <c r="B47" s="8" t="inlineStr">
        <is>
          <t>CDE-G046</t>
        </is>
      </c>
    </row>
    <row r="48" ht="15" customHeight="1" s="6">
      <c r="A48" s="8" t="inlineStr">
        <is>
          <t>GV-SHR-001</t>
        </is>
      </c>
      <c r="B48" s="8" t="inlineStr">
        <is>
          <t>CDE-G047</t>
        </is>
      </c>
    </row>
    <row r="49" ht="15" customHeight="1" s="6">
      <c r="A49" s="8" t="inlineStr">
        <is>
          <t>GV-SHR-002</t>
        </is>
      </c>
      <c r="B49" s="8" t="inlineStr">
        <is>
          <t>CDE-G048</t>
        </is>
      </c>
    </row>
    <row r="50" ht="15" customHeight="1" s="6">
      <c r="A50" s="8" t="inlineStr">
        <is>
          <t>GV-SHR-002</t>
        </is>
      </c>
      <c r="B50" s="8" t="inlineStr">
        <is>
          <t>CDE-G049</t>
        </is>
      </c>
    </row>
    <row r="51" ht="15" customHeight="1" s="6">
      <c r="A51" s="8" t="inlineStr">
        <is>
          <t>GV-SHR-003</t>
        </is>
      </c>
      <c r="B51" s="8" t="inlineStr">
        <is>
          <t>CDE-G050</t>
        </is>
      </c>
    </row>
    <row r="52" ht="15" customHeight="1" s="6">
      <c r="A52" s="8" t="inlineStr">
        <is>
          <t>GV-SHR-003</t>
        </is>
      </c>
      <c r="B52" s="8" t="inlineStr">
        <is>
          <t>CDE-G051</t>
        </is>
      </c>
    </row>
    <row r="53" ht="15" customHeight="1" s="6">
      <c r="A53" s="8" t="inlineStr">
        <is>
          <t>GV-SHR-004</t>
        </is>
      </c>
      <c r="B53" s="8" t="inlineStr">
        <is>
          <t>CDE-G052</t>
        </is>
      </c>
    </row>
    <row r="54" ht="15" customHeight="1" s="6">
      <c r="A54" s="8" t="inlineStr">
        <is>
          <t>GV-SHR-004</t>
        </is>
      </c>
      <c r="B54" s="8" t="inlineStr">
        <is>
          <t>CDE-G053</t>
        </is>
      </c>
    </row>
    <row r="55" ht="15" customHeight="1" s="6">
      <c r="A55" s="8" t="inlineStr">
        <is>
          <t>GV-RPT-001</t>
        </is>
      </c>
      <c r="B55" s="8" t="inlineStr">
        <is>
          <t>CDE-G054</t>
        </is>
      </c>
    </row>
    <row r="56" ht="15" customHeight="1" s="6">
      <c r="A56" s="8" t="inlineStr">
        <is>
          <t>GV-RPT-001</t>
        </is>
      </c>
      <c r="B56" s="8" t="inlineStr">
        <is>
          <t>CDE-G055</t>
        </is>
      </c>
    </row>
    <row r="57" ht="15" customHeight="1" s="6">
      <c r="A57" s="8" t="inlineStr">
        <is>
          <t>GV-RPT-002</t>
        </is>
      </c>
      <c r="B57" s="8" t="inlineStr">
        <is>
          <t>CDE-G056</t>
        </is>
      </c>
    </row>
    <row r="58" ht="15" customHeight="1" s="6">
      <c r="A58" s="8" t="inlineStr">
        <is>
          <t>GV-RPT-002</t>
        </is>
      </c>
      <c r="B58" s="8" t="inlineStr">
        <is>
          <t>CDE-G057</t>
        </is>
      </c>
    </row>
    <row r="59" ht="15" customHeight="1" s="6">
      <c r="A59" s="8" t="inlineStr">
        <is>
          <t>GV-RPT-003</t>
        </is>
      </c>
      <c r="B59" s="8" t="inlineStr">
        <is>
          <t>CDE-G058</t>
        </is>
      </c>
    </row>
    <row r="60" ht="15" customHeight="1" s="6">
      <c r="A60" s="8" t="inlineStr">
        <is>
          <t>GV-RPT-003</t>
        </is>
      </c>
      <c r="B60" s="8" t="inlineStr">
        <is>
          <t>CDE-G059</t>
        </is>
      </c>
    </row>
    <row r="61" ht="15" customHeight="1" s="6">
      <c r="A61" s="8" t="inlineStr">
        <is>
          <t>GV-COD-001</t>
        </is>
      </c>
      <c r="B61" s="8" t="inlineStr">
        <is>
          <t>CDE-G060</t>
        </is>
      </c>
    </row>
    <row r="62" ht="15" customHeight="1" s="6">
      <c r="A62" s="8" t="inlineStr">
        <is>
          <t>GV-COD-002</t>
        </is>
      </c>
      <c r="B62" s="8" t="inlineStr">
        <is>
          <t>CDE-G061</t>
        </is>
      </c>
    </row>
    <row r="63" ht="15" customHeight="1" s="6">
      <c r="A63" s="8" t="inlineStr">
        <is>
          <t>GV-COD-002</t>
        </is>
      </c>
      <c r="B63" s="8" t="inlineStr">
        <is>
          <t>CDE-G062</t>
        </is>
      </c>
    </row>
    <row r="64" ht="15" customHeight="1" s="6">
      <c r="A64" s="8" t="inlineStr">
        <is>
          <t>GV-COD-003</t>
        </is>
      </c>
      <c r="B64" s="8" t="inlineStr">
        <is>
          <t>CDE-G063</t>
        </is>
      </c>
    </row>
    <row r="65" ht="15" customHeight="1" s="6">
      <c r="A65" s="8" t="inlineStr">
        <is>
          <t>GV-EFF-001</t>
        </is>
      </c>
      <c r="B65" s="8" t="inlineStr">
        <is>
          <t>CDE-G064</t>
        </is>
      </c>
    </row>
    <row r="66" ht="15" customHeight="1" s="6">
      <c r="A66" s="8" t="inlineStr">
        <is>
          <t>GV-EFF-001</t>
        </is>
      </c>
      <c r="B66" s="8" t="inlineStr">
        <is>
          <t>CDE-G065</t>
        </is>
      </c>
    </row>
    <row r="67" ht="15" customHeight="1" s="6">
      <c r="A67" s="8" t="inlineStr">
        <is>
          <t>GV-EFF-001</t>
        </is>
      </c>
      <c r="B67" s="8" t="inlineStr">
        <is>
          <t>CDE-G066</t>
        </is>
      </c>
    </row>
    <row r="68" ht="15" customHeight="1" s="6">
      <c r="A68" s="8" t="inlineStr">
        <is>
          <t>GV-EFF-002</t>
        </is>
      </c>
      <c r="B68" s="8" t="inlineStr">
        <is>
          <t>CDE-G067</t>
        </is>
      </c>
    </row>
    <row r="69" ht="15" customHeight="1" s="6">
      <c r="A69" s="8" t="inlineStr">
        <is>
          <t>GV-EFF-002</t>
        </is>
      </c>
      <c r="B69" s="8" t="inlineStr">
        <is>
          <t>CDE-G068</t>
        </is>
      </c>
    </row>
    <row r="70" ht="15" customHeight="1" s="6">
      <c r="A70" s="8" t="inlineStr">
        <is>
          <t>GV-EFF-003</t>
        </is>
      </c>
      <c r="B70" s="8" t="inlineStr">
        <is>
          <t>CDE-G069</t>
        </is>
      </c>
    </row>
    <row r="71" ht="15" customHeight="1" s="6">
      <c r="A71" s="8" t="inlineStr">
        <is>
          <t>GV-EFF-003</t>
        </is>
      </c>
      <c r="B71" s="8" t="inlineStr">
        <is>
          <t>CDE-G070</t>
        </is>
      </c>
    </row>
    <row r="72" ht="15" customHeight="1" s="6">
      <c r="A72" s="8" t="inlineStr">
        <is>
          <t>GV-EFF-003</t>
        </is>
      </c>
      <c r="B72" s="8" t="inlineStr">
        <is>
          <t>CDE-G071</t>
        </is>
      </c>
    </row>
    <row r="73" ht="15" customHeight="1" s="6">
      <c r="A73" s="8" t="inlineStr">
        <is>
          <t>GV-CRS-001</t>
        </is>
      </c>
      <c r="B73" s="8" t="inlineStr">
        <is>
          <t>CDE-G072</t>
        </is>
      </c>
    </row>
    <row r="74" ht="15" customHeight="1" s="6">
      <c r="A74" s="8" t="inlineStr">
        <is>
          <t>GV-CRS-001</t>
        </is>
      </c>
      <c r="B74" s="8" t="inlineStr">
        <is>
          <t>CDE-G073</t>
        </is>
      </c>
    </row>
    <row r="75" ht="15" customHeight="1" s="6">
      <c r="A75" s="8" t="inlineStr">
        <is>
          <t>GV-CRS-002</t>
        </is>
      </c>
      <c r="B75" s="8" t="inlineStr">
        <is>
          <t>CDE-G074</t>
        </is>
      </c>
    </row>
    <row r="76" ht="15" customHeight="1" s="6">
      <c r="A76" s="8" t="inlineStr">
        <is>
          <t>GV-CRS-002</t>
        </is>
      </c>
      <c r="B76" s="8" t="inlineStr">
        <is>
          <t>CDE-G075</t>
        </is>
      </c>
    </row>
    <row r="77" ht="15" customHeight="1" s="6">
      <c r="A77" s="8" t="inlineStr">
        <is>
          <t>GV-CRS-003</t>
        </is>
      </c>
      <c r="B77" s="8" t="inlineStr">
        <is>
          <t>CDE-G076</t>
        </is>
      </c>
    </row>
    <row r="78" ht="15" customHeight="1" s="6">
      <c r="A78" s="8" t="inlineStr">
        <is>
          <t>GV-CRS-003</t>
        </is>
      </c>
      <c r="B78" s="8" t="inlineStr">
        <is>
          <t>CDE-G077</t>
        </is>
      </c>
    </row>
    <row r="79" ht="15" customHeight="1" s="6">
      <c r="A79" s="8" t="inlineStr">
        <is>
          <t>GV-COMP-001</t>
        </is>
      </c>
      <c r="B79" s="8" t="inlineStr">
        <is>
          <t>CDE-G078</t>
        </is>
      </c>
    </row>
    <row r="80" ht="15" customHeight="1" s="6">
      <c r="A80" s="8" t="inlineStr">
        <is>
          <t>GV-COMP-002</t>
        </is>
      </c>
      <c r="B80" s="8" t="inlineStr">
        <is>
          <t>CDE-G079</t>
        </is>
      </c>
    </row>
    <row r="81" ht="15" customHeight="1" s="6">
      <c r="A81" s="8" t="inlineStr">
        <is>
          <t>GV-COMP-003</t>
        </is>
      </c>
      <c r="B81" s="8" t="inlineStr">
        <is>
          <t>CDE-G080</t>
        </is>
      </c>
    </row>
    <row r="82" ht="15" customHeight="1" s="6">
      <c r="A82" s="8" t="inlineStr">
        <is>
          <t>GV-COMP-004</t>
        </is>
      </c>
      <c r="B82" s="8" t="inlineStr">
        <is>
          <t>CDE-G081</t>
        </is>
      </c>
    </row>
    <row r="83" ht="15" customHeight="1" s="6">
      <c r="A83" s="8" t="inlineStr">
        <is>
          <t>GV-COMP-005</t>
        </is>
      </c>
      <c r="B83" s="8" t="inlineStr">
        <is>
          <t>CDE-G082</t>
        </is>
      </c>
    </row>
    <row r="84" ht="15" customHeight="1" s="6">
      <c r="A84" s="8" t="inlineStr">
        <is>
          <t>GV-COMP-006</t>
        </is>
      </c>
      <c r="B84" s="8" t="inlineStr">
        <is>
          <t>CDE-G083</t>
        </is>
      </c>
    </row>
    <row r="85" ht="15" customHeight="1" s="6">
      <c r="A85" s="8" t="inlineStr">
        <is>
          <t>GV-NOM-001</t>
        </is>
      </c>
      <c r="B85" s="8" t="inlineStr">
        <is>
          <t>CDE-G084</t>
        </is>
      </c>
    </row>
    <row r="86" ht="15" customHeight="1" s="6">
      <c r="A86" s="8" t="inlineStr">
        <is>
          <t>GV-NOM-002</t>
        </is>
      </c>
      <c r="B86" s="8" t="inlineStr">
        <is>
          <t>CDE-G085</t>
        </is>
      </c>
    </row>
    <row r="87" ht="15" customHeight="1" s="6">
      <c r="A87" s="8" t="inlineStr">
        <is>
          <t>GV-NOM-003</t>
        </is>
      </c>
      <c r="B87" s="8" t="inlineStr">
        <is>
          <t>CDE-G086</t>
        </is>
      </c>
    </row>
    <row r="88" ht="15" customHeight="1" s="6">
      <c r="A88" s="8" t="inlineStr">
        <is>
          <t>GV-NOM-004</t>
        </is>
      </c>
      <c r="B88" s="8" t="inlineStr">
        <is>
          <t>CDE-G087</t>
        </is>
      </c>
    </row>
    <row r="89" ht="15" customHeight="1" s="6">
      <c r="A89" s="8" t="inlineStr">
        <is>
          <t>GV-CMT-001</t>
        </is>
      </c>
      <c r="B89" s="8" t="inlineStr">
        <is>
          <t>CDE-G088</t>
        </is>
      </c>
    </row>
    <row r="90" ht="15" customHeight="1" s="6">
      <c r="A90" s="8" t="inlineStr">
        <is>
          <t>GV-CMT-003</t>
        </is>
      </c>
      <c r="B90" s="8" t="inlineStr">
        <is>
          <t>CDE-G089</t>
        </is>
      </c>
    </row>
    <row r="91" ht="15" customHeight="1" s="6">
      <c r="A91" s="8" t="inlineStr">
        <is>
          <t>GV-EXEC-001</t>
        </is>
      </c>
      <c r="B91" s="8" t="inlineStr">
        <is>
          <t>CDE-G090</t>
        </is>
      </c>
    </row>
    <row r="92" ht="15" customHeight="1" s="6">
      <c r="A92" s="8" t="inlineStr">
        <is>
          <t>GV-EXEC-002</t>
        </is>
      </c>
      <c r="B92" s="8" t="inlineStr">
        <is>
          <t>CDE-G091</t>
        </is>
      </c>
    </row>
    <row r="93" ht="15" customHeight="1" s="6">
      <c r="A93" s="8" t="inlineStr">
        <is>
          <t>GV-EXEC-003</t>
        </is>
      </c>
      <c r="B93" s="8" t="inlineStr">
        <is>
          <t>CDE-G092</t>
        </is>
      </c>
    </row>
    <row r="94" ht="15" customHeight="1" s="6">
      <c r="A94" s="8" t="inlineStr">
        <is>
          <t>GV-COMP-PAY-001</t>
        </is>
      </c>
      <c r="B94" s="8" t="inlineStr">
        <is>
          <t>CDE-G093</t>
        </is>
      </c>
    </row>
    <row r="95" ht="15" customHeight="1" s="6">
      <c r="A95" s="8" t="inlineStr">
        <is>
          <t>GV-COMP-PAY-002</t>
        </is>
      </c>
      <c r="B95" s="8" t="inlineStr">
        <is>
          <t>CDE-G094</t>
        </is>
      </c>
    </row>
    <row r="96" ht="15" customHeight="1" s="6">
      <c r="A96" s="8" t="inlineStr">
        <is>
          <t>GV-COMP-PAY-003</t>
        </is>
      </c>
      <c r="B96" s="8" t="inlineStr">
        <is>
          <t>CDE-G095</t>
        </is>
      </c>
    </row>
    <row r="97" ht="15" customHeight="1" s="6">
      <c r="A97" s="8" t="inlineStr">
        <is>
          <t>GV-COMP-PAY-004</t>
        </is>
      </c>
      <c r="B97" s="8" t="inlineStr">
        <is>
          <t>CDE-G096</t>
        </is>
      </c>
    </row>
    <row r="98" ht="15" customHeight="1" s="6">
      <c r="A98" s="8" t="inlineStr">
        <is>
          <t>GV-SHR-001</t>
        </is>
      </c>
      <c r="B98" s="8" t="inlineStr">
        <is>
          <t>CDE-G097</t>
        </is>
      </c>
    </row>
    <row r="99" ht="15" customHeight="1" s="6">
      <c r="A99" s="8" t="inlineStr">
        <is>
          <t>GV-SHR-002</t>
        </is>
      </c>
      <c r="B99" s="8" t="inlineStr">
        <is>
          <t>CDE-G098</t>
        </is>
      </c>
    </row>
    <row r="100" ht="15" customHeight="1" s="6">
      <c r="A100" s="8" t="inlineStr">
        <is>
          <t>GV-SHR-003</t>
        </is>
      </c>
      <c r="B100" s="8" t="inlineStr">
        <is>
          <t>CDE-G099</t>
        </is>
      </c>
    </row>
    <row r="101" ht="15" customHeight="1" s="6">
      <c r="A101" s="8" t="inlineStr">
        <is>
          <t>GV-SHR-004</t>
        </is>
      </c>
      <c r="B101" s="8" t="inlineStr">
        <is>
          <t>CDE-G100</t>
        </is>
      </c>
    </row>
    <row r="102" ht="15" customHeight="1" s="6">
      <c r="A102" s="8" t="inlineStr">
        <is>
          <t>GV-RPT-001</t>
        </is>
      </c>
      <c r="B102" s="8" t="inlineStr">
        <is>
          <t>CDE-G101</t>
        </is>
      </c>
    </row>
    <row r="103" ht="15" customHeight="1" s="6">
      <c r="A103" s="8" t="inlineStr">
        <is>
          <t>GV-RPT-002</t>
        </is>
      </c>
      <c r="B103" s="8" t="inlineStr">
        <is>
          <t>CDE-G102</t>
        </is>
      </c>
    </row>
    <row r="104" ht="15" customHeight="1" s="6">
      <c r="A104" s="8" t="inlineStr">
        <is>
          <t>GV-RPT-003</t>
        </is>
      </c>
      <c r="B104" s="8" t="inlineStr">
        <is>
          <t>CDE-G103</t>
        </is>
      </c>
    </row>
    <row r="105" ht="15" customHeight="1" s="6">
      <c r="A105" s="8" t="inlineStr">
        <is>
          <t>GV-COD-001</t>
        </is>
      </c>
      <c r="B105" s="8" t="inlineStr">
        <is>
          <t>CDE-G104</t>
        </is>
      </c>
    </row>
    <row r="106" ht="15" customHeight="1" s="6">
      <c r="A106" s="8" t="inlineStr">
        <is>
          <t>GV-COD-002</t>
        </is>
      </c>
      <c r="B106" s="8" t="inlineStr">
        <is>
          <t>CDE-G105</t>
        </is>
      </c>
    </row>
    <row r="107" ht="15" customHeight="1" s="6">
      <c r="A107" s="8" t="inlineStr">
        <is>
          <t>GV-COD-003</t>
        </is>
      </c>
      <c r="B107" s="8" t="inlineStr">
        <is>
          <t>CDE-G106</t>
        </is>
      </c>
    </row>
    <row r="108" ht="15" customHeight="1" s="6">
      <c r="A108" s="8" t="inlineStr">
        <is>
          <t>GV-EFF-002</t>
        </is>
      </c>
      <c r="B108" s="8" t="inlineStr">
        <is>
          <t>CDE-G107</t>
        </is>
      </c>
    </row>
    <row r="109" ht="15" customHeight="1" s="6">
      <c r="A109" s="8" t="inlineStr">
        <is>
          <t>GV-CRS-001</t>
        </is>
      </c>
      <c r="B109" s="8" t="inlineStr">
        <is>
          <t>CDE-G108</t>
        </is>
      </c>
    </row>
    <row r="110" ht="15" customHeight="1" s="6">
      <c r="A110" s="8" t="inlineStr">
        <is>
          <t>GV-CRS-002</t>
        </is>
      </c>
      <c r="B110" s="8" t="inlineStr">
        <is>
          <t>CDE-G109</t>
        </is>
      </c>
    </row>
    <row r="111" ht="15" customHeight="1" s="6">
      <c r="A111" s="8" t="inlineStr">
        <is>
          <t>GV-CRS-003</t>
        </is>
      </c>
      <c r="B111" s="8" t="inlineStr">
        <is>
          <t>CDE-G110</t>
        </is>
      </c>
    </row>
    <row r="112" ht="15" customHeight="1" s="6">
      <c r="A112" s="8" t="inlineStr">
        <is>
          <t>GV-COD-001</t>
        </is>
      </c>
      <c r="B112" s="8" t="inlineStr">
        <is>
          <t>CDE-G111</t>
        </is>
      </c>
    </row>
    <row r="113" ht="15" customHeight="1" s="6">
      <c r="A113" s="8" t="inlineStr">
        <is>
          <t>GV-COD-003</t>
        </is>
      </c>
      <c r="B113" s="8" t="inlineStr">
        <is>
          <t>CDE-G112</t>
        </is>
      </c>
    </row>
    <row r="114" ht="15" customHeight="1" s="6">
      <c r="A114" s="8" t="inlineStr">
        <is>
          <t>GV-EXEC-004</t>
        </is>
      </c>
      <c r="B114" s="8" t="inlineStr">
        <is>
          <t>CDE-G113</t>
        </is>
      </c>
    </row>
    <row r="115" ht="15" customHeight="1" s="6">
      <c r="A115" s="8" t="inlineStr">
        <is>
          <t>GV-COMP-PAY-002</t>
        </is>
      </c>
      <c r="B115" s="8" t="inlineStr">
        <is>
          <t>CDE-G114</t>
        </is>
      </c>
    </row>
    <row r="116" ht="15" customHeight="1" s="6">
      <c r="A116" s="8" t="inlineStr">
        <is>
          <t>GV-RPT-001</t>
        </is>
      </c>
      <c r="B116" s="8" t="inlineStr">
        <is>
          <t>CDE-G115</t>
        </is>
      </c>
    </row>
    <row r="117" ht="15" customHeight="1" s="6">
      <c r="A117" s="8" t="inlineStr">
        <is>
          <t>GV-COMP-003</t>
        </is>
      </c>
      <c r="B117" s="8" t="inlineStr">
        <is>
          <t>CDE-G116</t>
        </is>
      </c>
    </row>
    <row r="118" ht="15" customHeight="1" s="6">
      <c r="A118" s="8" t="inlineStr">
        <is>
          <t>GV-COMP-003</t>
        </is>
      </c>
      <c r="B118" s="8" t="inlineStr">
        <is>
          <t>CDE-G117</t>
        </is>
      </c>
    </row>
    <row r="119" ht="15" customHeight="1" s="6">
      <c r="A119" s="8" t="inlineStr">
        <is>
          <t>GV-COMP-007</t>
        </is>
      </c>
      <c r="B119" s="8" t="inlineStr">
        <is>
          <t>CDE-G118</t>
        </is>
      </c>
    </row>
    <row r="120" ht="15" customHeight="1" s="6">
      <c r="A120" s="8" t="inlineStr">
        <is>
          <t>GV-COMP-007</t>
        </is>
      </c>
      <c r="B120" s="8" t="inlineStr">
        <is>
          <t>CDE-G119</t>
        </is>
      </c>
    </row>
    <row r="121" ht="15" customHeight="1" s="6">
      <c r="A121" s="8" t="inlineStr">
        <is>
          <t>GV-COMP-007</t>
        </is>
      </c>
      <c r="B121" s="8" t="inlineStr">
        <is>
          <t>CDE-G120</t>
        </is>
      </c>
    </row>
    <row r="122" ht="15" customHeight="1" s="6">
      <c r="A122" s="5" t="inlineStr">
        <is>
          <t>GV-COMP-001</t>
        </is>
      </c>
      <c r="B122" s="5" t="inlineStr">
        <is>
          <t>CDE-G121</t>
        </is>
      </c>
    </row>
    <row r="123" ht="15" customHeight="1" s="6">
      <c r="A123" s="5" t="inlineStr">
        <is>
          <t>GV-COMP-005</t>
        </is>
      </c>
      <c r="B123" s="5" t="inlineStr">
        <is>
          <t>CDE-G122</t>
        </is>
      </c>
    </row>
    <row r="124" ht="15" customHeight="1" s="6">
      <c r="A124" s="5" t="inlineStr">
        <is>
          <t>GV-COMP-003</t>
        </is>
      </c>
      <c r="B124" s="5" t="inlineStr">
        <is>
          <t>CDE-G123</t>
        </is>
      </c>
    </row>
    <row r="125" ht="15" customHeight="1" s="6">
      <c r="A125" s="5" t="inlineStr">
        <is>
          <t>GV-COMP-PAY-001</t>
        </is>
      </c>
      <c r="B125" s="5" t="inlineStr">
        <is>
          <t>CDE-G124</t>
        </is>
      </c>
    </row>
    <row r="126" ht="15" customHeight="1" s="6">
      <c r="A126" s="5" t="inlineStr">
        <is>
          <t>GV-SHR-003</t>
        </is>
      </c>
      <c r="B126" s="5" t="inlineStr">
        <is>
          <t>CDE-G125</t>
        </is>
      </c>
    </row>
    <row r="127" ht="15" customHeight="1" s="6">
      <c r="A127" s="5" t="inlineStr">
        <is>
          <t>GV-COMP-002</t>
        </is>
      </c>
      <c r="B127" s="5" t="inlineStr">
        <is>
          <t>CDE-G126</t>
        </is>
      </c>
    </row>
    <row r="128" ht="15" customHeight="1" s="6">
      <c r="A128" s="5" t="inlineStr">
        <is>
          <t>GV-COMP-PAY-001</t>
        </is>
      </c>
      <c r="B128" s="5" t="inlineStr">
        <is>
          <t>CDE-G127</t>
        </is>
      </c>
    </row>
    <row r="129" ht="15" customHeight="1" s="6">
      <c r="A129" s="5" t="inlineStr">
        <is>
          <t>GV-CMT-003</t>
        </is>
      </c>
      <c r="B129" s="5" t="inlineStr">
        <is>
          <t>CDE-G128</t>
        </is>
      </c>
    </row>
    <row r="130" ht="15" customHeight="1" s="6">
      <c r="A130" s="5" t="inlineStr">
        <is>
          <t>GV-SHR-001</t>
        </is>
      </c>
      <c r="B130" s="5" t="inlineStr">
        <is>
          <t>CDE-G129</t>
        </is>
      </c>
    </row>
    <row r="131" ht="15" customHeight="1" s="6">
      <c r="A131" s="5" t="inlineStr">
        <is>
          <t>GV-RPT-003</t>
        </is>
      </c>
      <c r="B131" s="5" t="inlineStr">
        <is>
          <t>CDE-G130</t>
        </is>
      </c>
    </row>
    <row r="132" ht="15" customHeight="1" s="6">
      <c r="A132" s="5" t="inlineStr">
        <is>
          <t>GV-COMP-004</t>
        </is>
      </c>
      <c r="B132" s="5" t="inlineStr">
        <is>
          <t>CDE-G131</t>
        </is>
      </c>
    </row>
    <row r="133" ht="15" customHeight="1" s="6">
      <c r="A133" s="5" t="inlineStr">
        <is>
          <t>GV-SHR-001</t>
        </is>
      </c>
      <c r="B133" s="5" t="inlineStr">
        <is>
          <t>CDE-G132</t>
        </is>
      </c>
    </row>
    <row r="134" ht="15" customHeight="1" s="6">
      <c r="A134" s="5" t="inlineStr">
        <is>
          <t>GV-SHR-001</t>
        </is>
      </c>
      <c r="B134" s="5" t="inlineStr">
        <is>
          <t>CDE-G133</t>
        </is>
      </c>
    </row>
    <row r="135" ht="15" customHeight="1" s="6">
      <c r="A135" s="5" t="inlineStr">
        <is>
          <t>GV-SHR-002</t>
        </is>
      </c>
      <c r="B135" s="5" t="inlineStr">
        <is>
          <t>CDE-G134</t>
        </is>
      </c>
    </row>
    <row r="136" ht="15" customHeight="1" s="6">
      <c r="A136" s="5" t="inlineStr">
        <is>
          <t>GV-RPT-001</t>
        </is>
      </c>
      <c r="B136" s="5" t="inlineStr">
        <is>
          <t>CDE-G135</t>
        </is>
      </c>
    </row>
    <row r="137" ht="15" customHeight="1" s="6">
      <c r="A137" s="5" t="inlineStr">
        <is>
          <t>GV-COMP-004</t>
        </is>
      </c>
      <c r="B137" s="5" t="inlineStr">
        <is>
          <t>CDE-G136</t>
        </is>
      </c>
    </row>
    <row r="138" ht="15" customHeight="1" s="6">
      <c r="A138" s="5" t="inlineStr">
        <is>
          <t>GV-CMT-003</t>
        </is>
      </c>
      <c r="B138" s="5" t="inlineStr">
        <is>
          <t>CDE-G137</t>
        </is>
      </c>
    </row>
    <row r="139" ht="15" customHeight="1" s="6">
      <c r="A139" s="5" t="inlineStr">
        <is>
          <t>GV-RPT-003</t>
        </is>
      </c>
      <c r="B139" s="5" t="inlineStr">
        <is>
          <t>CDE-G138</t>
        </is>
      </c>
    </row>
    <row r="140" ht="15" customHeight="1" s="6">
      <c r="A140" s="5" t="inlineStr">
        <is>
          <t>GV-EFF-001</t>
        </is>
      </c>
      <c r="B140" s="5" t="inlineStr">
        <is>
          <t>CDE-G139</t>
        </is>
      </c>
    </row>
    <row r="141" ht="15" customHeight="1" s="6">
      <c r="A141" s="5" t="inlineStr">
        <is>
          <t>GV-RPT-001</t>
        </is>
      </c>
      <c r="B141" s="5" t="inlineStr">
        <is>
          <t>CDE-G140</t>
        </is>
      </c>
    </row>
    <row r="142" ht="15" customHeight="1" s="6">
      <c r="A142" s="5" t="inlineStr">
        <is>
          <t>GV-CMT-003</t>
        </is>
      </c>
      <c r="B142" s="5" t="inlineStr">
        <is>
          <t>CDE-G141</t>
        </is>
      </c>
    </row>
    <row r="143" ht="15" customHeight="1" s="6">
      <c r="A143" s="5" t="inlineStr">
        <is>
          <t>GV-CMT-003</t>
        </is>
      </c>
      <c r="B143" s="5" t="inlineStr">
        <is>
          <t>CDE-G142</t>
        </is>
      </c>
    </row>
    <row r="144" ht="15" customHeight="1" s="6">
      <c r="A144" s="5" t="inlineStr">
        <is>
          <t>GV-NOM-001</t>
        </is>
      </c>
      <c r="B144" s="5" t="inlineStr">
        <is>
          <t>CDE-G143</t>
        </is>
      </c>
    </row>
    <row r="145" ht="15" customHeight="1" s="6">
      <c r="A145" s="5" t="inlineStr">
        <is>
          <t>GV-CMT-004</t>
        </is>
      </c>
      <c r="B145" s="5" t="inlineStr">
        <is>
          <t>CDE-G144</t>
        </is>
      </c>
    </row>
    <row r="146" ht="15" customHeight="1" s="6">
      <c r="A146" s="5" t="inlineStr">
        <is>
          <t>GV-COMP-001</t>
        </is>
      </c>
      <c r="B146" s="5" t="inlineStr">
        <is>
          <t>CDE-G145</t>
        </is>
      </c>
    </row>
    <row r="147" ht="15" customHeight="1" s="6">
      <c r="A147" s="5" t="inlineStr">
        <is>
          <t>GV-COMP-008</t>
        </is>
      </c>
      <c r="B147" s="5" t="inlineStr">
        <is>
          <t>CDE-G146</t>
        </is>
      </c>
    </row>
    <row r="148" ht="15" customHeight="1" s="6">
      <c r="A148" s="5" t="inlineStr">
        <is>
          <t>GV-COMP-008</t>
        </is>
      </c>
      <c r="B148" s="5" t="inlineStr">
        <is>
          <t>CDE-G147</t>
        </is>
      </c>
    </row>
    <row r="149" ht="15" customHeight="1" s="6">
      <c r="A149" s="5" t="inlineStr">
        <is>
          <t>GV-COMP-008</t>
        </is>
      </c>
      <c r="B149" s="5" t="inlineStr">
        <is>
          <t>CDE-G148</t>
        </is>
      </c>
    </row>
    <row r="150" ht="15" customHeight="1" s="6">
      <c r="A150" s="5" t="inlineStr">
        <is>
          <t>GV-COMP-008</t>
        </is>
      </c>
      <c r="B150" s="5" t="inlineStr">
        <is>
          <t>CDE-G149</t>
        </is>
      </c>
    </row>
    <row r="151" ht="15" customHeight="1" s="6">
      <c r="A151" s="5" t="inlineStr">
        <is>
          <t>GV-COD-001</t>
        </is>
      </c>
      <c r="B151" s="5" t="inlineStr">
        <is>
          <t>CDE-G150</t>
        </is>
      </c>
    </row>
    <row r="152" ht="15" customHeight="1" s="6">
      <c r="A152" s="5" t="inlineStr">
        <is>
          <t>GV-COMP-004</t>
        </is>
      </c>
      <c r="B152" s="5" t="inlineStr">
        <is>
          <t>CDE-G151</t>
        </is>
      </c>
    </row>
    <row r="153" ht="15" customHeight="1" s="6">
      <c r="A153" s="5" t="inlineStr">
        <is>
          <t>GV-SHR-003</t>
        </is>
      </c>
      <c r="B153" s="5" t="inlineStr">
        <is>
          <t>CDE-G152</t>
        </is>
      </c>
    </row>
    <row r="154" ht="15" customHeight="1" s="6">
      <c r="A154" s="5" t="inlineStr">
        <is>
          <t>GV-NOM-002</t>
        </is>
      </c>
      <c r="B154" s="5" t="inlineStr">
        <is>
          <t>CDE-G153</t>
        </is>
      </c>
    </row>
    <row r="155" ht="15" customHeight="1" s="6">
      <c r="A155" s="5" t="inlineStr">
        <is>
          <t>GV-COMP-005</t>
        </is>
      </c>
      <c r="B155" s="5" t="inlineStr">
        <is>
          <t>CDE-G154</t>
        </is>
      </c>
    </row>
    <row r="156" ht="15" customHeight="1" s="6">
      <c r="A156" s="5" t="inlineStr">
        <is>
          <t>GV-NOM-001</t>
        </is>
      </c>
      <c r="B156" s="5" t="inlineStr">
        <is>
          <t>CDE-G155</t>
        </is>
      </c>
    </row>
    <row r="157" ht="15" customHeight="1" s="6">
      <c r="A157" s="5" t="inlineStr">
        <is>
          <t>GV-CMT-004</t>
        </is>
      </c>
      <c r="B157" s="5" t="inlineStr">
        <is>
          <t>CDE-G156</t>
        </is>
      </c>
    </row>
    <row r="158" ht="15" customHeight="1" s="6">
      <c r="A158" s="5" t="inlineStr">
        <is>
          <t>GV-RPT-001</t>
        </is>
      </c>
      <c r="B158" s="5" t="inlineStr">
        <is>
          <t>CDE-G157</t>
        </is>
      </c>
    </row>
    <row r="159" ht="15" customHeight="1" s="6">
      <c r="A159" s="5" t="inlineStr">
        <is>
          <t>GV-EFF-001</t>
        </is>
      </c>
      <c r="B159" s="5" t="inlineStr">
        <is>
          <t>CDE-G158</t>
        </is>
      </c>
    </row>
    <row r="160" ht="15" customHeight="1" s="6">
      <c r="A160" s="5" t="inlineStr">
        <is>
          <t>GV-CMT-002</t>
        </is>
      </c>
      <c r="B160" s="5" t="inlineStr">
        <is>
          <t>CDE-G159</t>
        </is>
      </c>
    </row>
    <row r="161" ht="15" customHeight="1" s="6">
      <c r="A161" s="5" t="inlineStr">
        <is>
          <t>GV-COMP-PAY-004</t>
        </is>
      </c>
      <c r="B161" s="5" t="inlineStr">
        <is>
          <t>CDE-G160</t>
        </is>
      </c>
    </row>
    <row r="162" ht="15" customHeight="1" s="6">
      <c r="A162" s="5" t="inlineStr">
        <is>
          <t>GV-COMP-PAY-001</t>
        </is>
      </c>
      <c r="B162" s="5" t="inlineStr">
        <is>
          <t>CDE-G161</t>
        </is>
      </c>
    </row>
    <row r="163" ht="15" customHeight="1" s="6">
      <c r="A163" s="5" t="inlineStr">
        <is>
          <t>GV-SHR-005</t>
        </is>
      </c>
      <c r="B163" s="5" t="inlineStr">
        <is>
          <t>CDE-G162</t>
        </is>
      </c>
    </row>
    <row r="164" ht="15" customHeight="1" s="6">
      <c r="A164" s="5" t="inlineStr">
        <is>
          <t>GV-SHR-005</t>
        </is>
      </c>
      <c r="B164" s="5" t="inlineStr">
        <is>
          <t>CDE-G163</t>
        </is>
      </c>
    </row>
    <row r="165" ht="15" customHeight="1" s="6">
      <c r="A165" s="5" t="inlineStr">
        <is>
          <t>GV-SHR-005</t>
        </is>
      </c>
      <c r="B165" s="5" t="inlineStr">
        <is>
          <t>CDE-G164</t>
        </is>
      </c>
    </row>
    <row r="166" ht="15" customHeight="1" s="6">
      <c r="A166" s="5" t="inlineStr">
        <is>
          <t>GV-COMP-002</t>
        </is>
      </c>
      <c r="B166" s="5" t="inlineStr">
        <is>
          <t>CDE-G165</t>
        </is>
      </c>
    </row>
    <row r="167" ht="15" customHeight="1" s="6">
      <c r="A167" s="5" t="inlineStr">
        <is>
          <t>GV-NOM-002</t>
        </is>
      </c>
      <c r="B167" s="5" t="inlineStr">
        <is>
          <t>CDE-G166</t>
        </is>
      </c>
    </row>
    <row r="168" ht="15" customHeight="1" s="6">
      <c r="A168" s="5" t="inlineStr">
        <is>
          <t>GV-COMP-002</t>
        </is>
      </c>
      <c r="B168" s="5" t="inlineStr">
        <is>
          <t>CDE-G167</t>
        </is>
      </c>
    </row>
    <row r="169" ht="15" customHeight="1" s="6">
      <c r="A169" s="5" t="inlineStr">
        <is>
          <t>GV-SHR-005</t>
        </is>
      </c>
      <c r="B169" s="5" t="inlineStr">
        <is>
          <t>CDE-G168</t>
        </is>
      </c>
    </row>
    <row r="170" ht="15" customHeight="1" s="6">
      <c r="A170" s="5" t="inlineStr">
        <is>
          <t>GV-COMP-004</t>
        </is>
      </c>
      <c r="B170" s="5" t="inlineStr">
        <is>
          <t>CDE-G169</t>
        </is>
      </c>
    </row>
    <row r="171" ht="15" customHeight="1" s="6">
      <c r="A171" s="5" t="inlineStr">
        <is>
          <t>GV-EFF-001</t>
        </is>
      </c>
      <c r="B171" s="5" t="inlineStr">
        <is>
          <t>CDE-G170</t>
        </is>
      </c>
    </row>
    <row r="172" ht="15" customHeight="1" s="6">
      <c r="A172" s="5" t="inlineStr">
        <is>
          <t>GV-COD-001</t>
        </is>
      </c>
      <c r="B172" s="5" t="inlineStr">
        <is>
          <t>CDE-G171</t>
        </is>
      </c>
    </row>
    <row r="173" ht="15" customHeight="1" s="6">
      <c r="A173" s="5" t="inlineStr">
        <is>
          <t>GV-CMT-001</t>
        </is>
      </c>
      <c r="B173" s="5" t="inlineStr">
        <is>
          <t>CDE-G172</t>
        </is>
      </c>
    </row>
    <row r="174" ht="15" customHeight="1" s="6">
      <c r="A174" s="5" t="inlineStr">
        <is>
          <t>GV-COMP-002</t>
        </is>
      </c>
      <c r="B174" s="5" t="inlineStr">
        <is>
          <t>CDE-G173</t>
        </is>
      </c>
    </row>
    <row r="175" ht="15" customHeight="1" s="6">
      <c r="A175" s="5" t="inlineStr">
        <is>
          <t>GV-SHR-005</t>
        </is>
      </c>
      <c r="B175" s="5" t="inlineStr">
        <is>
          <t>CDE-G174</t>
        </is>
      </c>
    </row>
    <row r="176" ht="15" customHeight="1" s="6">
      <c r="A176" s="5" t="inlineStr">
        <is>
          <t>GV-SHR-005</t>
        </is>
      </c>
      <c r="B176" s="5" t="inlineStr">
        <is>
          <t>CDE-G175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1" customWidth="1" style="5" min="1" max="1"/>
    <col width="27" customWidth="1" style="5" min="2" max="2"/>
    <col width="46" customWidth="1" style="5" min="3" max="3"/>
    <col width="55" customWidth="1" style="5" min="4" max="4"/>
  </cols>
  <sheetData>
    <row r="1" ht="15" customHeight="1" s="6">
      <c r="A1" s="7" t="inlineStr">
        <is>
          <t>Evidence Source</t>
        </is>
      </c>
      <c r="B1" s="7" t="inlineStr">
        <is>
          <t>Reliability Weight (0-1)</t>
        </is>
      </c>
      <c r="C1" s="7" t="inlineStr">
        <is>
          <t>Freshness Decay (months to half-confidence)</t>
        </is>
      </c>
      <c r="D1" s="7" t="inlineStr">
        <is>
          <t>Applicable CDE Pattern</t>
        </is>
      </c>
    </row>
    <row r="2" ht="15" customHeight="1" s="6">
      <c r="A2" s="8" t="inlineStr">
        <is>
          <t>Annual Report / 10-K Filing (SEC EDGAR, Company IR Site)</t>
        </is>
      </c>
      <c r="B2" s="8" t="n">
        <v>0.95</v>
      </c>
      <c r="C2" s="8" t="n">
        <v>12</v>
      </c>
      <c r="D2" s="8" t="inlineStr">
        <is>
          <t>Board structure, committee composition, governance code disclosures, compensation facts</t>
        </is>
      </c>
    </row>
    <row r="3" ht="15" customHeight="1" s="6">
      <c r="A3" s="8" t="inlineStr">
        <is>
          <t>Board Portal / Governance Records (Diligent, BoardEffect)</t>
        </is>
      </c>
      <c r="B3" s="8" t="n">
        <v>0.93</v>
      </c>
      <c r="C3" s="8" t="n">
        <v>6</v>
      </c>
      <c r="D3" s="8" t="inlineStr">
        <is>
          <t>Succession planning, crisis governance, evaluation actions, protocol reviews</t>
        </is>
      </c>
    </row>
    <row r="4" ht="15" customHeight="1" s="6">
      <c r="A4" s="8" t="inlineStr">
        <is>
          <t>Regulatory Filings (SEC EDGAR, Companies House, National Business Registry)</t>
        </is>
      </c>
      <c r="B4" s="8" t="n">
        <v>0.96</v>
      </c>
      <c r="C4" s="8" t="n">
        <v>6</v>
      </c>
      <c r="D4" s="8" t="inlineStr">
        <is>
          <t>Say-on-pay results, related-party transaction filings, proxy access disclosures</t>
        </is>
      </c>
    </row>
    <row r="5" ht="15" customHeight="1" s="6">
      <c r="A5" s="8" t="inlineStr">
        <is>
          <t>User Validation</t>
        </is>
      </c>
      <c r="B5" s="8" t="n">
        <v>0.8</v>
      </c>
      <c r="C5" s="8" t="n">
        <v>24</v>
      </c>
      <c r="D5" s="8" t="inlineStr">
        <is>
          <t>Internal governance process detail not otherwise discoverable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Confidence Range</t>
        </is>
      </c>
      <c r="B1" s="7" t="inlineStr">
        <is>
          <t>Meaning</t>
        </is>
      </c>
      <c r="C1" s="7" t="inlineStr">
        <is>
          <t>Required Action</t>
        </is>
      </c>
    </row>
    <row r="2" ht="15" customHeight="1" s="6">
      <c r="A2" s="8" t="n">
        <v>90</v>
      </c>
      <c r="B2" s="8" t="inlineStr">
        <is>
          <t>Verified</t>
        </is>
      </c>
      <c r="C2" s="8" t="inlineStr">
        <is>
          <t>None — display as fact</t>
        </is>
      </c>
    </row>
    <row r="3" ht="15" customHeight="1" s="6">
      <c r="A3" s="8" t="n">
        <v>75</v>
      </c>
      <c r="B3" s="8" t="inlineStr">
        <is>
          <t>High Confidence</t>
        </is>
      </c>
      <c r="C3" s="8" t="inlineStr">
        <is>
          <t>Display with confidence badge; periodic re-validation</t>
        </is>
      </c>
    </row>
    <row r="4" ht="15" customHeight="1" s="6">
      <c r="A4" s="8" t="n">
        <v>60</v>
      </c>
      <c r="B4" s="8" t="inlineStr">
        <is>
          <t>Medium Confidence</t>
        </is>
      </c>
      <c r="C4" s="8" t="inlineStr">
        <is>
          <t>Flag for Validate step — ask user to confirm</t>
        </is>
      </c>
    </row>
    <row r="5" ht="15" customHeight="1" s="6">
      <c r="A5" s="8" t="n">
        <v>0</v>
      </c>
      <c r="B5" s="8" t="inlineStr">
        <is>
          <t>Needs Validation</t>
        </is>
      </c>
      <c r="C5" s="8" t="inlineStr">
        <is>
          <t>Trigger Ask step — block until resolved or explicitly accepted as estimate</t>
        </is>
      </c>
    </row>
    <row r="6" ht="15" customHeight="1" s="6">
      <c r="A6" s="8" t="n"/>
      <c r="B6" s="8" t="n"/>
      <c r="C6" s="8" t="n"/>
    </row>
    <row r="7" ht="15" customHeight="1" s="6">
      <c r="A7" s="8" t="inlineStr">
        <is>
          <t>Weight Component</t>
        </is>
      </c>
      <c r="B7" s="8" t="inlineStr">
        <is>
          <t>Weight</t>
        </is>
      </c>
      <c r="C7" s="8" t="inlineStr">
        <is>
          <t>Source</t>
        </is>
      </c>
    </row>
    <row r="8" ht="15" customHeight="1" s="6">
      <c r="A8" s="8" t="inlineStr">
        <is>
          <t>Source Reliability Weight</t>
        </is>
      </c>
      <c r="B8" s="8" t="n">
        <v>0.4</v>
      </c>
      <c r="C8" s="8" t="inlineStr">
        <is>
          <t>05_Evidence_Catalog (Reliability Weight column)</t>
        </is>
      </c>
    </row>
    <row r="9" ht="15" customHeight="1" s="6">
      <c r="A9" s="8" t="inlineStr">
        <is>
          <t>Freshness Factor</t>
        </is>
      </c>
      <c r="B9" s="8" t="n">
        <v>0.25</v>
      </c>
      <c r="C9" s="8" t="inlineStr">
        <is>
          <t>1 - (months_since_capture / Freshness Decay), floor 0</t>
        </is>
      </c>
    </row>
    <row r="10" ht="15" customHeight="1" s="6">
      <c r="A10" s="8" t="inlineStr">
        <is>
          <t>Corroboration Factor</t>
        </is>
      </c>
      <c r="B10" s="8" t="n">
        <v>0.2</v>
      </c>
      <c r="C10" s="8" t="inlineStr">
        <is>
          <t>+0.5 per independent confirming source, capped at 2 sources (max 1.0)</t>
        </is>
      </c>
    </row>
    <row r="11" ht="15" customHeight="1" s="6">
      <c r="A11" s="8" t="inlineStr">
        <is>
          <t>Completeness Factor</t>
        </is>
      </c>
      <c r="B11" s="8" t="n">
        <v>0.15</v>
      </c>
      <c r="C11" s="8" t="inlineStr">
        <is>
          <t>% of Required CDEs populated for the parent BQ</t>
        </is>
      </c>
    </row>
    <row r="12" ht="15" customHeight="1" s="6">
      <c r="A12" s="8" t="n"/>
      <c r="B12" s="8" t="n"/>
      <c r="C12" s="8" t="n"/>
    </row>
    <row r="13" ht="15" customHeight="1" s="6">
      <c r="A13" s="8" t="inlineStr">
        <is>
          <t>CONFIDENCE SCORE CALCULATOR — worked example (live formulas)</t>
        </is>
      </c>
      <c r="B13" s="8" t="n"/>
      <c r="C13" s="8" t="n"/>
    </row>
    <row r="14" ht="15" customHeight="1" s="6">
      <c r="A14" s="8" t="inlineStr">
        <is>
          <t>Evidence Source used</t>
        </is>
      </c>
      <c r="B14" s="8" t="inlineStr">
        <is>
          <t>Annual Report</t>
        </is>
      </c>
      <c r="C14" s="8" t="n"/>
    </row>
    <row r="15" ht="15" customHeight="1" s="6">
      <c r="A15" s="8" t="inlineStr">
        <is>
          <t>Source Reliability Weight (0-1)</t>
        </is>
      </c>
      <c r="B15" s="8">
        <f>VLOOKUP(B14,05_Evidence_Catalog!A:B,2,FALSE())</f>
        <v/>
      </c>
      <c r="C15" s="8" t="inlineStr">
        <is>
          <t>editable formula</t>
        </is>
      </c>
    </row>
    <row r="16" ht="15" customHeight="1" s="6">
      <c r="A16" s="8" t="inlineStr">
        <is>
          <t>Months since capture</t>
        </is>
      </c>
      <c r="B16" s="8" t="n">
        <v>3</v>
      </c>
      <c r="C16" s="8" t="inlineStr">
        <is>
          <t>editable input</t>
        </is>
      </c>
    </row>
    <row r="17" ht="15" customHeight="1" s="6">
      <c r="A17" s="8" t="inlineStr">
        <is>
          <t>Freshness Decay (months, from source)</t>
        </is>
      </c>
      <c r="B17" s="8">
        <f>VLOOKUP(B14,05_Evidence_Catalog!A:C,3,FALSE())</f>
        <v/>
      </c>
      <c r="C17" s="8" t="inlineStr">
        <is>
          <t>editable formula</t>
        </is>
      </c>
    </row>
    <row r="18" ht="15" customHeight="1" s="6">
      <c r="A18" s="8" t="inlineStr">
        <is>
          <t>Freshness Factor (0-1, floored)</t>
        </is>
      </c>
      <c r="B18" s="8">
        <f>MAX(0,1-(B16/B17))</f>
        <v/>
      </c>
      <c r="C18" s="8" t="inlineStr">
        <is>
          <t>editable formula</t>
        </is>
      </c>
    </row>
    <row r="19" ht="15" customHeight="1" s="6">
      <c r="A19" s="8" t="inlineStr">
        <is>
          <t>Independent corroborating sources (0,1,2+)</t>
        </is>
      </c>
      <c r="B19" s="8" t="n">
        <v>1</v>
      </c>
      <c r="C19" s="8" t="inlineStr">
        <is>
          <t>editable input</t>
        </is>
      </c>
    </row>
    <row r="20" ht="15" customHeight="1" s="6">
      <c r="A20" s="8" t="inlineStr">
        <is>
          <t>Corroboration Factor (0-1)</t>
        </is>
      </c>
      <c r="B20" s="8">
        <f>MIN(1,B19*0.5)</f>
        <v/>
      </c>
      <c r="C20" s="8" t="inlineStr">
        <is>
          <t>editable formula</t>
        </is>
      </c>
    </row>
    <row r="21" ht="15" customHeight="1" s="6">
      <c r="A21" s="8" t="inlineStr">
        <is>
          <t>Required CDEs for parent BQ</t>
        </is>
      </c>
      <c r="B21" s="8" t="n">
        <v>3</v>
      </c>
      <c r="C21" s="8" t="inlineStr">
        <is>
          <t>editable input</t>
        </is>
      </c>
    </row>
    <row r="22" ht="15" customHeight="1" s="6">
      <c r="A22" s="8" t="inlineStr">
        <is>
          <t>Required CDEs populated</t>
        </is>
      </c>
      <c r="B22" s="8" t="n">
        <v>3</v>
      </c>
      <c r="C22" s="8" t="inlineStr">
        <is>
          <t>editable input</t>
        </is>
      </c>
    </row>
    <row r="23" ht="15" customHeight="1" s="6">
      <c r="A23" s="8" t="inlineStr">
        <is>
          <t>Completeness Factor (0-1)</t>
        </is>
      </c>
      <c r="B23" s="8">
        <f>B22/B21</f>
        <v/>
      </c>
      <c r="C23" s="8" t="inlineStr">
        <is>
          <t>editable formula</t>
        </is>
      </c>
    </row>
    <row r="24" ht="15" customHeight="1" s="6">
      <c r="A24" s="8" t="inlineStr">
        <is>
          <t>CONFIDENCE SCORE (0-100)</t>
        </is>
      </c>
      <c r="B24" s="8">
        <f>ROUND((B15*0.4+B18*0.25+B20*0.2+B23*0.15)*100,0)</f>
        <v/>
      </c>
      <c r="C24" s="8" t="inlineStr">
        <is>
          <t>editable formula</t>
        </is>
      </c>
    </row>
    <row r="25" ht="15" customHeight="1" s="6">
      <c r="A25" s="8" t="inlineStr">
        <is>
          <t>Resulting Band</t>
        </is>
      </c>
      <c r="B25" s="8">
        <f>IF(B24&gt;=90,"Verified",IF(B24&gt;=75,"High Confidence",IF(B24&gt;=60,"Medium Confidence","Needs Validation")))</f>
        <v/>
      </c>
      <c r="C25" s="8"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7" customWidth="1" style="5" min="1" max="1"/>
    <col width="42" customWidth="1" style="5" min="2" max="2"/>
    <col width="33" customWidth="1" style="5" min="3" max="3"/>
    <col width="42" customWidth="1" style="5" min="4" max="4"/>
  </cols>
  <sheetData>
    <row r="1" ht="15" customHeight="1" s="6">
      <c r="A1" s="7" t="inlineStr">
        <is>
          <t>Intelligence Area</t>
        </is>
      </c>
      <c r="B1" s="7" t="inlineStr">
        <is>
          <t>Owner</t>
        </is>
      </c>
      <c r="C1" s="7" t="inlineStr">
        <is>
          <t>Validation SLA (business days)</t>
        </is>
      </c>
      <c r="D1" s="7" t="inlineStr">
        <is>
          <t>Escalation Owner (if SLA missed)</t>
        </is>
      </c>
    </row>
    <row r="2" ht="15" customHeight="1" s="6">
      <c r="A2" s="8" t="inlineStr">
        <is>
          <t>Board Composition &amp; Structure</t>
        </is>
      </c>
      <c r="B2" s="8" t="inlineStr">
        <is>
          <t>General Counsel / Company Secretary</t>
        </is>
      </c>
      <c r="C2" s="8" t="n">
        <v>5</v>
      </c>
      <c r="D2" s="8" t="inlineStr">
        <is>
          <t>Nomination &amp; Governance Committee Chair</t>
        </is>
      </c>
    </row>
    <row r="3" ht="15" customHeight="1" s="6">
      <c r="A3" s="8" t="inlineStr">
        <is>
          <t>Director Nomination, Succession &amp; Evaluation</t>
        </is>
      </c>
      <c r="B3" s="8" t="inlineStr">
        <is>
          <t>Nomination &amp; Governance Committee Chair</t>
        </is>
      </c>
      <c r="C3" s="8" t="n">
        <v>5</v>
      </c>
      <c r="D3" s="8" t="inlineStr">
        <is>
          <t>Board Chair</t>
        </is>
      </c>
    </row>
    <row r="4" ht="15" customHeight="1" s="6">
      <c r="A4" s="8" t="inlineStr">
        <is>
          <t>Board Committee Architecture</t>
        </is>
      </c>
      <c r="B4" s="8" t="inlineStr">
        <is>
          <t>General Counsel / Company Secretary</t>
        </is>
      </c>
      <c r="C4" s="8" t="n">
        <v>5</v>
      </c>
      <c r="D4" s="8" t="inlineStr">
        <is>
          <t>Board Chair</t>
        </is>
      </c>
    </row>
    <row r="5" ht="15" customHeight="1" s="6">
      <c r="A5" s="8" t="inlineStr">
        <is>
          <t>Executive Leadership Governance</t>
        </is>
      </c>
      <c r="B5" s="8" t="inlineStr">
        <is>
          <t>Board Chair</t>
        </is>
      </c>
      <c r="C5" s="8" t="n">
        <v>5</v>
      </c>
      <c r="D5" s="8" t="inlineStr">
        <is>
          <t>Lead Independent Director</t>
        </is>
      </c>
    </row>
    <row r="6" ht="15" customHeight="1" s="6">
      <c r="A6" s="8" t="inlineStr">
        <is>
          <t>Executive Compensation Governance</t>
        </is>
      </c>
      <c r="B6" s="8" t="inlineStr">
        <is>
          <t>Compensation Committee Chair</t>
        </is>
      </c>
      <c r="C6" s="8" t="n">
        <v>5</v>
      </c>
      <c r="D6" s="8" t="inlineStr">
        <is>
          <t>Board Chair</t>
        </is>
      </c>
    </row>
    <row r="7" ht="15" customHeight="1" s="6">
      <c r="A7" s="8" t="inlineStr">
        <is>
          <t>Shareholder Rights &amp; Engagement</t>
        </is>
      </c>
      <c r="B7" s="8" t="inlineStr">
        <is>
          <t>General Counsel / Investor Relations</t>
        </is>
      </c>
      <c r="C7" s="8" t="n">
        <v>5</v>
      </c>
      <c r="D7" s="8" t="inlineStr">
        <is>
          <t>Board Chair</t>
        </is>
      </c>
    </row>
    <row r="8" ht="15" customHeight="1" s="6">
      <c r="A8" s="8" t="inlineStr">
        <is>
          <t>Related-Party Transaction Governance</t>
        </is>
      </c>
      <c r="B8" s="8" t="inlineStr">
        <is>
          <t>General Counsel</t>
        </is>
      </c>
      <c r="C8" s="8" t="n">
        <v>5</v>
      </c>
      <c r="D8" s="8" t="inlineStr">
        <is>
          <t>Audit Committee Chair</t>
        </is>
      </c>
    </row>
    <row r="9" ht="15" customHeight="1" s="6">
      <c r="A9" s="8" t="inlineStr">
        <is>
          <t>Corporate Governance Disclosure &amp; Codes</t>
        </is>
      </c>
      <c r="B9" s="8" t="inlineStr">
        <is>
          <t>General Counsel / Company Secretary</t>
        </is>
      </c>
      <c r="C9" s="8" t="n">
        <v>5</v>
      </c>
      <c r="D9" s="8" t="inlineStr">
        <is>
          <t>Nomination &amp; Governance Committee Chair</t>
        </is>
      </c>
    </row>
    <row r="10" ht="15" customHeight="1" s="6">
      <c r="A10" s="8" t="inlineStr">
        <is>
          <t>Board Effectiveness &amp; Self-Assessment</t>
        </is>
      </c>
      <c r="B10" s="8" t="inlineStr">
        <is>
          <t>Nomination &amp; Governance Committee Chair</t>
        </is>
      </c>
      <c r="C10" s="8" t="n">
        <v>5</v>
      </c>
      <c r="D10" s="8" t="inlineStr">
        <is>
          <t>Lead Independent Director</t>
        </is>
      </c>
    </row>
    <row r="11" ht="15" customHeight="1" s="6">
      <c r="A11" s="8" t="inlineStr">
        <is>
          <t>Crisis &amp; Succession Governance</t>
        </is>
      </c>
      <c r="B11" s="8" t="inlineStr">
        <is>
          <t>Board Chair</t>
        </is>
      </c>
      <c r="C11" s="8" t="n">
        <v>5</v>
      </c>
      <c r="D11" s="8" t="inlineStr">
        <is>
          <t>Lead Independent Director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5"/>
  </cols>
  <sheetData>
    <row r="1" ht="15" customHeight="1" s="6">
      <c r="A1" s="7" t="inlineStr">
        <is>
          <t>Pattern</t>
        </is>
      </c>
      <c r="B1" s="7" t="inlineStr">
        <is>
          <t>Discover</t>
        </is>
      </c>
      <c r="C1" s="7" t="inlineStr">
        <is>
          <t>Infer</t>
        </is>
      </c>
      <c r="D1" s="7" t="inlineStr">
        <is>
          <t>Validate</t>
        </is>
      </c>
      <c r="E1" s="7" t="inlineStr">
        <is>
          <t>Ask</t>
        </is>
      </c>
    </row>
    <row r="2" ht="15" customHeight="1" s="6">
      <c r="A2" s="8" t="inlineStr">
        <is>
          <t>Text, One-to-one, Universal/Multi</t>
        </is>
      </c>
      <c r="B2" s="8" t="inlineStr">
        <is>
          <t>Parse from Annual Report governance section</t>
        </is>
      </c>
      <c r="C2" s="8" t="inlineStr">
        <is>
          <t>If found in 1 source only, infer from Board Minutes as secondary</t>
        </is>
      </c>
      <c r="D2" s="8" t="inlineStr">
        <is>
          <t>Ask user to confirm if confidence 60-89</t>
        </is>
      </c>
      <c r="E2" s="8" t="inlineStr">
        <is>
          <t>Ask outright only if confidence &lt;60 after Discover+Infer</t>
        </is>
      </c>
    </row>
    <row r="3" ht="15" customHeight="1" s="6">
      <c r="A3" s="8" t="inlineStr">
        <is>
          <t>Numeric, compensation/voting figures, One-to-one</t>
        </is>
      </c>
      <c r="B3" s="8" t="inlineStr">
        <is>
          <t>Parse directly from Regulatory Filings/proxy statement</t>
        </is>
      </c>
      <c r="C3" s="8" t="inlineStr">
        <is>
          <t>Infer from prior-year figure with stated growth assumption if current year unavailable</t>
        </is>
      </c>
      <c r="D3" s="8" t="inlineStr">
        <is>
          <t>Ask user to confirm if multiple sources disagree by &gt;5%</t>
        </is>
      </c>
      <c r="E3" s="8" t="inlineStr">
        <is>
          <t>Ask outright if no source provides any number</t>
        </is>
      </c>
    </row>
    <row r="4" ht="15" customHeight="1" s="6">
      <c r="A4" s="8" t="inlineStr">
        <is>
          <t>Text/Numeric, One-to-many (e.g. per-director, per-transaction, per-committee)</t>
        </is>
      </c>
      <c r="B4" s="8" t="inlineStr">
        <is>
          <t>Parse tabular sections of Annual Report/proxy statement</t>
        </is>
      </c>
      <c r="C4" s="8" t="inlineStr">
        <is>
          <t>Cross-reference Regulatory Filings for items not in primary source</t>
        </is>
      </c>
      <c r="D4" s="8" t="inlineStr">
        <is>
          <t>Ask user to confirm completeness of the list</t>
        </is>
      </c>
      <c r="E4" s="8" t="inlineStr">
        <is>
          <t>Ask user to supply missing entries if Discover yields zero rows</t>
        </is>
      </c>
    </row>
    <row r="5" ht="15" customHeight="1" s="6">
      <c r="A5" s="8" t="inlineStr">
        <is>
          <t>Date</t>
        </is>
      </c>
      <c r="B5" s="8" t="inlineStr">
        <is>
          <t>Parse from filing metadata or Board Minutes date</t>
        </is>
      </c>
      <c r="C5" s="8" t="inlineStr">
        <is>
          <t>Infer from stated governance calendar if exact date not given</t>
        </is>
      </c>
      <c r="D5" s="8" t="inlineStr">
        <is>
          <t>Ask user to confirm if inferred</t>
        </is>
      </c>
      <c r="E5" s="8" t="inlineStr">
        <is>
          <t>Ask outright if no source provides a date</t>
        </is>
      </c>
    </row>
    <row r="6" ht="15" customHeight="1" s="6">
      <c r="A6" s="8" t="inlineStr">
        <is>
          <t>Boolean (tri-state)</t>
        </is>
      </c>
      <c r="B6" s="8" t="inlineStr">
        <is>
          <t>Parse explicit Yes/No statement from filings/Annual Report</t>
        </is>
      </c>
      <c r="C6" s="8" t="inlineStr">
        <is>
          <t>Infer False if condition is absent across all sources after 2 independent checks</t>
        </is>
      </c>
      <c r="D6" s="8" t="inlineStr">
        <is>
          <t>Ask user to confirm an inferred False (never auto-finalize an inferred negative)</t>
        </is>
      </c>
      <c r="E6" s="8" t="inlineStr">
        <is>
          <t>Ask outright if neither Discover nor Infer can resolve</t>
        </is>
      </c>
    </row>
    <row r="7" ht="15" customHeight="1" s="6">
      <c r="A7" s="8" t="inlineStr">
        <is>
          <t>Framework-Specific / Optional Criticality</t>
        </is>
      </c>
      <c r="B7" s="8" t="inlineStr">
        <is>
          <t>Discover only from named governance code filing if one exists</t>
        </is>
      </c>
      <c r="C7" s="8" t="inlineStr">
        <is>
          <t>Skip Infer — not worth estimating</t>
        </is>
      </c>
      <c r="D7" s="8" t="inlineStr">
        <is>
          <t>Skip Validate — not worth user time unless Framework selected</t>
        </is>
      </c>
      <c r="E7" s="8"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 min="1" max="1"/>
    <col width="30" customWidth="1" style="5" min="2" max="2"/>
    <col width="55" customWidth="1" style="5" min="3" max="3"/>
    <col width="18" customWidth="1" style="5" min="4" max="4"/>
  </cols>
  <sheetData>
    <row r="1" ht="15" customHeight="1" s="6">
      <c r="A1" s="7" t="inlineStr">
        <is>
          <t>Framework</t>
        </is>
      </c>
      <c r="B1" s="7" t="inlineStr">
        <is>
          <t>Disclosure / Question ID</t>
        </is>
      </c>
      <c r="C1" s="7" t="inlineStr">
        <is>
          <t>Disclosure / Question Text</t>
        </is>
      </c>
      <c r="D1" s="7" t="inlineStr">
        <is>
          <t>Mapped BQ ID</t>
        </is>
      </c>
    </row>
    <row r="2" ht="15" customHeight="1" s="6">
      <c r="A2" s="8" t="inlineStr">
        <is>
          <t>UK Corporate Governance Code 2024</t>
        </is>
      </c>
      <c r="B2" s="8" t="inlineStr">
        <is>
          <t>Principle B</t>
        </is>
      </c>
      <c r="C2" s="8" t="inlineStr">
        <is>
          <t>Division of Responsibilities (Chair/CEO separation)</t>
        </is>
      </c>
      <c r="D2" s="8" t="inlineStr">
        <is>
          <t>GV-COMP-004</t>
        </is>
      </c>
    </row>
    <row r="3" ht="15" customHeight="1" s="6">
      <c r="A3" s="8" t="inlineStr">
        <is>
          <t>UK Corporate Governance Code 2024</t>
        </is>
      </c>
      <c r="B3" s="8" t="inlineStr">
        <is>
          <t>Principle G</t>
        </is>
      </c>
      <c r="C3" s="8" t="inlineStr">
        <is>
          <t>Composition, Succession and Evaluation</t>
        </is>
      </c>
      <c r="D3" s="8" t="inlineStr">
        <is>
          <t>GV-NOM-001</t>
        </is>
      </c>
    </row>
    <row r="4" ht="15" customHeight="1" s="6">
      <c r="A4" s="8" t="inlineStr">
        <is>
          <t>UK Corporate Governance Code 2024</t>
        </is>
      </c>
      <c r="B4" s="8" t="inlineStr">
        <is>
          <t>Principle J</t>
        </is>
      </c>
      <c r="C4" s="8" t="inlineStr">
        <is>
          <t>Board and committee evaluation</t>
        </is>
      </c>
      <c r="D4" s="8" t="inlineStr">
        <is>
          <t>GV-EFF-001</t>
        </is>
      </c>
    </row>
    <row r="5" ht="15" customHeight="1" s="6">
      <c r="A5" s="8" t="inlineStr">
        <is>
          <t>UK Corporate Governance Code 2024</t>
        </is>
      </c>
      <c r="B5" s="8" t="inlineStr">
        <is>
          <t>Principle K</t>
        </is>
      </c>
      <c r="C5" s="8" t="inlineStr">
        <is>
          <t>Audit, Risk and Internal Control oversight</t>
        </is>
      </c>
      <c r="D5" s="8" t="inlineStr">
        <is>
          <t>GV-CMT-004</t>
        </is>
      </c>
    </row>
    <row r="6" ht="15" customHeight="1" s="6">
      <c r="A6" s="8" t="inlineStr">
        <is>
          <t>UK Corporate Governance Code 2024</t>
        </is>
      </c>
      <c r="B6" s="8" t="inlineStr">
        <is>
          <t>Provision 29</t>
        </is>
      </c>
      <c r="C6" s="8" t="inlineStr">
        <is>
          <t>Declaration on effectiveness of material internal controls (effective FY beginning 1 Jan 2026)</t>
        </is>
      </c>
      <c r="D6" s="8" t="inlineStr">
        <is>
          <t>GV-CMT-003</t>
        </is>
      </c>
    </row>
    <row r="7" ht="15" customHeight="1" s="6">
      <c r="A7" s="8" t="inlineStr">
        <is>
          <t>UK Corporate Governance Code 2024</t>
        </is>
      </c>
      <c r="B7" s="8" t="inlineStr">
        <is>
          <t>Principle P</t>
        </is>
      </c>
      <c r="C7" s="8" t="inlineStr">
        <is>
          <t>Remuneration policy and committee</t>
        </is>
      </c>
      <c r="D7" s="8" t="inlineStr">
        <is>
          <t>GV-COMP-PAY-001</t>
        </is>
      </c>
    </row>
    <row r="8" ht="15" customHeight="1" s="6">
      <c r="A8" s="8" t="inlineStr">
        <is>
          <t>UK Corporate Governance Code 2024</t>
        </is>
      </c>
      <c r="B8" s="8" t="inlineStr">
        <is>
          <t>Principle Q</t>
        </is>
      </c>
      <c r="C8" s="8" t="inlineStr">
        <is>
          <t>Remuneration outcomes alignment with performance</t>
        </is>
      </c>
      <c r="D8" s="8" t="inlineStr">
        <is>
          <t>GV-COMP-PAY-002</t>
        </is>
      </c>
    </row>
    <row r="9" ht="15" customHeight="1" s="6">
      <c r="A9" s="8" t="inlineStr">
        <is>
          <t>UK Corporate Governance Code 2024</t>
        </is>
      </c>
      <c r="B9" s="8" t="inlineStr">
        <is>
          <t>Comply-or-Explain Statement</t>
        </is>
      </c>
      <c r="C9" s="8" t="inlineStr">
        <is>
          <t>Annual statement of compliance or explained departure</t>
        </is>
      </c>
      <c r="D9" s="8" t="inlineStr">
        <is>
          <t>GV-COD-002</t>
        </is>
      </c>
    </row>
    <row r="10" ht="15" customHeight="1" s="6">
      <c r="A10" s="8" t="inlineStr">
        <is>
          <t>OECD Principles of Corporate Governance</t>
        </is>
      </c>
      <c r="B10" s="8" t="inlineStr">
        <is>
          <t>Chapter II</t>
        </is>
      </c>
      <c r="C10" s="8" t="inlineStr">
        <is>
          <t>Rights and equitable treatment of shareholders</t>
        </is>
      </c>
      <c r="D10" s="8" t="inlineStr">
        <is>
          <t>GV-SHR-001</t>
        </is>
      </c>
    </row>
    <row r="11" ht="15" customHeight="1" s="6">
      <c r="A11" s="8" t="inlineStr">
        <is>
          <t>OECD Principles of Corporate Governance</t>
        </is>
      </c>
      <c r="B11" s="8" t="inlineStr">
        <is>
          <t>Chapter IV</t>
        </is>
      </c>
      <c r="C11" s="8" t="inlineStr">
        <is>
          <t>Related party transaction disclosure and approval</t>
        </is>
      </c>
      <c r="D11" s="8" t="inlineStr">
        <is>
          <t>GV-RPT-001</t>
        </is>
      </c>
    </row>
    <row r="12" ht="15" customHeight="1" s="6">
      <c r="A12" s="8" t="inlineStr">
        <is>
          <t>OECD Principles of Corporate Governance</t>
        </is>
      </c>
      <c r="B12" s="8" t="inlineStr">
        <is>
          <t>Chapter V</t>
        </is>
      </c>
      <c r="C12" s="8" t="inlineStr">
        <is>
          <t>Board responsibilities, composition and structure</t>
        </is>
      </c>
      <c r="D12" s="8" t="inlineStr">
        <is>
          <t>GV-COMP-001</t>
        </is>
      </c>
    </row>
    <row r="13" ht="15" customHeight="1" s="6">
      <c r="A13" s="8" t="inlineStr">
        <is>
          <t>OECD Principles of Corporate Governance</t>
        </is>
      </c>
      <c r="B13" s="8" t="inlineStr">
        <is>
          <t>Chapter V</t>
        </is>
      </c>
      <c r="C13" s="8" t="inlineStr">
        <is>
          <t>Board independence from management</t>
        </is>
      </c>
      <c r="D13" s="8" t="inlineStr">
        <is>
          <t>GV-COMP-002</t>
        </is>
      </c>
    </row>
    <row r="14" ht="15" customHeight="1" s="6">
      <c r="A14" s="8" t="inlineStr">
        <is>
          <t>US Sarbanes-Oxley Act</t>
        </is>
      </c>
      <c r="B14" s="8" t="inlineStr">
        <is>
          <t>Section 301</t>
        </is>
      </c>
      <c r="C14" s="8" t="inlineStr">
        <is>
          <t>Audit committee independence requirement</t>
        </is>
      </c>
      <c r="D14" s="8" t="inlineStr">
        <is>
          <t>GV-CMT-004</t>
        </is>
      </c>
    </row>
    <row r="15" ht="15" customHeight="1" s="6">
      <c r="A15" s="8" t="inlineStr">
        <is>
          <t>US Dodd-Frank Act</t>
        </is>
      </c>
      <c r="B15" s="8" t="inlineStr">
        <is>
          <t>Section 953(b)</t>
        </is>
      </c>
      <c r="C15" s="8" t="inlineStr">
        <is>
          <t>CEO pay ratio disclosure requirement</t>
        </is>
      </c>
      <c r="D15" s="8" t="inlineStr">
        <is>
          <t>GV-COMP-PAY-002</t>
        </is>
      </c>
    </row>
    <row r="16" ht="15" customHeight="1" s="6">
      <c r="A16" s="8" t="inlineStr">
        <is>
          <t>US Dodd-Frank Act</t>
        </is>
      </c>
      <c r="B16" s="8" t="inlineStr">
        <is>
          <t>Section 14A</t>
        </is>
      </c>
      <c r="C16" s="8" t="inlineStr">
        <is>
          <t>Say-on-pay advisory vote requirement</t>
        </is>
      </c>
      <c r="D16" s="8" t="inlineStr">
        <is>
          <t>GV-COMP-PAY-003</t>
        </is>
      </c>
    </row>
    <row r="17" ht="15" customHeight="1" s="6">
      <c r="A17" s="8" t="inlineStr">
        <is>
          <t>US Dodd-Frank Act</t>
        </is>
      </c>
      <c r="B17" s="8" t="inlineStr">
        <is>
          <t>Section 954</t>
        </is>
      </c>
      <c r="C17" s="8" t="inlineStr">
        <is>
          <t>Executive compensation clawback policy</t>
        </is>
      </c>
      <c r="D17" s="8" t="inlineStr">
        <is>
          <t>GV-COMP-PAY-001</t>
        </is>
      </c>
    </row>
    <row r="18" ht="15" customHeight="1" s="6">
      <c r="A18" s="8" t="inlineStr">
        <is>
          <t>South Africa King IV Code</t>
        </is>
      </c>
      <c r="B18" s="8" t="inlineStr">
        <is>
          <t>Principle 7</t>
        </is>
      </c>
      <c r="C18" s="8" t="inlineStr">
        <is>
          <t>Board composition for balance of power and effective discharge of duties</t>
        </is>
      </c>
      <c r="D18" s="8" t="inlineStr">
        <is>
          <t>GV-COMP-001</t>
        </is>
      </c>
    </row>
    <row r="19" ht="15" customHeight="1" s="6">
      <c r="A19" s="8" t="inlineStr">
        <is>
          <t>South Africa King IV Code</t>
        </is>
      </c>
      <c r="B19" s="8" t="inlineStr">
        <is>
          <t>Principle 9</t>
        </is>
      </c>
      <c r="C19" s="8" t="inlineStr">
        <is>
          <t>Board evaluation of its own performance</t>
        </is>
      </c>
      <c r="D19" s="8" t="inlineStr">
        <is>
          <t>GV-EFF-001</t>
        </is>
      </c>
    </row>
    <row r="20" ht="15" customHeight="1" s="6">
      <c r="A20" s="5" t="inlineStr">
        <is>
          <t>UK Corporate Governance Code 2024</t>
        </is>
      </c>
      <c r="B20" s="5" t="inlineStr">
        <is>
          <t>Provision 1</t>
        </is>
      </c>
      <c r="C20" s="5" t="inlineStr">
        <is>
          <t>Long-term value generation/business model description</t>
        </is>
      </c>
      <c r="D20" s="5" t="inlineStr">
        <is>
          <t>GV-COD-001</t>
        </is>
      </c>
    </row>
    <row r="21" ht="15" customHeight="1" s="6">
      <c r="A21" s="5" t="inlineStr">
        <is>
          <t>UK Corporate Governance Code 2024</t>
        </is>
      </c>
      <c r="B21" s="5" t="inlineStr">
        <is>
          <t>Provision 2</t>
        </is>
      </c>
      <c r="C21" s="5" t="inlineStr">
        <is>
          <t>Culture assessment and embedding</t>
        </is>
      </c>
      <c r="D21" s="5" t="inlineStr">
        <is>
          <t>GV-COMP-004</t>
        </is>
      </c>
    </row>
    <row r="22" ht="15" customHeight="1" s="6">
      <c r="A22" s="5" t="inlineStr">
        <is>
          <t>UK Corporate Governance Code 2024</t>
        </is>
      </c>
      <c r="B22" s="5" t="inlineStr">
        <is>
          <t>Provision 3</t>
        </is>
      </c>
      <c r="C22" s="5" t="inlineStr">
        <is>
          <t>Chair shareholder engagement on governance/performance</t>
        </is>
      </c>
      <c r="D22" s="5" t="inlineStr">
        <is>
          <t>GV-SHR-003</t>
        </is>
      </c>
    </row>
    <row r="23" ht="15" customHeight="1" s="6">
      <c r="A23" s="5" t="inlineStr">
        <is>
          <t>UK Corporate Governance Code 2024</t>
        </is>
      </c>
      <c r="B23" s="5" t="inlineStr">
        <is>
          <t>Provision 4</t>
        </is>
      </c>
      <c r="C23" s="5" t="inlineStr">
        <is>
          <t>20% vote-against explanation requirement</t>
        </is>
      </c>
      <c r="D23" s="5" t="inlineStr">
        <is>
          <t>GV-SHR-003</t>
        </is>
      </c>
    </row>
    <row r="24" ht="15" customHeight="1" s="6">
      <c r="A24" s="5" t="inlineStr">
        <is>
          <t>UK Corporate Governance Code 2024</t>
        </is>
      </c>
      <c r="B24" s="5" t="inlineStr">
        <is>
          <t>Provision 5</t>
        </is>
      </c>
      <c r="C24" s="5" t="inlineStr">
        <is>
          <t>Workforce engagement method</t>
        </is>
      </c>
      <c r="D24" s="5" t="inlineStr">
        <is>
          <t>GV-COMP-008</t>
        </is>
      </c>
    </row>
    <row r="25" ht="15" customHeight="1" s="6">
      <c r="A25" s="5" t="inlineStr">
        <is>
          <t>UK Corporate Governance Code 2024</t>
        </is>
      </c>
      <c r="B25" s="5" t="inlineStr">
        <is>
          <t>Provision 6</t>
        </is>
      </c>
      <c r="C25" s="5" t="inlineStr">
        <is>
          <t>Workforce confidential/anonymous concern-raising mechanism</t>
        </is>
      </c>
      <c r="D25" s="5" t="inlineStr">
        <is>
          <t>GV-COMP-008</t>
        </is>
      </c>
    </row>
    <row r="26" ht="15" customHeight="1" s="6">
      <c r="A26" s="5" t="inlineStr">
        <is>
          <t>UK Corporate Governance Code 2024</t>
        </is>
      </c>
      <c r="B26" s="5" t="inlineStr">
        <is>
          <t>Provision 7</t>
        </is>
      </c>
      <c r="C26" s="5" t="inlineStr">
        <is>
          <t>Conflict of interest from significant shareholdings</t>
        </is>
      </c>
      <c r="D26" s="5" t="inlineStr">
        <is>
          <t>GV-COMP-008</t>
        </is>
      </c>
    </row>
    <row r="27" ht="15" customHeight="1" s="6">
      <c r="A27" s="5" t="inlineStr">
        <is>
          <t>UK Corporate Governance Code 2024</t>
        </is>
      </c>
      <c r="B27" s="5" t="inlineStr">
        <is>
          <t>Provision 8</t>
        </is>
      </c>
      <c r="C27" s="5" t="inlineStr">
        <is>
          <t>Director resignation written statement of concerns</t>
        </is>
      </c>
      <c r="D27" s="5" t="inlineStr">
        <is>
          <t>GV-COMP-008</t>
        </is>
      </c>
    </row>
    <row r="28" ht="15" customHeight="1" s="6">
      <c r="A28" s="5" t="inlineStr">
        <is>
          <t>UK Corporate Governance Code 2024</t>
        </is>
      </c>
      <c r="B28" s="5" t="inlineStr">
        <is>
          <t>Provision 10</t>
        </is>
      </c>
      <c r="C28" s="5" t="inlineStr">
        <is>
          <t>Non-executive director independence circumstances</t>
        </is>
      </c>
      <c r="D28" s="5" t="inlineStr">
        <is>
          <t>GV-COMP-002</t>
        </is>
      </c>
    </row>
    <row r="29" ht="15" customHeight="1" s="6">
      <c r="A29" s="5" t="inlineStr">
        <is>
          <t>UK Corporate Governance Code 2024</t>
        </is>
      </c>
      <c r="B29" s="5" t="inlineStr">
        <is>
          <t>Provision 12</t>
        </is>
      </c>
      <c r="C29" s="5" t="inlineStr">
        <is>
          <t>Senior independent director role</t>
        </is>
      </c>
      <c r="D29" s="5" t="inlineStr">
        <is>
          <t>GV-COMP-006</t>
        </is>
      </c>
    </row>
    <row r="30" ht="15" customHeight="1" s="6">
      <c r="A30" s="5" t="inlineStr">
        <is>
          <t>UK Corporate Governance Code 2024</t>
        </is>
      </c>
      <c r="B30" s="5" t="inlineStr">
        <is>
          <t>Provision 15</t>
        </is>
      </c>
      <c r="C30" s="5" t="inlineStr">
        <is>
          <t>Director time commitments/overboarding disclosure</t>
        </is>
      </c>
      <c r="D30" s="5" t="inlineStr">
        <is>
          <t>GV-COMP-001</t>
        </is>
      </c>
    </row>
    <row r="31" ht="15" customHeight="1" s="6">
      <c r="A31" s="5" t="inlineStr">
        <is>
          <t>UK Corporate Governance Code 2024</t>
        </is>
      </c>
      <c r="B31" s="5" t="inlineStr">
        <is>
          <t>Provision 17</t>
        </is>
      </c>
      <c r="C31" s="5" t="inlineStr">
        <is>
          <t>Nomination committee chair restriction</t>
        </is>
      </c>
      <c r="D31" s="5" t="inlineStr">
        <is>
          <t>GV-NOM-002</t>
        </is>
      </c>
    </row>
    <row r="32" ht="15" customHeight="1" s="6">
      <c r="A32" s="5" t="inlineStr">
        <is>
          <t>UK Corporate Governance Code 2024</t>
        </is>
      </c>
      <c r="B32" s="5" t="inlineStr">
        <is>
          <t>Provision 19</t>
        </is>
      </c>
      <c r="C32" s="5" t="inlineStr">
        <is>
          <t>Chair 9-year tenure limit</t>
        </is>
      </c>
      <c r="D32" s="5" t="inlineStr">
        <is>
          <t>GV-COMP-005</t>
        </is>
      </c>
    </row>
    <row r="33" ht="15" customHeight="1" s="6">
      <c r="A33" s="5" t="inlineStr">
        <is>
          <t>UK Corporate Governance Code 2024</t>
        </is>
      </c>
      <c r="B33" s="5" t="inlineStr">
        <is>
          <t>Provision 20</t>
        </is>
      </c>
      <c r="C33" s="5" t="inlineStr">
        <is>
          <t>Open advertising/external search consultancy for chair/NED appointments</t>
        </is>
      </c>
      <c r="D33" s="5" t="inlineStr">
        <is>
          <t>GV-NOM-001</t>
        </is>
      </c>
    </row>
    <row r="34" ht="15" customHeight="1" s="6">
      <c r="A34" s="5" t="inlineStr">
        <is>
          <t>UK Corporate Governance Code 2024</t>
        </is>
      </c>
      <c r="B34" s="5" t="inlineStr">
        <is>
          <t>Provision 21</t>
        </is>
      </c>
      <c r="C34" s="5" t="inlineStr">
        <is>
          <t>Externally facilitated board performance review</t>
        </is>
      </c>
      <c r="D34" s="5" t="inlineStr">
        <is>
          <t>GV-EFF-001</t>
        </is>
      </c>
    </row>
    <row r="35" ht="15" customHeight="1" s="6">
      <c r="A35" s="5" t="inlineStr">
        <is>
          <t>UK Corporate Governance Code 2024</t>
        </is>
      </c>
      <c r="B35" s="5" t="inlineStr">
        <is>
          <t>Provision 22</t>
        </is>
      </c>
      <c r="C35" s="5" t="inlineStr">
        <is>
          <t>Board acting on evaluation results</t>
        </is>
      </c>
      <c r="D35" s="5" t="inlineStr">
        <is>
          <t>GV-EFF-002</t>
        </is>
      </c>
    </row>
    <row r="36" ht="15" customHeight="1" s="6">
      <c r="A36" s="5" t="inlineStr">
        <is>
          <t>UK Corporate Governance Code 2024</t>
        </is>
      </c>
      <c r="B36" s="5" t="inlineStr">
        <is>
          <t>Provision 23</t>
        </is>
      </c>
      <c r="C36" s="5" t="inlineStr">
        <is>
          <t>Nomination committee annual report description</t>
        </is>
      </c>
      <c r="D36" s="5" t="inlineStr">
        <is>
          <t>GV-CMT-002</t>
        </is>
      </c>
    </row>
    <row r="37" ht="15" customHeight="1" s="6">
      <c r="A37" s="5" t="inlineStr">
        <is>
          <t>UK Corporate Governance Code 2024</t>
        </is>
      </c>
      <c r="B37" s="5" t="inlineStr">
        <is>
          <t>Provision 24</t>
        </is>
      </c>
      <c r="C37" s="5" t="inlineStr">
        <is>
          <t>Audit committee minimum size and composition</t>
        </is>
      </c>
      <c r="D37" s="5" t="inlineStr">
        <is>
          <t>GV-CMT-004</t>
        </is>
      </c>
    </row>
    <row r="38" ht="15" customHeight="1" s="6">
      <c r="A38" s="5" t="inlineStr">
        <is>
          <t>UK Corporate Governance Code 2024</t>
        </is>
      </c>
      <c r="B38" s="5" t="inlineStr">
        <is>
          <t>Provision 28</t>
        </is>
      </c>
      <c r="C38" s="5" t="inlineStr">
        <is>
          <t>Robust assessment of principal risks</t>
        </is>
      </c>
      <c r="D38" s="5" t="inlineStr">
        <is>
          <t>GV-CMT-003</t>
        </is>
      </c>
    </row>
    <row r="39" ht="15" customHeight="1" s="6">
      <c r="A39" s="5" t="inlineStr">
        <is>
          <t>UK Corporate Governance Code 2024</t>
        </is>
      </c>
      <c r="B39" s="5" t="inlineStr">
        <is>
          <t>Provision 30</t>
        </is>
      </c>
      <c r="C39" s="5" t="inlineStr">
        <is>
          <t>Going concern basis statement</t>
        </is>
      </c>
      <c r="D39" s="5" t="inlineStr">
        <is>
          <t>GV-RPT-001</t>
        </is>
      </c>
    </row>
    <row r="40" ht="15" customHeight="1" s="6">
      <c r="A40" s="5" t="inlineStr">
        <is>
          <t>UK Corporate Governance Code 2024</t>
        </is>
      </c>
      <c r="B40" s="5" t="inlineStr">
        <is>
          <t>Provision 31</t>
        </is>
      </c>
      <c r="C40" s="5" t="inlineStr">
        <is>
          <t>Viability/prospects statement</t>
        </is>
      </c>
      <c r="D40" s="5" t="inlineStr">
        <is>
          <t>GV-EFF-001</t>
        </is>
      </c>
    </row>
    <row r="41" ht="15" customHeight="1" s="6">
      <c r="A41" s="5" t="inlineStr">
        <is>
          <t>UK Corporate Governance Code 2024</t>
        </is>
      </c>
      <c r="B41" s="5" t="inlineStr">
        <is>
          <t>Provision 32</t>
        </is>
      </c>
      <c r="C41" s="5" t="inlineStr">
        <is>
          <t>Remuneration committee minimum size</t>
        </is>
      </c>
      <c r="D41" s="5" t="inlineStr">
        <is>
          <t>GV-COMP-PAY-001</t>
        </is>
      </c>
    </row>
    <row r="42" ht="15" customHeight="1" s="6">
      <c r="A42" s="5" t="inlineStr">
        <is>
          <t>UK Corporate Governance Code 2024</t>
        </is>
      </c>
      <c r="B42" s="5" t="inlineStr">
        <is>
          <t>Provision 36</t>
        </is>
      </c>
      <c r="C42" s="5" t="inlineStr">
        <is>
          <t>Post-employment shareholding requirement</t>
        </is>
      </c>
      <c r="D42" s="5" t="inlineStr">
        <is>
          <t>GV-CMT-002</t>
        </is>
      </c>
    </row>
    <row r="43" ht="15" customHeight="1" s="6">
      <c r="A43" s="5" t="inlineStr">
        <is>
          <t>UK Corporate Governance Code 2024</t>
        </is>
      </c>
      <c r="B43" s="5" t="inlineStr">
        <is>
          <t>Provision 37</t>
        </is>
      </c>
      <c r="C43" s="5" t="inlineStr">
        <is>
          <t>Malus and clawback provisions</t>
        </is>
      </c>
      <c r="D43" s="5" t="inlineStr">
        <is>
          <t>GV-COMP-PAY-001</t>
        </is>
      </c>
    </row>
    <row r="44" ht="15" customHeight="1" s="6">
      <c r="A44" s="5" t="inlineStr">
        <is>
          <t>UK Corporate Governance Code 2024</t>
        </is>
      </c>
      <c r="B44" s="5" t="inlineStr">
        <is>
          <t>Provision 38</t>
        </is>
      </c>
      <c r="C44" s="5" t="inlineStr">
        <is>
          <t>Malus and clawback disclosure description</t>
        </is>
      </c>
      <c r="D44" s="5" t="inlineStr">
        <is>
          <t>GV-COMP-PAY-001</t>
        </is>
      </c>
    </row>
    <row r="45" ht="15" customHeight="1" s="6">
      <c r="A45" s="5" t="inlineStr">
        <is>
          <t>UK Corporate Governance Code 2024</t>
        </is>
      </c>
      <c r="B45" s="5" t="inlineStr">
        <is>
          <t>Provision 39</t>
        </is>
      </c>
      <c r="C45" s="5" t="inlineStr">
        <is>
          <t>Pension contribution alignment with workforce</t>
        </is>
      </c>
      <c r="D45" s="5" t="inlineStr">
        <is>
          <t>GV-COMP-PAY-004</t>
        </is>
      </c>
    </row>
    <row r="46" ht="15" customHeight="1" s="6">
      <c r="A46" s="5" t="inlineStr">
        <is>
          <t>UK Corporate Governance Code 2024</t>
        </is>
      </c>
      <c r="B46" s="5" t="inlineStr">
        <is>
          <t>Provision 40</t>
        </is>
      </c>
      <c r="C46" s="5" t="inlineStr">
        <is>
          <t>Director notice/contract period limit</t>
        </is>
      </c>
      <c r="D46" s="5" t="inlineStr">
        <is>
          <t>GV-COMP-PAY-001</t>
        </is>
      </c>
    </row>
    <row r="47" ht="15" customHeight="1" s="6">
      <c r="A47" s="5" t="inlineStr">
        <is>
          <t>OECD Principles of Corporate Governance</t>
        </is>
      </c>
      <c r="B47" s="5" t="inlineStr">
        <is>
          <t>Chapter I</t>
        </is>
      </c>
      <c r="C47" s="5" t="inlineStr">
        <is>
          <t>Company group governance framework</t>
        </is>
      </c>
      <c r="D47" s="5" t="inlineStr">
        <is>
          <t>GV-NOM-002</t>
        </is>
      </c>
    </row>
    <row r="48" ht="15" customHeight="1" s="6">
      <c r="A48" s="5" t="inlineStr">
        <is>
          <t>OECD Principles of Corporate Governance</t>
        </is>
      </c>
      <c r="B48" s="5" t="inlineStr">
        <is>
          <t>Chapter III</t>
        </is>
      </c>
      <c r="C48" s="5" t="inlineStr">
        <is>
          <t>Institutional investor stewardship and engagement</t>
        </is>
      </c>
      <c r="D48" s="5" t="inlineStr">
        <is>
          <t>GV-SHR-005</t>
        </is>
      </c>
    </row>
    <row r="49" ht="15" customHeight="1" s="6">
      <c r="A49" s="5" t="inlineStr">
        <is>
          <t>OECD Principles of Corporate Governance</t>
        </is>
      </c>
      <c r="B49" s="5" t="inlineStr">
        <is>
          <t>Chapter VI</t>
        </is>
      </c>
      <c r="C49" s="5" t="inlineStr">
        <is>
          <t>Board sustainability and resilience risk oversight integration</t>
        </is>
      </c>
      <c r="D49" s="5" t="inlineStr">
        <is>
          <t>GV-COMP-002</t>
        </is>
      </c>
    </row>
    <row r="50" ht="15" customHeight="1" s="6">
      <c r="A50" s="5" t="inlineStr">
        <is>
          <t>OECD Principles of Corporate Governance</t>
        </is>
      </c>
      <c r="B50" s="5" t="inlineStr">
        <is>
          <t>Chapter V (Digital Security)</t>
        </is>
      </c>
      <c r="C50" s="5" t="inlineStr">
        <is>
          <t>Digital security/data privacy as board-level risk category</t>
        </is>
      </c>
      <c r="D50" s="5" t="inlineStr">
        <is>
          <t>GV-COMP-002</t>
        </is>
      </c>
    </row>
    <row r="51" ht="15" customHeight="1" s="6">
      <c r="A51" s="5" t="inlineStr">
        <is>
          <t>South Africa King IV Code</t>
        </is>
      </c>
      <c r="B51" s="5" t="inlineStr">
        <is>
          <t>Principle 1</t>
        </is>
      </c>
      <c r="C51" s="5" t="inlineStr">
        <is>
          <t>Ethical leadership characteristics of governing body</t>
        </is>
      </c>
      <c r="D51" s="5" t="inlineStr">
        <is>
          <t>GV-COMP-004</t>
        </is>
      </c>
    </row>
    <row r="52" ht="15" customHeight="1" s="6">
      <c r="A52" s="5" t="inlineStr">
        <is>
          <t>South Africa King IV Code</t>
        </is>
      </c>
      <c r="B52" s="5" t="inlineStr">
        <is>
          <t>Principle 2</t>
        </is>
      </c>
      <c r="C52" s="5" t="inlineStr">
        <is>
          <t>Governing the ethics of the organisation</t>
        </is>
      </c>
      <c r="D52" s="5" t="inlineStr">
        <is>
          <t>GV-EFF-001</t>
        </is>
      </c>
    </row>
    <row r="53" ht="15" customHeight="1" s="6">
      <c r="A53" s="5" t="inlineStr">
        <is>
          <t>South Africa King IV Code</t>
        </is>
      </c>
      <c r="B53" s="5" t="inlineStr">
        <is>
          <t>Principle 4</t>
        </is>
      </c>
      <c r="C53" s="5" t="inlineStr">
        <is>
          <t>Going-concern oversight via capitals/solvency/liquidity framing</t>
        </is>
      </c>
      <c r="D53" s="5" t="inlineStr">
        <is>
          <t>GV-COD-001</t>
        </is>
      </c>
    </row>
    <row r="54" ht="15" customHeight="1" s="6">
      <c r="A54" s="5" t="inlineStr">
        <is>
          <t>South Africa King IV Code</t>
        </is>
      </c>
      <c r="B54" s="5" t="inlineStr">
        <is>
          <t>Principle 6</t>
        </is>
      </c>
      <c r="C54" s="5" t="inlineStr">
        <is>
          <t>Board charter and Board as custodian of governance</t>
        </is>
      </c>
      <c r="D54" s="5" t="inlineStr">
        <is>
          <t>GV-CMT-001</t>
        </is>
      </c>
    </row>
    <row r="55" ht="15" customHeight="1" s="6">
      <c r="A55" s="5" t="inlineStr">
        <is>
          <t>South Africa King IV Code</t>
        </is>
      </c>
      <c r="B55" s="5" t="inlineStr">
        <is>
          <t>Principle 12</t>
        </is>
      </c>
      <c r="C55" s="5" t="inlineStr">
        <is>
          <t>Technology and information governance as Board-level domain</t>
        </is>
      </c>
      <c r="D55" s="5" t="inlineStr">
        <is>
          <t>GV-COMP-002</t>
        </is>
      </c>
    </row>
    <row r="56" ht="15" customHeight="1" s="6">
      <c r="A56" s="5" t="inlineStr">
        <is>
          <t>South Africa King IV Code</t>
        </is>
      </c>
      <c r="B56" s="5" t="inlineStr">
        <is>
          <t>Principle 16</t>
        </is>
      </c>
      <c r="C56" s="5" t="inlineStr">
        <is>
          <t>Stakeholder-inclusive approach</t>
        </is>
      </c>
      <c r="D56" s="5" t="inlineStr">
        <is>
          <t>GV-SHR-005</t>
        </is>
      </c>
    </row>
    <row r="57" ht="15" customHeight="1" s="6">
      <c r="A57" s="5" t="inlineStr">
        <is>
          <t>South Africa King IV Code</t>
        </is>
      </c>
      <c r="B57" s="5" t="inlineStr">
        <is>
          <t>Principle 17</t>
        </is>
      </c>
      <c r="C57" s="5" t="inlineStr">
        <is>
          <t>Responsible investment for institutional investors</t>
        </is>
      </c>
      <c r="D57" s="5" t="inlineStr">
        <is>
          <t>GV-SHR-005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Executive Role</t>
        </is>
      </c>
      <c r="B1" s="5" t="inlineStr">
        <is>
          <t>Priority Intelligence Question</t>
        </is>
      </c>
      <c r="C1" s="5" t="inlineStr">
        <is>
          <t>Current Signal</t>
        </is>
      </c>
      <c r="D1" s="5" t="inlineStr">
        <is>
          <t>Decision Required</t>
        </is>
      </c>
    </row>
    <row r="2">
      <c r="A2" s="5" t="inlineStr">
        <is>
          <t>CEO</t>
        </is>
      </c>
      <c r="B2" s="5" t="inlineStr">
        <is>
          <t>Is our Governance Intelligence posture creating or destroying value?</t>
        </is>
      </c>
      <c r="C2" s="5" t="inlineStr">
        <is>
          <t>41 BQs define the intelligence picture.</t>
        </is>
      </c>
      <c r="D2" s="5" t="inlineStr">
        <is>
          <t>Review top risks with domain owner and CFO.</t>
        </is>
      </c>
    </row>
    <row r="3">
      <c r="A3" s="5" t="inlineStr">
        <is>
          <t>CFO</t>
        </is>
      </c>
      <c r="B3" s="5" t="inlineStr">
        <is>
          <t>What is the financial consequence of gaps here?</t>
        </is>
      </c>
      <c r="C3" s="5" t="inlineStr">
        <is>
          <t>Cross-reference confidence rollup.</t>
        </is>
      </c>
      <c r="D3" s="5" t="inlineStr">
        <is>
          <t>Assign named remediation owners.</t>
        </is>
      </c>
    </row>
    <row r="4">
      <c r="A4" s="5" t="inlineStr">
        <is>
          <t>Board</t>
        </is>
      </c>
      <c r="B4" s="5" t="inlineStr">
        <is>
          <t>Are we governing Governance Intelligence at board-required standards?</t>
        </is>
      </c>
      <c r="C4" s="5" t="inlineStr">
        <is>
          <t>Review RED-rated Intelligence Areas.</t>
        </is>
      </c>
      <c r="D4" s="5" t="inlineStr">
        <is>
          <t>Require remediation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Gap Category</t>
        </is>
      </c>
      <c r="B1" s="5" t="inlineStr">
        <is>
          <t>Status</t>
        </is>
      </c>
      <c r="C1" s="5" t="inlineStr">
        <is>
          <t>Resolution</t>
        </is>
      </c>
      <c r="D1" s="5" t="inlineStr">
        <is>
          <t>Evidence</t>
        </is>
      </c>
    </row>
    <row r="2">
      <c r="A2" s="5" t="inlineStr">
        <is>
          <t>CDE Coverage</t>
        </is>
      </c>
      <c r="B2" s="5" t="inlineStr">
        <is>
          <t>CLOSED</t>
        </is>
      </c>
      <c r="C2" s="5" t="inlineStr">
        <is>
          <t>175 CDEs verified</t>
        </is>
      </c>
      <c r="D2" s="5" t="inlineStr">
        <is>
          <t>03_CDE_Registry</t>
        </is>
      </c>
    </row>
    <row r="3">
      <c r="A3" s="5" t="inlineStr">
        <is>
          <t>BQ Governance</t>
        </is>
      </c>
      <c r="B3" s="5" t="inlineStr">
        <is>
          <t>CLOSED</t>
        </is>
      </c>
      <c r="C3" s="5" t="inlineStr">
        <is>
          <t>41 MECE BQs</t>
        </is>
      </c>
      <c r="D3" s="5" t="inlineStr">
        <is>
          <t>02_BQ_Registry</t>
        </is>
      </c>
    </row>
    <row r="4">
      <c r="A4" s="5" t="inlineStr">
        <is>
          <t>Certification</t>
        </is>
      </c>
      <c r="B4" s="5" t="inlineStr">
        <is>
          <t>CLOSED</t>
        </is>
      </c>
      <c r="C4" s="5" t="inlineStr">
        <is>
          <t>Gold Standard locked</t>
        </is>
      </c>
      <c r="D4" s="5" t="inlineStr">
        <is>
          <t>00_Freeze_Status</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E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25" customWidth="1" style="5" min="2" max="2"/>
    <col width="15" customWidth="1" style="5" min="3" max="3"/>
    <col width="28" customWidth="1" style="5" min="4" max="4"/>
    <col width="16" customWidth="1" style="5" min="5" max="5"/>
  </cols>
  <sheetData>
    <row r="1" ht="15" customHeight="1" s="6">
      <c r="A1" s="7" t="inlineStr">
        <is>
          <t>Framework</t>
        </is>
      </c>
      <c r="B1" s="7" t="inlineStr">
        <is>
          <t>Disclosure/Question ID</t>
        </is>
      </c>
      <c r="C1" s="7" t="inlineStr">
        <is>
          <t>Mapped BQ ID</t>
        </is>
      </c>
      <c r="D1" s="7" t="inlineStr">
        <is>
          <t>Required CDE IDs (subset)</t>
        </is>
      </c>
      <c r="E1" s="7" t="inlineStr">
        <is>
          <t>CDEs Excluded</t>
        </is>
      </c>
    </row>
    <row r="2" ht="15" customHeight="1" s="6">
      <c r="A2" s="5" t="inlineStr">
        <is>
          <t>UK Corporate Governance Code 2024</t>
        </is>
      </c>
      <c r="B2" s="5" t="inlineStr">
        <is>
          <t>Principle B</t>
        </is>
      </c>
      <c r="C2" s="5" t="inlineStr">
        <is>
          <t>GV-COMP-004</t>
        </is>
      </c>
      <c r="D2" s="5" t="inlineStr">
        <is>
          <t>CDE-G007</t>
        </is>
      </c>
    </row>
    <row r="3" ht="15" customHeight="1" s="6">
      <c r="A3" s="5" t="inlineStr">
        <is>
          <t>UK Corporate Governance Code 2024</t>
        </is>
      </c>
      <c r="B3" s="5" t="inlineStr">
        <is>
          <t>Provision 1</t>
        </is>
      </c>
      <c r="C3" s="5" t="inlineStr">
        <is>
          <t>GV-COD-001</t>
        </is>
      </c>
      <c r="D3" s="5" t="inlineStr">
        <is>
          <t>CDE-G150</t>
        </is>
      </c>
    </row>
    <row r="4" ht="15" customHeight="1" s="6">
      <c r="A4" s="5" t="inlineStr">
        <is>
          <t>UK Corporate Governance Code 2024</t>
        </is>
      </c>
      <c r="B4" s="5" t="inlineStr">
        <is>
          <t>Provision 2</t>
        </is>
      </c>
      <c r="C4" s="5" t="inlineStr">
        <is>
          <t>GV-COMP-004</t>
        </is>
      </c>
      <c r="D4" s="5" t="inlineStr">
        <is>
          <t>CDE-G136, CDE-G151</t>
        </is>
      </c>
    </row>
    <row r="5" ht="15" customHeight="1" s="6">
      <c r="A5" s="5" t="inlineStr">
        <is>
          <t>UK Corporate Governance Code 2024</t>
        </is>
      </c>
      <c r="B5" s="5" t="inlineStr">
        <is>
          <t>Provision 3</t>
        </is>
      </c>
      <c r="C5" s="5" t="inlineStr">
        <is>
          <t>GV-SHR-003</t>
        </is>
      </c>
      <c r="D5" s="5" t="inlineStr">
        <is>
          <t>CDE-G050</t>
        </is>
      </c>
    </row>
    <row r="6" ht="15" customHeight="1" s="6">
      <c r="A6" s="5" t="inlineStr">
        <is>
          <t>UK Corporate Governance Code 2024</t>
        </is>
      </c>
      <c r="B6" s="5" t="inlineStr">
        <is>
          <t>Provision 4</t>
        </is>
      </c>
      <c r="C6" s="5" t="inlineStr">
        <is>
          <t>GV-SHR-003</t>
        </is>
      </c>
      <c r="D6" s="5" t="inlineStr">
        <is>
          <t>CDE-G152</t>
        </is>
      </c>
    </row>
    <row r="7" ht="15" customHeight="1" s="6">
      <c r="A7" s="5" t="inlineStr">
        <is>
          <t>UK Corporate Governance Code 2024</t>
        </is>
      </c>
      <c r="B7" s="5" t="inlineStr">
        <is>
          <t>Provision 5</t>
        </is>
      </c>
      <c r="C7" s="5" t="inlineStr">
        <is>
          <t>GV-COMP-008</t>
        </is>
      </c>
      <c r="D7" s="5" t="inlineStr">
        <is>
          <t>CDE-G146</t>
        </is>
      </c>
    </row>
    <row r="8" ht="15" customHeight="1" s="6">
      <c r="A8" s="5" t="inlineStr">
        <is>
          <t>UK Corporate Governance Code 2024</t>
        </is>
      </c>
      <c r="B8" s="5" t="inlineStr">
        <is>
          <t>Provision 6</t>
        </is>
      </c>
      <c r="C8" s="5" t="inlineStr">
        <is>
          <t>GV-COMP-008</t>
        </is>
      </c>
      <c r="D8" s="5" t="inlineStr">
        <is>
          <t>CDE-G147</t>
        </is>
      </c>
    </row>
    <row r="9" ht="15" customHeight="1" s="6">
      <c r="A9" s="5" t="inlineStr">
        <is>
          <t>UK Corporate Governance Code 2024</t>
        </is>
      </c>
      <c r="B9" s="5" t="inlineStr">
        <is>
          <t>Provision 7</t>
        </is>
      </c>
      <c r="C9" s="5" t="inlineStr">
        <is>
          <t>GV-COMP-008</t>
        </is>
      </c>
      <c r="D9" s="5" t="inlineStr">
        <is>
          <t>CDE-G148</t>
        </is>
      </c>
    </row>
    <row r="10" ht="15" customHeight="1" s="6">
      <c r="A10" s="5" t="inlineStr">
        <is>
          <t>UK Corporate Governance Code 2024</t>
        </is>
      </c>
      <c r="B10" s="5" t="inlineStr">
        <is>
          <t>Provision 8</t>
        </is>
      </c>
      <c r="C10" s="5" t="inlineStr">
        <is>
          <t>GV-COMP-008</t>
        </is>
      </c>
      <c r="D10" s="5" t="inlineStr">
        <is>
          <t>CDE-G149</t>
        </is>
      </c>
    </row>
    <row r="11" ht="15" customHeight="1" s="6">
      <c r="A11" s="5" t="inlineStr">
        <is>
          <t>UK Corporate Governance Code 2024</t>
        </is>
      </c>
      <c r="B11" s="5" t="inlineStr">
        <is>
          <t>Provision 10</t>
        </is>
      </c>
      <c r="C11" s="5" t="inlineStr">
        <is>
          <t>GV-COMP-002</t>
        </is>
      </c>
      <c r="D11" s="5" t="inlineStr">
        <is>
          <t>CDE-G003, CDE-G004</t>
        </is>
      </c>
    </row>
    <row r="12" ht="15" customHeight="1" s="6">
      <c r="A12" s="5" t="inlineStr">
        <is>
          <t>UK Corporate Governance Code 2024</t>
        </is>
      </c>
      <c r="B12" s="5" t="inlineStr">
        <is>
          <t>Principle G</t>
        </is>
      </c>
      <c r="C12" s="5" t="inlineStr">
        <is>
          <t>GV-NOM-001</t>
        </is>
      </c>
      <c r="D12" s="5" t="inlineStr">
        <is>
          <t>CDE-G013</t>
        </is>
      </c>
    </row>
    <row r="13" ht="15" customHeight="1" s="6">
      <c r="A13" s="5" t="inlineStr">
        <is>
          <t>UK Corporate Governance Code 2024</t>
        </is>
      </c>
      <c r="B13" s="5" t="inlineStr">
        <is>
          <t>Provision 12</t>
        </is>
      </c>
      <c r="C13" s="5" t="inlineStr">
        <is>
          <t>GV-COMP-006</t>
        </is>
      </c>
      <c r="D13" s="5" t="inlineStr">
        <is>
          <t>CDE-G011</t>
        </is>
      </c>
    </row>
    <row r="14" ht="15" customHeight="1" s="6">
      <c r="A14" s="5" t="inlineStr">
        <is>
          <t>UK Corporate Governance Code 2024</t>
        </is>
      </c>
      <c r="B14" s="5" t="inlineStr">
        <is>
          <t>Provision 15</t>
        </is>
      </c>
      <c r="C14" s="5" t="inlineStr">
        <is>
          <t>GV-COMP-001</t>
        </is>
      </c>
      <c r="D14" s="5" t="inlineStr">
        <is>
          <t>CDE-G121</t>
        </is>
      </c>
    </row>
    <row r="15" ht="15" customHeight="1" s="6">
      <c r="A15" s="5" t="inlineStr">
        <is>
          <t>UK Corporate Governance Code 2024</t>
        </is>
      </c>
      <c r="B15" s="5" t="inlineStr">
        <is>
          <t>Provision 17</t>
        </is>
      </c>
      <c r="C15" s="5" t="inlineStr">
        <is>
          <t>GV-NOM-002</t>
        </is>
      </c>
      <c r="D15" s="5" t="inlineStr">
        <is>
          <t>CDE-G153</t>
        </is>
      </c>
    </row>
    <row r="16" ht="15" customHeight="1" s="6">
      <c r="A16" s="5" t="inlineStr">
        <is>
          <t>UK Corporate Governance Code 2024</t>
        </is>
      </c>
      <c r="B16" s="5" t="inlineStr">
        <is>
          <t>Provision 19</t>
        </is>
      </c>
      <c r="C16" s="5" t="inlineStr">
        <is>
          <t>GV-COMP-005</t>
        </is>
      </c>
      <c r="D16" s="5" t="inlineStr">
        <is>
          <t>CDE-G154</t>
        </is>
      </c>
    </row>
    <row r="17" ht="15" customHeight="1" s="6">
      <c r="A17" s="5" t="inlineStr">
        <is>
          <t>UK Corporate Governance Code 2024</t>
        </is>
      </c>
      <c r="B17" s="5" t="inlineStr">
        <is>
          <t>Provision 20</t>
        </is>
      </c>
      <c r="C17" s="5" t="inlineStr">
        <is>
          <t>GV-NOM-001</t>
        </is>
      </c>
      <c r="D17" s="5" t="inlineStr">
        <is>
          <t>CDE-G155</t>
        </is>
      </c>
    </row>
    <row r="18" ht="15" customHeight="1" s="6">
      <c r="A18" s="5" t="inlineStr">
        <is>
          <t>UK Corporate Governance Code 2024</t>
        </is>
      </c>
      <c r="B18" s="5" t="inlineStr">
        <is>
          <t>Principle J</t>
        </is>
      </c>
      <c r="C18" s="5" t="inlineStr">
        <is>
          <t>GV-EFF-001</t>
        </is>
      </c>
      <c r="D18" s="5" t="inlineStr">
        <is>
          <t>CDE-G064</t>
        </is>
      </c>
    </row>
    <row r="19" ht="15" customHeight="1" s="6">
      <c r="A19" s="5" t="inlineStr">
        <is>
          <t>UK Corporate Governance Code 2024</t>
        </is>
      </c>
      <c r="B19" s="5" t="inlineStr">
        <is>
          <t>Provision 21</t>
        </is>
      </c>
      <c r="C19" s="5" t="inlineStr">
        <is>
          <t>GV-EFF-001</t>
        </is>
      </c>
      <c r="D19" s="5" t="inlineStr">
        <is>
          <t>CDE-G066</t>
        </is>
      </c>
    </row>
    <row r="20" ht="15" customHeight="1" s="6">
      <c r="A20" s="5" t="inlineStr">
        <is>
          <t>UK Corporate Governance Code 2024</t>
        </is>
      </c>
      <c r="B20" s="5" t="inlineStr">
        <is>
          <t>Provision 22</t>
        </is>
      </c>
      <c r="C20" s="5" t="inlineStr">
        <is>
          <t>GV-EFF-002</t>
        </is>
      </c>
      <c r="D20" s="5" t="inlineStr">
        <is>
          <t>CDE-G067</t>
        </is>
      </c>
    </row>
    <row r="21" ht="15" customHeight="1" s="6">
      <c r="A21" s="5" t="inlineStr">
        <is>
          <t>UK Corporate Governance Code 2024</t>
        </is>
      </c>
      <c r="B21" s="5" t="inlineStr">
        <is>
          <t>Provision 23</t>
        </is>
      </c>
      <c r="C21" s="5" t="inlineStr">
        <is>
          <t>GV-CMT-002</t>
        </is>
      </c>
      <c r="D21" s="5" t="inlineStr">
        <is>
          <t>CDE-G023</t>
        </is>
      </c>
      <c r="E21" s="5" t="inlineStr">
        <is>
          <t>Audit Committee detail covered by Domain 6, Nomination Committee work documented here</t>
        </is>
      </c>
    </row>
    <row r="22" ht="15" customHeight="1" s="6">
      <c r="A22" s="5" t="inlineStr">
        <is>
          <t>UK Corporate Governance Code 2024</t>
        </is>
      </c>
      <c r="B22" s="5" t="inlineStr">
        <is>
          <t>Principle K</t>
        </is>
      </c>
      <c r="C22" s="5" t="inlineStr">
        <is>
          <t>GV-CMT-004</t>
        </is>
      </c>
      <c r="D22" s="5" t="inlineStr">
        <is>
          <t>CDE-G028, CDE-G029</t>
        </is>
      </c>
    </row>
    <row r="23" ht="15" customHeight="1" s="6">
      <c r="A23" s="5" t="inlineStr">
        <is>
          <t>UK Corporate Governance Code 2024</t>
        </is>
      </c>
      <c r="B23" s="5" t="inlineStr">
        <is>
          <t>Provision 24</t>
        </is>
      </c>
      <c r="C23" s="5" t="inlineStr">
        <is>
          <t>GV-CMT-004</t>
        </is>
      </c>
      <c r="D23" s="5" t="inlineStr">
        <is>
          <t>CDE-G156</t>
        </is>
      </c>
    </row>
    <row r="24" ht="15" customHeight="1" s="6">
      <c r="A24" s="5" t="inlineStr">
        <is>
          <t>UK Corporate Governance Code 2024</t>
        </is>
      </c>
      <c r="B24" s="5" t="inlineStr">
        <is>
          <t>Provision 28</t>
        </is>
      </c>
      <c r="C24" s="5" t="inlineStr">
        <is>
          <t>GV-CMT-003</t>
        </is>
      </c>
      <c r="D24" s="5" t="inlineStr">
        <is>
          <t>CDE-G026</t>
        </is>
      </c>
    </row>
    <row r="25" ht="15" customHeight="1" s="6">
      <c r="A25" s="5" t="inlineStr">
        <is>
          <t>UK Corporate Governance Code 2024</t>
        </is>
      </c>
      <c r="B25" s="5" t="inlineStr">
        <is>
          <t>Provision 29</t>
        </is>
      </c>
      <c r="C25" s="5" t="inlineStr">
        <is>
          <t>GV-CMT-003</t>
        </is>
      </c>
      <c r="D25" s="5" t="inlineStr">
        <is>
          <t>CDE-G137</t>
        </is>
      </c>
    </row>
    <row r="26" ht="15" customHeight="1" s="6">
      <c r="A26" s="5" t="inlineStr">
        <is>
          <t>UK Corporate Governance Code 2024</t>
        </is>
      </c>
      <c r="B26" s="5" t="inlineStr">
        <is>
          <t>Provision 30</t>
        </is>
      </c>
      <c r="C26" s="5" t="inlineStr">
        <is>
          <t>GV-RPT-001</t>
        </is>
      </c>
      <c r="D26" s="5" t="inlineStr">
        <is>
          <t>CDE-G157</t>
        </is>
      </c>
    </row>
    <row r="27" ht="15" customHeight="1" s="6">
      <c r="A27" s="5" t="inlineStr">
        <is>
          <t>UK Corporate Governance Code 2024</t>
        </is>
      </c>
      <c r="B27" s="5" t="inlineStr">
        <is>
          <t>Provision 31</t>
        </is>
      </c>
      <c r="C27" s="5" t="inlineStr">
        <is>
          <t>GV-EFF-001</t>
        </is>
      </c>
      <c r="D27" s="5" t="inlineStr">
        <is>
          <t>CDE-G158</t>
        </is>
      </c>
    </row>
    <row r="28" ht="15" customHeight="1" s="6">
      <c r="A28" s="5" t="inlineStr">
        <is>
          <t>UK Corporate Governance Code 2024</t>
        </is>
      </c>
      <c r="B28" s="5" t="inlineStr">
        <is>
          <t>Principle P</t>
        </is>
      </c>
      <c r="C28" s="5" t="inlineStr">
        <is>
          <t>GV-COMP-PAY-001</t>
        </is>
      </c>
      <c r="D28" s="5" t="inlineStr">
        <is>
          <t>CDE-G039</t>
        </is>
      </c>
    </row>
    <row r="29" ht="15" customHeight="1" s="6">
      <c r="A29" s="5" t="inlineStr">
        <is>
          <t>UK Corporate Governance Code 2024</t>
        </is>
      </c>
      <c r="B29" s="5" t="inlineStr">
        <is>
          <t>Provision 32</t>
        </is>
      </c>
      <c r="C29" s="5" t="inlineStr">
        <is>
          <t>GV-COMP-PAY-001</t>
        </is>
      </c>
      <c r="D29" s="5" t="inlineStr">
        <is>
          <t>CDE-G039</t>
        </is>
      </c>
    </row>
    <row r="30" ht="15" customHeight="1" s="6">
      <c r="A30" s="5" t="inlineStr">
        <is>
          <t>UK Corporate Governance Code 2024</t>
        </is>
      </c>
      <c r="B30" s="5" t="inlineStr">
        <is>
          <t>Principle Q</t>
        </is>
      </c>
      <c r="C30" s="5" t="inlineStr">
        <is>
          <t>GV-COMP-PAY-002</t>
        </is>
      </c>
      <c r="D30" s="5" t="inlineStr">
        <is>
          <t>CDE-G041</t>
        </is>
      </c>
    </row>
    <row r="31" ht="15" customHeight="1" s="6">
      <c r="A31" s="5" t="inlineStr">
        <is>
          <t>UK Corporate Governance Code 2024</t>
        </is>
      </c>
      <c r="B31" s="5" t="inlineStr">
        <is>
          <t>Provision 36</t>
        </is>
      </c>
      <c r="C31" s="5" t="inlineStr">
        <is>
          <t>GV-CMT-002</t>
        </is>
      </c>
      <c r="D31" s="5" t="inlineStr">
        <is>
          <t>CDE-G159</t>
        </is>
      </c>
    </row>
    <row r="32" ht="15" customHeight="1" s="6">
      <c r="A32" s="5" t="inlineStr">
        <is>
          <t>UK Corporate Governance Code 2024</t>
        </is>
      </c>
      <c r="B32" s="5" t="inlineStr">
        <is>
          <t>Provision 37</t>
        </is>
      </c>
      <c r="C32" s="5" t="inlineStr">
        <is>
          <t>GV-COMP-PAY-001</t>
        </is>
      </c>
      <c r="D32" s="5" t="inlineStr">
        <is>
          <t>CDE-G127</t>
        </is>
      </c>
      <c r="E32" s="5" t="inlineStr">
        <is>
          <t>Malus/clawback EXISTENCE captured here; provision-level disclosure detail (Provision 38) is a separate narrative fact not yet modeled as a distinct CDE — minor granularity gap, noted</t>
        </is>
      </c>
    </row>
    <row r="33" ht="15" customHeight="1" s="6">
      <c r="A33" s="5" t="inlineStr">
        <is>
          <t>UK Corporate Governance Code 2024</t>
        </is>
      </c>
      <c r="B33" s="5" t="inlineStr">
        <is>
          <t>Provision 38</t>
        </is>
      </c>
      <c r="C33" s="5" t="inlineStr">
        <is>
          <t>GV-COMP-PAY-001</t>
        </is>
      </c>
      <c r="D33" s="5" t="inlineStr">
        <is>
          <t>CDE-G127</t>
        </is>
      </c>
      <c r="E33" s="5" t="inlineStr">
        <is>
          <t>Same CDE as Provision 37 — Code treats existence and disclosure-description as adjacent facts; this CIL does not yet separate them into 2 CDEs, noted as a minor granularity gap</t>
        </is>
      </c>
    </row>
    <row r="34" ht="15" customHeight="1" s="6">
      <c r="A34" s="5" t="inlineStr">
        <is>
          <t>UK Corporate Governance Code 2024</t>
        </is>
      </c>
      <c r="B34" s="5" t="inlineStr">
        <is>
          <t>Provision 39</t>
        </is>
      </c>
      <c r="C34" s="5" t="inlineStr">
        <is>
          <t>GV-COMP-PAY-004</t>
        </is>
      </c>
      <c r="D34" s="5" t="inlineStr">
        <is>
          <t>CDE-G160</t>
        </is>
      </c>
    </row>
    <row r="35" ht="15" customHeight="1" s="6">
      <c r="A35" s="5" t="inlineStr">
        <is>
          <t>UK Corporate Governance Code 2024</t>
        </is>
      </c>
      <c r="B35" s="5" t="inlineStr">
        <is>
          <t>Provision 40</t>
        </is>
      </c>
      <c r="C35" s="5" t="inlineStr">
        <is>
          <t>GV-COMP-PAY-001</t>
        </is>
      </c>
      <c r="D35" s="5" t="inlineStr">
        <is>
          <t>CDE-G161</t>
        </is>
      </c>
    </row>
    <row r="36" ht="15" customHeight="1" s="6">
      <c r="A36" s="5" t="inlineStr">
        <is>
          <t>UK Corporate Governance Code 2024</t>
        </is>
      </c>
      <c r="B36" s="5" t="inlineStr">
        <is>
          <t>Comply-or-Explain Statement</t>
        </is>
      </c>
      <c r="C36" s="5" t="inlineStr">
        <is>
          <t>GV-COD-002</t>
        </is>
      </c>
      <c r="D36" s="5" t="inlineStr">
        <is>
          <t>CDE-G061</t>
        </is>
      </c>
    </row>
    <row r="37" ht="15" customHeight="1" s="6">
      <c r="A37" s="5" t="inlineStr">
        <is>
          <t>OECD Principles of Corporate Governance</t>
        </is>
      </c>
      <c r="B37" s="5" t="inlineStr">
        <is>
          <t>Chapter I</t>
        </is>
      </c>
      <c r="C37" s="5" t="inlineStr">
        <is>
          <t>GV-NOM-002</t>
        </is>
      </c>
      <c r="D37" s="5" t="inlineStr">
        <is>
          <t>CDE-G166</t>
        </is>
      </c>
    </row>
    <row r="38" ht="15" customHeight="1" s="6">
      <c r="A38" s="5" t="inlineStr">
        <is>
          <t>OECD Principles of Corporate Governance</t>
        </is>
      </c>
      <c r="B38" s="5" t="inlineStr">
        <is>
          <t>Chapter II</t>
        </is>
      </c>
      <c r="C38" s="5" t="inlineStr">
        <is>
          <t>GV-SHR-001</t>
        </is>
      </c>
      <c r="D38" s="5" t="inlineStr">
        <is>
          <t>CDE-G046</t>
        </is>
      </c>
    </row>
    <row r="39" ht="15" customHeight="1" s="6">
      <c r="A39" s="5" t="inlineStr">
        <is>
          <t>OECD Principles of Corporate Governance</t>
        </is>
      </c>
      <c r="B39" s="5" t="inlineStr">
        <is>
          <t>Chapter III</t>
        </is>
      </c>
      <c r="C39" s="5" t="inlineStr">
        <is>
          <t>GV-SHR-005</t>
        </is>
      </c>
      <c r="D39" s="5" t="inlineStr">
        <is>
          <t>CDE-G162</t>
        </is>
      </c>
    </row>
    <row r="40" ht="15" customHeight="1" s="6">
      <c r="A40" s="5" t="inlineStr">
        <is>
          <t>OECD Principles of Corporate Governance</t>
        </is>
      </c>
      <c r="B40" s="5" t="inlineStr">
        <is>
          <t>Chapter IV</t>
        </is>
      </c>
      <c r="C40" s="5" t="inlineStr">
        <is>
          <t>GV-RPT-001</t>
        </is>
      </c>
      <c r="D40" s="5" t="inlineStr">
        <is>
          <t>CDE-G054</t>
        </is>
      </c>
    </row>
    <row r="41" ht="15" customHeight="1" s="6">
      <c r="A41" s="5" t="inlineStr">
        <is>
          <t>OECD Principles of Corporate Governance</t>
        </is>
      </c>
      <c r="B41" s="5" t="inlineStr">
        <is>
          <t>Chapter V</t>
        </is>
      </c>
      <c r="C41" s="5" t="inlineStr">
        <is>
          <t>GV-COMP-001</t>
        </is>
      </c>
      <c r="D41" s="5" t="inlineStr">
        <is>
          <t>CDE-G001</t>
        </is>
      </c>
    </row>
    <row r="42" ht="15" customHeight="1" s="6">
      <c r="A42" s="5" t="inlineStr">
        <is>
          <t>OECD Principles of Corporate Governance</t>
        </is>
      </c>
      <c r="B42" s="5" t="inlineStr">
        <is>
          <t>Chapter V</t>
        </is>
      </c>
      <c r="C42" s="5" t="inlineStr">
        <is>
          <t>GV-COMP-002</t>
        </is>
      </c>
      <c r="D42" s="5" t="inlineStr">
        <is>
          <t>CDE-G003</t>
        </is>
      </c>
      <c r="E42" s="5" t="inlineStr">
        <is>
          <t>Same Chapter V citation as the Board-composition row above — OECD Chapter V covers both general board responsibilities and board independence as sub-principles under one chapter; this CIL correctly distinguishes them by BQ, not by a separate Framework Mapping row</t>
        </is>
      </c>
    </row>
    <row r="43" ht="15" customHeight="1" s="6">
      <c r="A43" s="5" t="inlineStr">
        <is>
          <t>OECD Principles of Corporate Governance</t>
        </is>
      </c>
      <c r="B43" s="5" t="inlineStr">
        <is>
          <t>Chapter V (Digital Security)</t>
        </is>
      </c>
      <c r="C43" s="5" t="inlineStr">
        <is>
          <t>GV-COMP-002</t>
        </is>
      </c>
      <c r="D43" s="5" t="inlineStr">
        <is>
          <t>CDE-G167</t>
        </is>
      </c>
    </row>
    <row r="44" ht="15" customHeight="1" s="6">
      <c r="A44" s="5" t="inlineStr">
        <is>
          <t>OECD Principles of Corporate Governance</t>
        </is>
      </c>
      <c r="B44" s="5" t="inlineStr">
        <is>
          <t>Chapter VI</t>
        </is>
      </c>
      <c r="C44" s="5" t="inlineStr">
        <is>
          <t>GV-COMP-002</t>
        </is>
      </c>
      <c r="D44" s="5" t="inlineStr">
        <is>
          <t>CDE-G165</t>
        </is>
      </c>
    </row>
    <row r="45" ht="15" customHeight="1" s="6">
      <c r="A45" s="5" t="inlineStr">
        <is>
          <t>South Africa King IV Code</t>
        </is>
      </c>
      <c r="B45" s="5" t="inlineStr">
        <is>
          <t>Principle 1</t>
        </is>
      </c>
      <c r="C45" s="5" t="inlineStr">
        <is>
          <t>GV-COMP-004</t>
        </is>
      </c>
      <c r="D45" s="5" t="inlineStr">
        <is>
          <t>CDE-G169</t>
        </is>
      </c>
    </row>
    <row r="46" ht="15" customHeight="1" s="6">
      <c r="A46" s="5" t="inlineStr">
        <is>
          <t>South Africa King IV Code</t>
        </is>
      </c>
      <c r="B46" s="5" t="inlineStr">
        <is>
          <t>Principle 2</t>
        </is>
      </c>
      <c r="C46" s="5" t="inlineStr">
        <is>
          <t>GV-EFF-001</t>
        </is>
      </c>
      <c r="D46" s="5" t="inlineStr">
        <is>
          <t>CDE-G170</t>
        </is>
      </c>
    </row>
    <row r="47" ht="15" customHeight="1" s="6">
      <c r="A47" s="5" t="inlineStr">
        <is>
          <t>South Africa King IV Code</t>
        </is>
      </c>
      <c r="B47" s="5" t="inlineStr">
        <is>
          <t>Principle 4</t>
        </is>
      </c>
      <c r="C47" s="5" t="inlineStr">
        <is>
          <t>GV-COD-001</t>
        </is>
      </c>
      <c r="D47" s="5" t="inlineStr">
        <is>
          <t>CDE-G171</t>
        </is>
      </c>
    </row>
    <row r="48" ht="15" customHeight="1" s="6">
      <c r="A48" s="5" t="inlineStr">
        <is>
          <t>South Africa King IV Code</t>
        </is>
      </c>
      <c r="B48" s="5" t="inlineStr">
        <is>
          <t>Principle 6</t>
        </is>
      </c>
      <c r="C48" s="5" t="inlineStr">
        <is>
          <t>GV-CMT-001</t>
        </is>
      </c>
      <c r="D48" s="5" t="inlineStr">
        <is>
          <t>CDE-G172</t>
        </is>
      </c>
    </row>
    <row r="49" ht="15" customHeight="1" s="6">
      <c r="A49" s="5" t="inlineStr">
        <is>
          <t>South Africa King IV Code</t>
        </is>
      </c>
      <c r="B49" s="5" t="inlineStr">
        <is>
          <t>Principle 7</t>
        </is>
      </c>
      <c r="C49" s="5" t="inlineStr">
        <is>
          <t>GV-COMP-001</t>
        </is>
      </c>
      <c r="D49" s="5" t="inlineStr">
        <is>
          <t>CDE-G001</t>
        </is>
      </c>
    </row>
    <row r="50" ht="15" customHeight="1" s="6">
      <c r="A50" s="5" t="inlineStr">
        <is>
          <t>South Africa King IV Code</t>
        </is>
      </c>
      <c r="B50" s="5" t="inlineStr">
        <is>
          <t>Principle 9</t>
        </is>
      </c>
      <c r="C50" s="5" t="inlineStr">
        <is>
          <t>GV-EFF-001</t>
        </is>
      </c>
      <c r="D50" s="5" t="inlineStr">
        <is>
          <t>CDE-G064</t>
        </is>
      </c>
    </row>
    <row r="51" ht="15" customHeight="1" s="6">
      <c r="A51" s="5" t="inlineStr">
        <is>
          <t>South Africa King IV Code</t>
        </is>
      </c>
      <c r="B51" s="5" t="inlineStr">
        <is>
          <t>Principle 12</t>
        </is>
      </c>
      <c r="C51" s="5" t="inlineStr">
        <is>
          <t>GV-COMP-002</t>
        </is>
      </c>
      <c r="D51" s="5" t="inlineStr">
        <is>
          <t>CDE-G173</t>
        </is>
      </c>
    </row>
    <row r="52" ht="15" customHeight="1" s="6">
      <c r="A52" s="5" t="inlineStr">
        <is>
          <t>South Africa King IV Code</t>
        </is>
      </c>
      <c r="B52" s="5" t="inlineStr">
        <is>
          <t>Principle 16</t>
        </is>
      </c>
      <c r="C52" s="5" t="inlineStr">
        <is>
          <t>GV-SHR-005</t>
        </is>
      </c>
      <c r="D52" s="5" t="inlineStr">
        <is>
          <t>CDE-G174</t>
        </is>
      </c>
    </row>
    <row r="53" ht="15" customHeight="1" s="6">
      <c r="A53" s="5" t="inlineStr">
        <is>
          <t>South Africa King IV Code</t>
        </is>
      </c>
      <c r="B53" s="5" t="inlineStr">
        <is>
          <t>Principle 17</t>
        </is>
      </c>
      <c r="C53" s="5" t="inlineStr">
        <is>
          <t>GV-SHR-005</t>
        </is>
      </c>
      <c r="D53" s="5" t="inlineStr">
        <is>
          <t>CDE-G175</t>
        </is>
      </c>
    </row>
    <row r="54" ht="15" customHeight="1" s="6">
      <c r="A54" s="5" t="inlineStr">
        <is>
          <t>US Sarbanes-Oxley Act</t>
        </is>
      </c>
      <c r="B54" s="5" t="inlineStr">
        <is>
          <t>Section 301</t>
        </is>
      </c>
      <c r="C54" s="5" t="inlineStr">
        <is>
          <t>GV-CMT-004</t>
        </is>
      </c>
      <c r="D54" s="5" t="inlineStr">
        <is>
          <t>CDE-G028</t>
        </is>
      </c>
    </row>
    <row r="55" ht="15" customHeight="1" s="6">
      <c r="A55" s="5" t="inlineStr">
        <is>
          <t>US Dodd-Frank Act</t>
        </is>
      </c>
      <c r="B55" s="5" t="inlineStr">
        <is>
          <t>Section 953(b)</t>
        </is>
      </c>
      <c r="C55" s="5" t="inlineStr">
        <is>
          <t>GV-COMP-PAY-002</t>
        </is>
      </c>
      <c r="D55" s="5" t="inlineStr">
        <is>
          <t>CDE-G041</t>
        </is>
      </c>
    </row>
    <row r="56" ht="15" customHeight="1" s="6">
      <c r="A56" s="5" t="inlineStr">
        <is>
          <t>US Dodd-Frank Act</t>
        </is>
      </c>
      <c r="B56" s="5" t="inlineStr">
        <is>
          <t>Section 14A</t>
        </is>
      </c>
      <c r="C56" s="5" t="inlineStr">
        <is>
          <t>GV-COMP-PAY-003</t>
        </is>
      </c>
      <c r="D56" s="5" t="inlineStr">
        <is>
          <t>CDE-G042</t>
        </is>
      </c>
    </row>
    <row r="57" ht="15" customHeight="1" s="6">
      <c r="A57" s="5" t="inlineStr">
        <is>
          <t>US Dodd-Frank Act</t>
        </is>
      </c>
      <c r="B57" s="5" t="inlineStr">
        <is>
          <t>Section 954</t>
        </is>
      </c>
      <c r="C57" s="5" t="inlineStr">
        <is>
          <t>GV-COMP-PAY-001</t>
        </is>
      </c>
      <c r="D57" s="5" t="inlineStr">
        <is>
          <t>CDE-G127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 min="1" max="1"/>
    <col width="30" customWidth="1" style="5" min="2" max="2"/>
    <col width="36" customWidth="1" style="5" min="3" max="3"/>
  </cols>
  <sheetData>
    <row r="1" ht="15" customHeight="1" s="6">
      <c r="A1" s="7" t="inlineStr">
        <is>
          <t>BQ ID</t>
        </is>
      </c>
      <c r="B1" s="7" t="inlineStr">
        <is>
          <t>Executive Question (Q1-Q12)</t>
        </is>
      </c>
      <c r="C1" s="7" t="inlineStr">
        <is>
          <t>Sacred 12 Screen</t>
        </is>
      </c>
    </row>
    <row r="2" ht="15" customHeight="1" s="6">
      <c r="A2" s="8" t="inlineStr">
        <is>
          <t>GV-COMP-001</t>
        </is>
      </c>
      <c r="B2" s="8" t="inlineStr">
        <is>
          <t>Q2 - Who Decides</t>
        </is>
      </c>
      <c r="C2" s="8" t="inlineStr">
        <is>
          <t>S3 Decision Center</t>
        </is>
      </c>
    </row>
    <row r="3" ht="15" customHeight="1" s="6">
      <c r="A3" s="8" t="inlineStr">
        <is>
          <t>GV-COMP-002</t>
        </is>
      </c>
      <c r="B3" s="8" t="inlineStr">
        <is>
          <t>Q2 - Who Decides</t>
        </is>
      </c>
      <c r="C3" s="8" t="inlineStr">
        <is>
          <t>S3 Decision Center</t>
        </is>
      </c>
    </row>
    <row r="4" ht="15" customHeight="1" s="6">
      <c r="A4" s="8" t="inlineStr">
        <is>
          <t>GV-COMP-003</t>
        </is>
      </c>
      <c r="B4" s="8" t="inlineStr">
        <is>
          <t>Q2 - Who Decides</t>
        </is>
      </c>
      <c r="C4" s="8" t="inlineStr">
        <is>
          <t>S3 Decision Center</t>
        </is>
      </c>
    </row>
    <row r="5" ht="15" customHeight="1" s="6">
      <c r="A5" s="8" t="inlineStr">
        <is>
          <t>GV-COMP-004</t>
        </is>
      </c>
      <c r="B5" s="8" t="inlineStr">
        <is>
          <t>Q2 - Who Decides</t>
        </is>
      </c>
      <c r="C5" s="8" t="inlineStr">
        <is>
          <t>S3 Decision Center</t>
        </is>
      </c>
    </row>
    <row r="6" ht="15" customHeight="1" s="6">
      <c r="A6" s="8" t="inlineStr">
        <is>
          <t>GV-COMP-005</t>
        </is>
      </c>
      <c r="B6" s="8" t="inlineStr">
        <is>
          <t>Q2 - Who Decides</t>
        </is>
      </c>
      <c r="C6" s="8" t="inlineStr">
        <is>
          <t>S3 Decision Center</t>
        </is>
      </c>
    </row>
    <row r="7" ht="15" customHeight="1" s="6">
      <c r="A7" s="8" t="inlineStr">
        <is>
          <t>GV-COMP-006</t>
        </is>
      </c>
      <c r="B7" s="8" t="inlineStr">
        <is>
          <t>Q2 - Who Decides</t>
        </is>
      </c>
      <c r="C7" s="8" t="inlineStr">
        <is>
          <t>S3 Decision Center</t>
        </is>
      </c>
    </row>
    <row r="8" ht="15" customHeight="1" s="6">
      <c r="A8" s="8" t="inlineStr">
        <is>
          <t>GV-NOM-001</t>
        </is>
      </c>
      <c r="B8" s="8" t="inlineStr">
        <is>
          <t>Q2 - Who Decides</t>
        </is>
      </c>
      <c r="C8" s="8" t="inlineStr">
        <is>
          <t>S3 Decision Center</t>
        </is>
      </c>
    </row>
    <row r="9" ht="15" customHeight="1" s="6">
      <c r="A9" s="8" t="inlineStr">
        <is>
          <t>GV-NOM-002</t>
        </is>
      </c>
      <c r="B9" s="8" t="inlineStr">
        <is>
          <t>Q2 - Who Decides</t>
        </is>
      </c>
      <c r="C9" s="8" t="inlineStr">
        <is>
          <t>S3 Decision Center</t>
        </is>
      </c>
    </row>
    <row r="10" ht="15" customHeight="1" s="6">
      <c r="A10" s="8" t="inlineStr">
        <is>
          <t>GV-NOM-003</t>
        </is>
      </c>
      <c r="B10" s="8" t="inlineStr">
        <is>
          <t>Q2 - Who Decides</t>
        </is>
      </c>
      <c r="C10" s="8" t="inlineStr">
        <is>
          <t>S3 Decision Center</t>
        </is>
      </c>
    </row>
    <row r="11" ht="15" customHeight="1" s="6">
      <c r="A11" s="8" t="inlineStr">
        <is>
          <t>GV-NOM-004</t>
        </is>
      </c>
      <c r="B11" s="8" t="inlineStr">
        <is>
          <t>Q2 - Who Decides</t>
        </is>
      </c>
      <c r="C11" s="8" t="inlineStr">
        <is>
          <t>S3 Decision Center</t>
        </is>
      </c>
    </row>
    <row r="12" ht="15" customHeight="1" s="6">
      <c r="A12" s="8" t="inlineStr">
        <is>
          <t>GV-CMT-001</t>
        </is>
      </c>
      <c r="B12" s="8" t="inlineStr">
        <is>
          <t>Q2 - Who Decides</t>
        </is>
      </c>
      <c r="C12" s="8" t="inlineStr">
        <is>
          <t>S3 Decision Center</t>
        </is>
      </c>
    </row>
    <row r="13" ht="15" customHeight="1" s="6">
      <c r="A13" s="8" t="inlineStr">
        <is>
          <t>GV-CMT-002</t>
        </is>
      </c>
      <c r="B13" s="8" t="inlineStr">
        <is>
          <t>Q2 - Who Decides</t>
        </is>
      </c>
      <c r="C13" s="8" t="inlineStr">
        <is>
          <t>S3 Decision Center</t>
        </is>
      </c>
    </row>
    <row r="14" ht="15" customHeight="1" s="6">
      <c r="A14" s="8" t="inlineStr">
        <is>
          <t>GV-CMT-003</t>
        </is>
      </c>
      <c r="B14" s="8" t="inlineStr">
        <is>
          <t>Q2 - Who Decides</t>
        </is>
      </c>
      <c r="C14" s="8" t="inlineStr">
        <is>
          <t>S3 Decision Center</t>
        </is>
      </c>
    </row>
    <row r="15" ht="15" customHeight="1" s="6">
      <c r="A15" s="8" t="inlineStr">
        <is>
          <t>GV-CMT-004</t>
        </is>
      </c>
      <c r="B15" s="8" t="inlineStr">
        <is>
          <t>Q2 - Who Decides</t>
        </is>
      </c>
      <c r="C15" s="8" t="inlineStr">
        <is>
          <t>S3 Decision Center</t>
        </is>
      </c>
    </row>
    <row r="16" ht="15" customHeight="1" s="6">
      <c r="A16" s="8" t="inlineStr">
        <is>
          <t>GV-EXEC-001</t>
        </is>
      </c>
      <c r="B16" s="8" t="inlineStr">
        <is>
          <t>Q2 - Who Decides</t>
        </is>
      </c>
      <c r="C16" s="8" t="inlineStr">
        <is>
          <t>S3 Decision Center</t>
        </is>
      </c>
    </row>
    <row r="17" ht="15" customHeight="1" s="6">
      <c r="A17" s="8" t="inlineStr">
        <is>
          <t>GV-EXEC-002</t>
        </is>
      </c>
      <c r="B17" s="8" t="inlineStr">
        <is>
          <t>Q2 - Who Decides</t>
        </is>
      </c>
      <c r="C17" s="8" t="inlineStr">
        <is>
          <t>S3 Decision Center</t>
        </is>
      </c>
    </row>
    <row r="18" ht="15" customHeight="1" s="6">
      <c r="A18" s="8" t="inlineStr">
        <is>
          <t>GV-EXEC-003</t>
        </is>
      </c>
      <c r="B18" s="8" t="inlineStr">
        <is>
          <t>Q2 - Who Decides</t>
        </is>
      </c>
      <c r="C18" s="8" t="inlineStr">
        <is>
          <t>S3 Decision Center</t>
        </is>
      </c>
    </row>
    <row r="19" ht="15" customHeight="1" s="6">
      <c r="A19" s="8" t="inlineStr">
        <is>
          <t>GV-EXEC-004</t>
        </is>
      </c>
      <c r="B19" s="8" t="inlineStr">
        <is>
          <t>Q2 - Who Decides</t>
        </is>
      </c>
      <c r="C19" s="8" t="inlineStr">
        <is>
          <t>S3 Decision Center</t>
        </is>
      </c>
    </row>
    <row r="20" ht="15" customHeight="1" s="6">
      <c r="A20" s="8" t="inlineStr">
        <is>
          <t>GV-COMP-PAY-001</t>
        </is>
      </c>
      <c r="B20" s="8" t="inlineStr">
        <is>
          <t>Q3 - The Money Question</t>
        </is>
      </c>
      <c r="C20" s="8" t="inlineStr">
        <is>
          <t>S6 Financial Performance Center</t>
        </is>
      </c>
    </row>
    <row r="21" ht="15" customHeight="1" s="6">
      <c r="A21" s="8" t="inlineStr">
        <is>
          <t>GV-COMP-PAY-002</t>
        </is>
      </c>
      <c r="B21" s="8" t="inlineStr">
        <is>
          <t>Q3 - The Money Question</t>
        </is>
      </c>
      <c r="C21" s="8" t="inlineStr">
        <is>
          <t>S6 Financial Performance Center</t>
        </is>
      </c>
    </row>
    <row r="22" ht="15" customHeight="1" s="6">
      <c r="A22" s="8" t="inlineStr">
        <is>
          <t>GV-COMP-PAY-003</t>
        </is>
      </c>
      <c r="B22" s="8" t="inlineStr">
        <is>
          <t>Q3 - The Money Question</t>
        </is>
      </c>
      <c r="C22" s="8" t="inlineStr">
        <is>
          <t>S6 Financial Performance Center</t>
        </is>
      </c>
    </row>
    <row r="23" ht="15" customHeight="1" s="6">
      <c r="A23" s="8" t="inlineStr">
        <is>
          <t>GV-COMP-PAY-004</t>
        </is>
      </c>
      <c r="B23" s="8" t="inlineStr">
        <is>
          <t>Q3 - The Money Question</t>
        </is>
      </c>
      <c r="C23" s="8" t="inlineStr">
        <is>
          <t>S6 Financial Performance Center</t>
        </is>
      </c>
    </row>
    <row r="24" ht="15" customHeight="1" s="6">
      <c r="A24" s="8" t="inlineStr">
        <is>
          <t>GV-SHR-001</t>
        </is>
      </c>
      <c r="B24" s="8" t="inlineStr">
        <is>
          <t>Q2 - Who Decides</t>
        </is>
      </c>
      <c r="C24" s="8" t="inlineStr">
        <is>
          <t>S3 Decision Center</t>
        </is>
      </c>
    </row>
    <row r="25" ht="15" customHeight="1" s="6">
      <c r="A25" s="8" t="inlineStr">
        <is>
          <t>GV-SHR-002</t>
        </is>
      </c>
      <c r="B25" s="8" t="inlineStr">
        <is>
          <t>Q2 - Who Decides</t>
        </is>
      </c>
      <c r="C25" s="8" t="inlineStr">
        <is>
          <t>S3 Decision Center</t>
        </is>
      </c>
    </row>
    <row r="26" ht="15" customHeight="1" s="6">
      <c r="A26" s="8" t="inlineStr">
        <is>
          <t>GV-SHR-003</t>
        </is>
      </c>
      <c r="B26" s="8" t="inlineStr">
        <is>
          <t>Q2 - Who Decides</t>
        </is>
      </c>
      <c r="C26" s="8" t="inlineStr">
        <is>
          <t>S3 Decision Center</t>
        </is>
      </c>
    </row>
    <row r="27" ht="15" customHeight="1" s="6">
      <c r="A27" s="8" t="inlineStr">
        <is>
          <t>GV-SHR-004</t>
        </is>
      </c>
      <c r="B27" s="8" t="inlineStr">
        <is>
          <t>Q2 - Who Decides</t>
        </is>
      </c>
      <c r="C27" s="8" t="inlineStr">
        <is>
          <t>S3 Decision Center</t>
        </is>
      </c>
    </row>
    <row r="28" ht="15" customHeight="1" s="6">
      <c r="A28" s="8" t="inlineStr">
        <is>
          <t>GV-RPT-001</t>
        </is>
      </c>
      <c r="B28" s="8" t="inlineStr">
        <is>
          <t>Q6 - Regulatory Exposure</t>
        </is>
      </c>
      <c r="C28" s="8" t="inlineStr">
        <is>
          <t>S7 Regulatory &amp; Compliance Center</t>
        </is>
      </c>
    </row>
    <row r="29" ht="15" customHeight="1" s="6">
      <c r="A29" s="8" t="inlineStr">
        <is>
          <t>GV-RPT-002</t>
        </is>
      </c>
      <c r="B29" s="8" t="inlineStr">
        <is>
          <t>Q6 - Regulatory Exposure</t>
        </is>
      </c>
      <c r="C29" s="8" t="inlineStr">
        <is>
          <t>S7 Regulatory &amp; Compliance Center</t>
        </is>
      </c>
    </row>
    <row r="30" ht="15" customHeight="1" s="6">
      <c r="A30" s="8" t="inlineStr">
        <is>
          <t>GV-RPT-003</t>
        </is>
      </c>
      <c r="B30" s="8" t="inlineStr">
        <is>
          <t>Q6 - Regulatory Exposure</t>
        </is>
      </c>
      <c r="C30" s="8" t="inlineStr">
        <is>
          <t>S7 Regulatory &amp; Compliance Center</t>
        </is>
      </c>
    </row>
    <row r="31" ht="15" customHeight="1" s="6">
      <c r="A31" s="8" t="inlineStr">
        <is>
          <t>GV-COD-001</t>
        </is>
      </c>
      <c r="B31" s="8" t="inlineStr">
        <is>
          <t>Q6 - Regulatory Exposure</t>
        </is>
      </c>
      <c r="C31" s="8" t="inlineStr">
        <is>
          <t>S7 Regulatory &amp; Compliance Center</t>
        </is>
      </c>
    </row>
    <row r="32" ht="15" customHeight="1" s="6">
      <c r="A32" s="8" t="inlineStr">
        <is>
          <t>GV-COD-002</t>
        </is>
      </c>
      <c r="B32" s="8" t="inlineStr">
        <is>
          <t>Q6 - Regulatory Exposure</t>
        </is>
      </c>
      <c r="C32" s="8" t="inlineStr">
        <is>
          <t>S7 Regulatory &amp; Compliance Center</t>
        </is>
      </c>
    </row>
    <row r="33" ht="15" customHeight="1" s="6">
      <c r="A33" s="8" t="inlineStr">
        <is>
          <t>GV-COD-003</t>
        </is>
      </c>
      <c r="B33" s="8" t="inlineStr">
        <is>
          <t>Q6 - Regulatory Exposure</t>
        </is>
      </c>
      <c r="C33" s="8" t="inlineStr">
        <is>
          <t>S7 Regulatory &amp; Compliance Center</t>
        </is>
      </c>
    </row>
    <row r="34" ht="15" customHeight="1" s="6">
      <c r="A34" s="8" t="inlineStr">
        <is>
          <t>GV-EFF-001</t>
        </is>
      </c>
      <c r="B34" s="8" t="inlineStr">
        <is>
          <t>Q12 - Are We Ready</t>
        </is>
      </c>
      <c r="C34" s="8" t="inlineStr">
        <is>
          <t>S12 Executive Readiness</t>
        </is>
      </c>
    </row>
    <row r="35" ht="15" customHeight="1" s="6">
      <c r="A35" s="8" t="inlineStr">
        <is>
          <t>GV-EFF-002</t>
        </is>
      </c>
      <c r="B35" s="8" t="inlineStr">
        <is>
          <t>Q12 - Are We Ready</t>
        </is>
      </c>
      <c r="C35" s="8" t="inlineStr">
        <is>
          <t>S12 Executive Readiness</t>
        </is>
      </c>
    </row>
    <row r="36" ht="15" customHeight="1" s="6">
      <c r="A36" s="8" t="inlineStr">
        <is>
          <t>GV-EFF-003</t>
        </is>
      </c>
      <c r="B36" s="8" t="inlineStr">
        <is>
          <t>Q12 - Are We Ready</t>
        </is>
      </c>
      <c r="C36" s="8" t="inlineStr">
        <is>
          <t>S12 Executive Readiness</t>
        </is>
      </c>
    </row>
    <row r="37" ht="15" customHeight="1" s="6">
      <c r="A37" s="8" t="inlineStr">
        <is>
          <t>GV-CRS-001</t>
        </is>
      </c>
      <c r="B37" s="8" t="inlineStr">
        <is>
          <t>Q4 - The Threat Map</t>
        </is>
      </c>
      <c r="C37" s="8" t="inlineStr">
        <is>
          <t>S4 Risk &amp; Opportunity Center</t>
        </is>
      </c>
    </row>
    <row r="38" ht="15" customHeight="1" s="6">
      <c r="A38" s="8" t="inlineStr">
        <is>
          <t>GV-CRS-002</t>
        </is>
      </c>
      <c r="B38" s="8" t="inlineStr">
        <is>
          <t>Q4 - The Threat Map</t>
        </is>
      </c>
      <c r="C38" s="8" t="inlineStr">
        <is>
          <t>S4 Risk &amp; Opportunity Center</t>
        </is>
      </c>
    </row>
    <row r="39" ht="15" customHeight="1" s="6">
      <c r="A39" s="8" t="inlineStr">
        <is>
          <t>GV-CRS-003</t>
        </is>
      </c>
      <c r="B39" s="8" t="inlineStr">
        <is>
          <t>Q4 - The Threat Map</t>
        </is>
      </c>
      <c r="C39" s="8" t="inlineStr">
        <is>
          <t>S4 Risk &amp; Opportunity Center</t>
        </is>
      </c>
    </row>
    <row r="40" ht="15" customHeight="1" s="6">
      <c r="A40" s="8" t="inlineStr">
        <is>
          <t>GV-COMP-007</t>
        </is>
      </c>
      <c r="B40" s="8" t="inlineStr">
        <is>
          <t>Q2 - Who Decides</t>
        </is>
      </c>
      <c r="C40" s="8" t="inlineStr">
        <is>
          <t>S3 Decision Center</t>
        </is>
      </c>
    </row>
    <row r="41" ht="15" customHeight="1" s="6">
      <c r="A41" s="5" t="inlineStr">
        <is>
          <t>GV-COMP-008</t>
        </is>
      </c>
      <c r="B41" s="5" t="inlineStr">
        <is>
          <t>Q2 - Who Decides</t>
        </is>
      </c>
      <c r="C41" s="5" t="inlineStr">
        <is>
          <t>S3 Decision Center</t>
        </is>
      </c>
    </row>
    <row r="42" ht="15" customHeight="1" s="6">
      <c r="A42" s="5" t="inlineStr">
        <is>
          <t>GV-SHR-005</t>
        </is>
      </c>
      <c r="B42" s="5" t="inlineStr">
        <is>
          <t>Q2 - Who Decides</t>
        </is>
      </c>
      <c r="C42" s="5" t="inlineStr">
        <is>
          <t>S3 Decision Center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5" t="inlineStr">
        <is>
          <t>Check</t>
        </is>
      </c>
      <c r="B1" s="5" t="inlineStr">
        <is>
          <t>Result</t>
        </is>
      </c>
    </row>
    <row r="2">
      <c r="A2" s="5" t="inlineStr">
        <is>
          <t>CDE count = 175</t>
        </is>
      </c>
      <c r="B2" s="5" t="inlineStr">
        <is>
          <t>PASS</t>
        </is>
      </c>
    </row>
    <row r="3">
      <c r="A3" s="5" t="inlineStr">
        <is>
          <t>BQ count = 41</t>
        </is>
      </c>
      <c r="B3" s="5" t="inlineStr">
        <is>
          <t>PASS</t>
        </is>
      </c>
    </row>
    <row r="4">
      <c r="A4" s="5" t="inlineStr">
        <is>
          <t>Gold Standard certification</t>
        </is>
      </c>
      <c r="B4" s="5" t="inlineStr">
        <is>
          <t>CERTIFIED</t>
        </is>
      </c>
    </row>
  </sheetData>
  <pageMargins left="0.75" right="0.75" top="1" bottom="1" header="0.5" footer="0.5"/>
</worksheet>
</file>

<file path=xl/worksheets/sheet16.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Roll-up Level</t>
        </is>
      </c>
      <c r="B1" s="7" t="inlineStr">
        <is>
          <t>Formula / Method</t>
        </is>
      </c>
      <c r="C1" s="7" t="inlineStr">
        <is>
          <t>Worked Example</t>
        </is>
      </c>
    </row>
    <row r="2" ht="15" customHeight="1" s="6">
      <c r="A2" s="8" t="inlineStr">
        <is>
          <t>CDE -&gt; BQ</t>
        </is>
      </c>
      <c r="B2" s="8" t="inlineStr">
        <is>
          <t>BQ Confidence = weighted average of all mapped CDE confidence scores, weighted by Executive Criticality (Required=1.0, Recommended=0.6, Supplemental=0.3)</t>
        </is>
      </c>
      <c r="C2" s="8" t="inlineStr">
        <is>
          <t>GV-COMP-001 has 3 CDEs: Required@90, Recommended@75, Supplemental@60 -&gt; (90+75*0.6+60*0.3)/(1+0.6+0.3) = 153/1.9 = 80.5</t>
        </is>
      </c>
    </row>
    <row r="3" ht="15" customHeight="1" s="6">
      <c r="A3" s="8" t="inlineStr">
        <is>
          <t>BQ -&gt; BIR</t>
        </is>
      </c>
      <c r="B3" s="8" t="inlineStr">
        <is>
          <t>BIR Confidence = simple average of all BQ confidence scores nested under that BIR</t>
        </is>
      </c>
      <c r="C3" s="8" t="inlineStr">
        <is>
          <t>BIR-GV-01 has 6 BQs averaging to 81.2 -&gt; BIR-GV-01 Confidence = 81.2</t>
        </is>
      </c>
    </row>
    <row r="4" ht="15" customHeight="1" s="6">
      <c r="A4" s="8" t="inlineStr">
        <is>
          <t>BIR -&gt; Intelligence Area</t>
        </is>
      </c>
      <c r="B4" s="8" t="inlineStr">
        <is>
          <t>IA Confidence = simple average of all BIR confidence scores nested under that IA (most IAs have exactly 1 BIR, so this is usually 1:1 passthrough)</t>
        </is>
      </c>
      <c r="C4" s="8" t="inlineStr">
        <is>
          <t>Intelligence Area "Board Composition &amp; Structure" has 1 BIR (BIR-GV-01) at 81.2 -&gt; IA Confidence = 81.2</t>
        </is>
      </c>
    </row>
    <row r="5" ht="15" customHeight="1" s="6">
      <c r="A5" s="8" t="inlineStr">
        <is>
          <t>Intelligence Area -&gt; Domain</t>
        </is>
      </c>
      <c r="B5" s="8" t="inlineStr">
        <is>
          <t>Domain Confidence = weighted average of all IA confidence scores, weighted by number of Required CDEs in each IA</t>
        </is>
      </c>
      <c r="C5" s="8" t="inlineStr">
        <is>
          <t>See worked roll-up below for Governance Intelligence domain</t>
        </is>
      </c>
    </row>
    <row r="6" ht="15" customHeight="1" s="6">
      <c r="A6" s="8" t="n"/>
      <c r="B6" s="8" t="n"/>
      <c r="C6" s="8" t="n"/>
    </row>
    <row r="7" ht="15" customHeight="1" s="6">
      <c r="A7" s="9" t="inlineStr">
        <is>
          <t>⚠ REPLICATION NOTE: Rows below are a WORKED EXAMPLE for this domain only. When building another domain, replace the Intelligence Area names and illustrative values with that domain's own — do not leave this domain's labels in place. The FORMULA is domain-agnostic and structural; the ROWS ABOVE the formula are domain-specific content.</t>
        </is>
      </c>
      <c r="B7" s="8" t="n"/>
      <c r="C7" s="8" t="n"/>
    </row>
    <row r="8" ht="15" customHeight="1" s="6">
      <c r="A8" s="8" t="inlineStr">
        <is>
          <t>DOMAIN ROLL-UP WORKED EXAMPLE (Governance Intelligence)</t>
        </is>
      </c>
      <c r="B8" s="8" t="n"/>
      <c r="C8" s="8" t="n"/>
    </row>
    <row r="9" ht="15" customHeight="1" s="6">
      <c r="A9" s="8" t="inlineStr">
        <is>
          <t>Intelligence Area</t>
        </is>
      </c>
      <c r="B9" s="8" t="inlineStr">
        <is>
          <t>Illustrative IA Confidence (0-100)</t>
        </is>
      </c>
      <c r="C9" s="8" t="inlineStr">
        <is>
          <t>Required CDE Count (weight)</t>
        </is>
      </c>
    </row>
    <row r="10" ht="15" customHeight="1" s="6">
      <c r="A10" s="8" t="inlineStr">
        <is>
          <t>Board Composition &amp; Structure</t>
        </is>
      </c>
      <c r="B10" s="8" t="n">
        <v>81</v>
      </c>
      <c r="C10" s="8" t="n">
        <v>5</v>
      </c>
    </row>
    <row r="11" ht="15" customHeight="1" s="6">
      <c r="A11" s="8" t="inlineStr">
        <is>
          <t>Director Nomination, Succession &amp; Evaluation</t>
        </is>
      </c>
      <c r="B11" s="8" t="n">
        <v>76</v>
      </c>
      <c r="C11" s="8" t="n">
        <v>2</v>
      </c>
    </row>
    <row r="12" ht="15" customHeight="1" s="6">
      <c r="A12" s="8" t="inlineStr">
        <is>
          <t>Board Committee Architecture</t>
        </is>
      </c>
      <c r="B12" s="8" t="n">
        <v>79</v>
      </c>
      <c r="C12" s="8" t="n">
        <v>5</v>
      </c>
    </row>
    <row r="13" ht="15" customHeight="1" s="6">
      <c r="A13" s="8" t="inlineStr">
        <is>
          <t>Executive Leadership Governance</t>
        </is>
      </c>
      <c r="B13" s="8" t="n">
        <v>78</v>
      </c>
      <c r="C13" s="8" t="n">
        <v>4</v>
      </c>
    </row>
    <row r="14" ht="15" customHeight="1" s="6">
      <c r="A14" s="8" t="inlineStr">
        <is>
          <t>Executive Compensation Governance</t>
        </is>
      </c>
      <c r="B14" s="8" t="n">
        <v>82</v>
      </c>
      <c r="C14" s="8" t="n">
        <v>4</v>
      </c>
    </row>
    <row r="15" ht="15" customHeight="1" s="6">
      <c r="A15" s="8" t="inlineStr">
        <is>
          <t>Shareholder Rights &amp; Engagement</t>
        </is>
      </c>
      <c r="B15" s="8" t="n">
        <v>74</v>
      </c>
      <c r="C15" s="8" t="n">
        <v>3</v>
      </c>
    </row>
    <row r="16" ht="15" customHeight="1" s="6">
      <c r="A16" s="8" t="inlineStr">
        <is>
          <t>Related-Party Transaction Governance</t>
        </is>
      </c>
      <c r="B16" s="8" t="n">
        <v>80</v>
      </c>
      <c r="C16" s="8" t="n">
        <v>4</v>
      </c>
    </row>
    <row r="17" ht="15" customHeight="1" s="6">
      <c r="A17" s="8" t="inlineStr">
        <is>
          <t>Corporate Governance Disclosure &amp; Codes</t>
        </is>
      </c>
      <c r="B17" s="8" t="n">
        <v>83</v>
      </c>
      <c r="C17" s="8" t="n">
        <v>2</v>
      </c>
    </row>
    <row r="18" ht="15" customHeight="1" s="6">
      <c r="A18" s="8" t="inlineStr">
        <is>
          <t>Board Effectiveness &amp; Self-Assessment</t>
        </is>
      </c>
      <c r="B18" s="8" t="n">
        <v>75</v>
      </c>
      <c r="C18" s="8" t="n">
        <v>2</v>
      </c>
    </row>
    <row r="19" ht="15" customHeight="1" s="6">
      <c r="A19" s="8" t="inlineStr">
        <is>
          <t>Crisis &amp; Succession Governance</t>
        </is>
      </c>
      <c r="B19" s="8" t="n">
        <v>71</v>
      </c>
      <c r="C19" s="8" t="n">
        <v>3</v>
      </c>
    </row>
    <row r="20" ht="15" customHeight="1" s="6">
      <c r="A20" s="8" t="n"/>
      <c r="B20" s="8" t="n"/>
      <c r="C20" s="8" t="n"/>
    </row>
    <row r="21" ht="15" customHeight="1" s="6">
      <c r="A21" s="8" t="inlineStr">
        <is>
          <t>DOMAIN CONFIDENCE (weighted avg)</t>
        </is>
      </c>
      <c r="B21" s="8" t="n"/>
      <c r="C21" s="8" t="n"/>
    </row>
    <row r="22" ht="15" customHeight="1" s="6">
      <c r="A22" s="8" t="inlineStr">
        <is>
          <t>Formula</t>
        </is>
      </c>
      <c r="B22" s="8">
        <f>SUMPRODUCT(B10:B19,C10:C19)/SUM(C10:C19)</f>
        <v/>
      </c>
      <c r="C22" s="8" t="n"/>
    </row>
    <row r="23" ht="15" customHeight="1" s="6">
      <c r="A23" s="8" t="inlineStr">
        <is>
          <t>Computed Domain Confidence</t>
        </is>
      </c>
      <c r="B23" s="8">
        <f>ROUND(B22,1)</f>
        <v/>
      </c>
      <c r="C23" s="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1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39" customWidth="1" style="5" min="3" max="3"/>
    <col width="55" customWidth="1" style="5" min="4" max="5"/>
  </cols>
  <sheetData>
    <row r="1" ht="15" customHeight="1" s="6">
      <c r="A1" s="7" t="inlineStr">
        <is>
          <t>CDE ID</t>
        </is>
      </c>
      <c r="B1" s="7" t="inlineStr">
        <is>
          <t>CDE Name</t>
        </is>
      </c>
      <c r="C1" s="7" t="inlineStr">
        <is>
          <t>System of Record Category</t>
        </is>
      </c>
      <c r="D1" s="7" t="inlineStr">
        <is>
          <t>Specific System Examples</t>
        </is>
      </c>
      <c r="E1" s="7" t="inlineStr">
        <is>
          <t>Notes</t>
        </is>
      </c>
    </row>
    <row r="2" ht="15" customHeight="1" s="6">
      <c r="A2" s="8" t="inlineStr">
        <is>
          <t>CDE-G001</t>
        </is>
      </c>
      <c r="B2" s="8" t="inlineStr">
        <is>
          <t>Total Board Size (Director Count)</t>
        </is>
      </c>
      <c r="C2" s="8" t="inlineStr">
        <is>
          <t>Governance / Board Management System</t>
        </is>
      </c>
      <c r="D2" s="8" t="inlineStr">
        <is>
          <t>Diligent, BoardEffect, Nasdaq Boardvantage — Board portal and minutes archive</t>
        </is>
      </c>
      <c r="E2" s="8" t="inlineStr">
        <is>
          <t>Default Evidence Source declared: Annual Report</t>
        </is>
      </c>
    </row>
    <row r="3" ht="15" customHeight="1" s="6">
      <c r="A3" s="8" t="inlineStr">
        <is>
          <t>CDE-G002</t>
        </is>
      </c>
      <c r="B3" s="8" t="inlineStr">
        <is>
          <t>Executive vs Non-Executive Director Split</t>
        </is>
      </c>
      <c r="C3" s="8" t="inlineStr">
        <is>
          <t>Governance / Board Management System</t>
        </is>
      </c>
      <c r="D3" s="8" t="inlineStr">
        <is>
          <t>Diligent, BoardEffect, Nasdaq Boardvantage — Board portal and minutes archive</t>
        </is>
      </c>
      <c r="E3" s="8" t="inlineStr">
        <is>
          <t>Default Evidence Source declared: Annual Report</t>
        </is>
      </c>
    </row>
    <row r="4" ht="15" customHeight="1" s="6">
      <c r="A4" s="8" t="inlineStr">
        <is>
          <t>CDE-G003</t>
        </is>
      </c>
      <c r="B4" s="8" t="inlineStr">
        <is>
          <t>Board Independence Ratio %</t>
        </is>
      </c>
      <c r="C4" s="8" t="inlineStr">
        <is>
          <t>Governance / Board Management System</t>
        </is>
      </c>
      <c r="D4" s="8" t="inlineStr">
        <is>
          <t>Diligent, BoardEffect, Nasdaq Boardvantage — Board portal and minutes archive</t>
        </is>
      </c>
      <c r="E4" s="8" t="inlineStr">
        <is>
          <t>Default Evidence Source declared: Annual Report</t>
        </is>
      </c>
    </row>
    <row r="5" ht="15" customHeight="1" s="6">
      <c r="A5" s="8" t="inlineStr">
        <is>
          <t>CDE-G004</t>
        </is>
      </c>
      <c r="B5" s="8" t="inlineStr">
        <is>
          <t>Independence Definition/Standard Applied</t>
        </is>
      </c>
      <c r="C5" s="8" t="inlineStr">
        <is>
          <t>Annual Report / Public Filing</t>
        </is>
      </c>
      <c r="D5" s="8" t="inlineStr">
        <is>
          <t>Annual Report corporate governance section</t>
        </is>
      </c>
      <c r="E5" s="8" t="inlineStr">
        <is>
          <t>Default Evidence Source declared: Annual Report</t>
        </is>
      </c>
    </row>
    <row r="6" ht="15" customHeight="1" s="6">
      <c r="A6" s="8" t="inlineStr">
        <is>
          <t>CDE-G005</t>
        </is>
      </c>
      <c r="B6" s="8" t="inlineStr">
        <is>
          <t>Director Skills Matrix Documented</t>
        </is>
      </c>
      <c r="C6" s="8" t="inlineStr">
        <is>
          <t>Governance / Board Management System</t>
        </is>
      </c>
      <c r="D6" s="8" t="inlineStr">
        <is>
          <t>Diligent, BoardEffect, Nasdaq Boardvantage — Board portal and minutes archive</t>
        </is>
      </c>
      <c r="E6" s="8" t="inlineStr">
        <is>
          <t>Default Evidence Source declared: Annual Report</t>
        </is>
      </c>
    </row>
    <row r="7" ht="15" customHeight="1" s="6">
      <c r="A7" s="8" t="inlineStr">
        <is>
          <t>CDE-G006</t>
        </is>
      </c>
      <c r="B7" s="8" t="inlineStr">
        <is>
          <t>Skills Gap Identified by Board Self-Assessment</t>
        </is>
      </c>
      <c r="C7" s="8" t="inlineStr">
        <is>
          <t>Governance / Board Management System</t>
        </is>
      </c>
      <c r="D7" s="8" t="inlineStr">
        <is>
          <t>Diligent, BoardEffect, Nasdaq Boardvantage — Board portal and minutes archive</t>
        </is>
      </c>
      <c r="E7" s="8" t="inlineStr">
        <is>
          <t>Default Evidence Source declared: Annual Report</t>
        </is>
      </c>
    </row>
    <row r="8" ht="15" customHeight="1" s="6">
      <c r="A8" s="8" t="inlineStr">
        <is>
          <t>CDE-G007</t>
        </is>
      </c>
      <c r="B8" s="8" t="inlineStr">
        <is>
          <t>Chair and CEO Roles Separated</t>
        </is>
      </c>
      <c r="C8" s="8" t="inlineStr">
        <is>
          <t>Governance / Board Management System</t>
        </is>
      </c>
      <c r="D8" s="8" t="inlineStr">
        <is>
          <t>Diligent, BoardEffect, Nasdaq Boardvantage — Board portal and minutes archive</t>
        </is>
      </c>
      <c r="E8" s="8" t="inlineStr">
        <is>
          <t>Default Evidence Source declared: Annual Report</t>
        </is>
      </c>
    </row>
    <row r="9" ht="15" customHeight="1" s="6">
      <c r="A9" s="8" t="inlineStr">
        <is>
          <t>CDE-G008</t>
        </is>
      </c>
      <c r="B9" s="8" t="inlineStr">
        <is>
          <t>Counterbalancing Governance Mechanism Documented (If Combined Chair/CEO)</t>
        </is>
      </c>
      <c r="C9" s="8" t="inlineStr">
        <is>
          <t>Governance / Board Management System</t>
        </is>
      </c>
      <c r="D9" s="8" t="inlineStr">
        <is>
          <t>Diligent, BoardEffect, Nasdaq Boardvantage — Board portal and minutes archive</t>
        </is>
      </c>
      <c r="E9" s="8" t="inlineStr">
        <is>
          <t>Default Evidence Source declared: Annual Report</t>
        </is>
      </c>
    </row>
    <row r="10" ht="15" customHeight="1" s="6">
      <c r="A10" s="8" t="inlineStr">
        <is>
          <t>CDE-G009</t>
        </is>
      </c>
      <c r="B10" s="8" t="inlineStr">
        <is>
          <t>Average Board Tenure (Years)</t>
        </is>
      </c>
      <c r="C10" s="8" t="inlineStr">
        <is>
          <t>Governance / Board Management System</t>
        </is>
      </c>
      <c r="D10" s="8" t="inlineStr">
        <is>
          <t>Diligent, BoardEffect, Nasdaq Boardvantage — Board portal and minutes archive</t>
        </is>
      </c>
      <c r="E10" s="8" t="inlineStr">
        <is>
          <t>Default Evidence Source declared: Annual Report</t>
        </is>
      </c>
    </row>
    <row r="11" ht="15" customHeight="1" s="6">
      <c r="A11" s="8" t="inlineStr">
        <is>
          <t>CDE-G010</t>
        </is>
      </c>
      <c r="B11" s="8" t="inlineStr">
        <is>
          <t>Director Tenure or Retirement Age Policy Exists</t>
        </is>
      </c>
      <c r="C11" s="8" t="inlineStr">
        <is>
          <t>Governance / Board Management System</t>
        </is>
      </c>
      <c r="D11" s="8" t="inlineStr">
        <is>
          <t>Diligent, BoardEffect, Nasdaq Boardvantage — Board portal and minutes archive</t>
        </is>
      </c>
      <c r="E11" s="8" t="inlineStr">
        <is>
          <t>Default Evidence Source declared: Annual Report</t>
        </is>
      </c>
    </row>
    <row r="12" ht="15" customHeight="1" s="6">
      <c r="A12" s="8" t="inlineStr">
        <is>
          <t>CDE-G011</t>
        </is>
      </c>
      <c r="B12" s="8" t="inlineStr">
        <is>
          <t>Lead Independent Director or Senior Independent Director Role Exists</t>
        </is>
      </c>
      <c r="C12" s="8" t="inlineStr">
        <is>
          <t>Governance / Board Management System</t>
        </is>
      </c>
      <c r="D12" s="8" t="inlineStr">
        <is>
          <t>Diligent, BoardEffect, Nasdaq Boardvantage — Board portal and minutes archive</t>
        </is>
      </c>
      <c r="E12" s="8" t="inlineStr">
        <is>
          <t>Default Evidence Source declared: Annual Report</t>
        </is>
      </c>
    </row>
    <row r="13" ht="15" customHeight="1" s="6">
      <c r="A13" s="8" t="inlineStr">
        <is>
          <t>CDE-G012</t>
        </is>
      </c>
      <c r="B13" s="8" t="inlineStr">
        <is>
          <t>Lead Independent Director Name</t>
        </is>
      </c>
      <c r="C13" s="8" t="inlineStr">
        <is>
          <t>Governance / Board Management System</t>
        </is>
      </c>
      <c r="D13" s="8" t="inlineStr">
        <is>
          <t>Diligent, BoardEffect, Nasdaq Boardvantage — Board portal and minutes archive</t>
        </is>
      </c>
      <c r="E13" s="8" t="inlineStr">
        <is>
          <t>Default Evidence Source declared: Annual Report</t>
        </is>
      </c>
    </row>
    <row r="14" ht="15" customHeight="1" s="6">
      <c r="A14" s="8" t="inlineStr">
        <is>
          <t>CDE-G013</t>
        </is>
      </c>
      <c r="B14" s="8" t="inlineStr">
        <is>
          <t>Director Nomination Process Documented</t>
        </is>
      </c>
      <c r="C14" s="8" t="inlineStr">
        <is>
          <t>Governance / Board Management System</t>
        </is>
      </c>
      <c r="D14" s="8" t="inlineStr">
        <is>
          <t>Diligent, BoardEffect, Nasdaq Boardvantage — Board portal and minutes archive</t>
        </is>
      </c>
      <c r="E14" s="8" t="inlineStr">
        <is>
          <t>Default Evidence Source declared: Annual Report</t>
        </is>
      </c>
    </row>
    <row r="15" ht="15" customHeight="1" s="6">
      <c r="A15" s="8" t="inlineStr">
        <is>
          <t>CDE-G014</t>
        </is>
      </c>
      <c r="B15" s="8" t="inlineStr">
        <is>
          <t>Director Candidate Sourcing Method (Search Firm/Internal/Shareholder Proposal)</t>
        </is>
      </c>
      <c r="C15" s="8" t="inlineStr">
        <is>
          <t>Governance / Board Management System</t>
        </is>
      </c>
      <c r="D15" s="8" t="inlineStr">
        <is>
          <t>Diligent, BoardEffect, Nasdaq Boardvantage — Board portal and minutes archive</t>
        </is>
      </c>
      <c r="E15" s="8" t="inlineStr">
        <is>
          <t>Default Evidence Source declared: Annual Report</t>
        </is>
      </c>
    </row>
    <row r="16" ht="15" customHeight="1" s="6">
      <c r="A16" s="8" t="inlineStr">
        <is>
          <t>CDE-G015</t>
        </is>
      </c>
      <c r="B16" s="8" t="inlineStr">
        <is>
          <t>Director Succession Plan Documented</t>
        </is>
      </c>
      <c r="C16" s="8" t="inlineStr">
        <is>
          <t>Governance / Board Management System</t>
        </is>
      </c>
      <c r="D16" s="8" t="inlineStr">
        <is>
          <t>Diligent, BoardEffect, Nasdaq Boardvantage — Board portal and minutes archive</t>
        </is>
      </c>
      <c r="E16" s="8" t="inlineStr">
        <is>
          <t>Default Evidence Source declared: Annual Report</t>
        </is>
      </c>
    </row>
    <row r="17" ht="15" customHeight="1" s="6">
      <c r="A17" s="8" t="inlineStr">
        <is>
          <t>CDE-G016</t>
        </is>
      </c>
      <c r="B17" s="8" t="inlineStr">
        <is>
          <t>Anticipated Director Vacancy Count (Next 24 Months)</t>
        </is>
      </c>
      <c r="C17" s="8" t="inlineStr">
        <is>
          <t>Governance / Board Management System</t>
        </is>
      </c>
      <c r="D17" s="8" t="inlineStr">
        <is>
          <t>Diligent, BoardEffect, Nasdaq Boardvantage — Board portal and minutes archive</t>
        </is>
      </c>
      <c r="E17" s="8" t="inlineStr">
        <is>
          <t>Default Evidence Source declared: User Validation</t>
        </is>
      </c>
    </row>
    <row r="18" ht="15" customHeight="1" s="6">
      <c r="A18" s="8" t="inlineStr">
        <is>
          <t>CDE-G017</t>
        </is>
      </c>
      <c r="B18" s="8" t="inlineStr">
        <is>
          <t>Director Onboarding Program Documented</t>
        </is>
      </c>
      <c r="C18" s="8" t="inlineStr">
        <is>
          <t>Governance / Board Management System</t>
        </is>
      </c>
      <c r="D18" s="8" t="inlineStr">
        <is>
          <t>Diligent, BoardEffect, Nasdaq Boardvantage — Board portal and minutes archive</t>
        </is>
      </c>
      <c r="E18" s="8" t="inlineStr">
        <is>
          <t>Default Evidence Source declared: Annual Report</t>
        </is>
      </c>
    </row>
    <row r="19" ht="15" customHeight="1" s="6">
      <c r="A19" s="8" t="inlineStr">
        <is>
          <t>CDE-G018</t>
        </is>
      </c>
      <c r="B19" s="8" t="inlineStr">
        <is>
          <t>Director Continuing Education Hours (Annual Average)</t>
        </is>
      </c>
      <c r="C19" s="8" t="inlineStr">
        <is>
          <t>Governance / Board Management System</t>
        </is>
      </c>
      <c r="D19" s="8" t="inlineStr">
        <is>
          <t>Diligent, BoardEffect, Nasdaq Boardvantage — Board portal and minutes archive</t>
        </is>
      </c>
      <c r="E19" s="8" t="inlineStr">
        <is>
          <t>Default Evidence Source declared: User Validation</t>
        </is>
      </c>
    </row>
    <row r="20" ht="15" customHeight="1" s="6">
      <c r="A20" s="8" t="inlineStr">
        <is>
          <t>CDE-G019</t>
        </is>
      </c>
      <c r="B20" s="8" t="inlineStr">
        <is>
          <t>Directors Up for Re-Election (Current Cycle)</t>
        </is>
      </c>
      <c r="C20" s="8" t="inlineStr">
        <is>
          <t>Governance / Board Management System</t>
        </is>
      </c>
      <c r="D20" s="8" t="inlineStr">
        <is>
          <t>Diligent, BoardEffect, Nasdaq Boardvantage — Board portal and minutes archive</t>
        </is>
      </c>
      <c r="E20" s="8" t="inlineStr">
        <is>
          <t>Default Evidence Source declared: Annual Report</t>
        </is>
      </c>
    </row>
    <row r="21" ht="15" customHeight="1" s="6">
      <c r="A21" s="8" t="inlineStr">
        <is>
          <t>CDE-G020</t>
        </is>
      </c>
      <c r="B21" s="8" t="inlineStr">
        <is>
          <t>Prior Election Shareholder Support Level %</t>
        </is>
      </c>
      <c r="C21" s="8" t="inlineStr">
        <is>
          <t>Investor Relations / Proxy System</t>
        </is>
      </c>
      <c r="D21" s="8" t="inlineStr">
        <is>
          <t>Broadridge, Georgeson — proxy solicitation and shareholder registry</t>
        </is>
      </c>
      <c r="E21" s="8" t="inlineStr">
        <is>
          <t>Default Evidence Source declared: Regulatory Filings</t>
        </is>
      </c>
    </row>
    <row r="22" ht="15" customHeight="1" s="6">
      <c r="A22" s="8" t="inlineStr">
        <is>
          <t>CDE-G021</t>
        </is>
      </c>
      <c r="B22" s="8" t="inlineStr">
        <is>
          <t>Standing Board Committee Inventory (Full List, All Committees)</t>
        </is>
      </c>
      <c r="C22" s="8" t="inlineStr">
        <is>
          <t>Governance / Board Management System</t>
        </is>
      </c>
      <c r="D22" s="8" t="inlineStr">
        <is>
          <t>Diligent, BoardEffect, Nasdaq Boardvantage — Board portal and minutes archive</t>
        </is>
      </c>
      <c r="E22" s="8" t="inlineStr">
        <is>
          <t>Default Evidence Source declared: Annual Report</t>
        </is>
      </c>
    </row>
    <row r="23" ht="15" customHeight="1" s="6">
      <c r="A23" s="8" t="inlineStr">
        <is>
          <t>CDE-G022</t>
        </is>
      </c>
      <c r="B23" s="8" t="inlineStr">
        <is>
          <t>Committee Charter Document Exists (Per Committee)</t>
        </is>
      </c>
      <c r="C23" s="8" t="inlineStr">
        <is>
          <t>Governance / Board Management System</t>
        </is>
      </c>
      <c r="D23" s="8" t="inlineStr">
        <is>
          <t>Diligent, BoardEffect, Nasdaq Boardvantage — Board portal and minutes archive</t>
        </is>
      </c>
      <c r="E23" s="8" t="inlineStr">
        <is>
          <t>Default Evidence Source declared: Annual Report</t>
        </is>
      </c>
    </row>
    <row r="24" ht="15" customHeight="1" s="6">
      <c r="A24" s="8" t="inlineStr">
        <is>
          <t>CDE-G023</t>
        </is>
      </c>
      <c r="B24" s="8" t="inlineStr">
        <is>
          <t>Nomination &amp; Governance Committee Exists</t>
        </is>
      </c>
      <c r="C24" s="8" t="inlineStr">
        <is>
          <t>Governance / Board Management System</t>
        </is>
      </c>
      <c r="D24" s="8" t="inlineStr">
        <is>
          <t>Diligent, BoardEffect, Nasdaq Boardvantage — Board portal and minutes archive</t>
        </is>
      </c>
      <c r="E24" s="8" t="inlineStr">
        <is>
          <t>Default Evidence Source declared: Annual Report</t>
        </is>
      </c>
    </row>
    <row r="25" ht="15" customHeight="1" s="6">
      <c r="A25" s="8" t="inlineStr">
        <is>
          <t>CDE-G024</t>
        </is>
      </c>
      <c r="B25" s="8" t="inlineStr">
        <is>
          <t>Nomination &amp; Governance Committee Member Count</t>
        </is>
      </c>
      <c r="C25" s="8" t="inlineStr">
        <is>
          <t>Governance / Board Management System</t>
        </is>
      </c>
      <c r="D25" s="8" t="inlineStr">
        <is>
          <t>Diligent, BoardEffect, Nasdaq Boardvantage — Board portal and minutes archive</t>
        </is>
      </c>
      <c r="E25" s="8" t="inlineStr">
        <is>
          <t>Default Evidence Source declared: Annual Report</t>
        </is>
      </c>
    </row>
    <row r="26" ht="15" customHeight="1" s="6">
      <c r="A26" s="8" t="inlineStr">
        <is>
          <t>CDE-G025</t>
        </is>
      </c>
      <c r="B26" s="8" t="inlineStr">
        <is>
          <t>Nomination &amp; Governance Committee Chair Name</t>
        </is>
      </c>
      <c r="C26" s="8" t="inlineStr">
        <is>
          <t>Governance / Board Management System</t>
        </is>
      </c>
      <c r="D26" s="8" t="inlineStr">
        <is>
          <t>Diligent, BoardEffect, Nasdaq Boardvantage — Board portal and minutes archive</t>
        </is>
      </c>
      <c r="E26" s="8" t="inlineStr">
        <is>
          <t>Default Evidence Source declared: Annual Report</t>
        </is>
      </c>
    </row>
    <row r="27" ht="15" customHeight="1" s="6">
      <c r="A27" s="8" t="inlineStr">
        <is>
          <t>CDE-G026</t>
        </is>
      </c>
      <c r="B27" s="8" t="inlineStr">
        <is>
          <t>Risk-Category-to-Committee Allocation Matrix Documented</t>
        </is>
      </c>
      <c r="C27" s="8" t="inlineStr">
        <is>
          <t>Governance / Board Management System</t>
        </is>
      </c>
      <c r="D27" s="8" t="inlineStr">
        <is>
          <t>Diligent, BoardEffect, Nasdaq Boardvantage — Board portal and minutes archive</t>
        </is>
      </c>
      <c r="E27" s="8" t="inlineStr">
        <is>
          <t>Default Evidence Source declared: User Validation</t>
        </is>
      </c>
    </row>
    <row r="28" ht="15" customHeight="1" s="6">
      <c r="A28" s="8" t="inlineStr">
        <is>
          <t>CDE-G027</t>
        </is>
      </c>
      <c r="B28" s="8" t="inlineStr">
        <is>
          <t>Oversight Gap or Duplication Identified Across Committees</t>
        </is>
      </c>
      <c r="C28" s="8" t="inlineStr">
        <is>
          <t>Governance / Board Management System</t>
        </is>
      </c>
      <c r="D28" s="8" t="inlineStr">
        <is>
          <t>Diligent, BoardEffect, Nasdaq Boardvantage — Board portal and minutes archive</t>
        </is>
      </c>
      <c r="E28" s="8" t="inlineStr">
        <is>
          <t>Default Evidence Source declared: User Validation</t>
        </is>
      </c>
    </row>
    <row r="29" ht="15" customHeight="1" s="6">
      <c r="A29" s="8" t="inlineStr">
        <is>
          <t>CDE-G028</t>
        </is>
      </c>
      <c r="B29" s="8" t="inlineStr">
        <is>
          <t>Audit Committee Financial Expert Requirement Met</t>
        </is>
      </c>
      <c r="C29" s="8" t="inlineStr">
        <is>
          <t>Governance / Board Management System</t>
        </is>
      </c>
      <c r="D29" s="8" t="inlineStr">
        <is>
          <t>Diligent, BoardEffect, Nasdaq Boardvantage — Board portal and minutes archive</t>
        </is>
      </c>
      <c r="E29" s="8" t="inlineStr">
        <is>
          <t>Default Evidence Source declared: Annual Report</t>
        </is>
      </c>
    </row>
    <row r="30" ht="15" customHeight="1" s="6">
      <c r="A30" s="8" t="inlineStr">
        <is>
          <t>CDE-G029</t>
        </is>
      </c>
      <c r="B30" s="8" t="inlineStr">
        <is>
          <t>Audit Committee Member Count</t>
        </is>
      </c>
      <c r="C30" s="8" t="inlineStr">
        <is>
          <t>Governance / Board Management System</t>
        </is>
      </c>
      <c r="D30" s="8" t="inlineStr">
        <is>
          <t>Diligent, BoardEffect, Nasdaq Boardvantage — Board portal and minutes archive</t>
        </is>
      </c>
      <c r="E30" s="8" t="inlineStr">
        <is>
          <t>Default Evidence Source declared: Annual Report</t>
        </is>
      </c>
    </row>
    <row r="31" ht="15" customHeight="1" s="6">
      <c r="A31" s="8" t="inlineStr">
        <is>
          <t>CDE-G030</t>
        </is>
      </c>
      <c r="B31" s="8" t="inlineStr">
        <is>
          <t>Audit Committee Independence %</t>
        </is>
      </c>
      <c r="C31" s="8" t="inlineStr">
        <is>
          <t>Governance / Board Management System</t>
        </is>
      </c>
      <c r="D31" s="8" t="inlineStr">
        <is>
          <t>Diligent, BoardEffect, Nasdaq Boardvantage — Board portal and minutes archive</t>
        </is>
      </c>
      <c r="E31" s="8" t="inlineStr">
        <is>
          <t>Default Evidence Source declared: Annual Report</t>
        </is>
      </c>
    </row>
    <row r="32" ht="15" customHeight="1" s="6">
      <c r="A32" s="8" t="inlineStr">
        <is>
          <t>CDE-G031</t>
        </is>
      </c>
      <c r="B32" s="8" t="inlineStr">
        <is>
          <t>CEO Succession Plan Documented</t>
        </is>
      </c>
      <c r="C32" s="8" t="inlineStr">
        <is>
          <t>Annual Report / Public Filing</t>
        </is>
      </c>
      <c r="D32" s="8" t="inlineStr">
        <is>
          <t>Annual Report corporate governance section</t>
        </is>
      </c>
      <c r="E32" s="8" t="inlineStr">
        <is>
          <t>Default Evidence Source declared: Annual Report</t>
        </is>
      </c>
    </row>
    <row r="33" ht="15" customHeight="1" s="6">
      <c r="A33" s="8" t="inlineStr">
        <is>
          <t>CDE-G032</t>
        </is>
      </c>
      <c r="B33" s="8" t="inlineStr">
        <is>
          <t>CEO Succession Plan Last Reviewed Date</t>
        </is>
      </c>
      <c r="C33" s="8" t="inlineStr">
        <is>
          <t>Governance / Board Management System</t>
        </is>
      </c>
      <c r="D33" s="8" t="inlineStr">
        <is>
          <t>Board minutes archive</t>
        </is>
      </c>
      <c r="E33" s="8" t="inlineStr">
        <is>
          <t>Default Evidence Source declared: Board Minutes</t>
        </is>
      </c>
    </row>
    <row r="34" ht="15" customHeight="1" s="6">
      <c r="A34" s="8" t="inlineStr">
        <is>
          <t>CDE-G033</t>
        </is>
      </c>
      <c r="B34" s="8" t="inlineStr">
        <is>
          <t>Emergency/Interim CEO Succession Protocol Documented</t>
        </is>
      </c>
      <c r="C34" s="8" t="inlineStr">
        <is>
          <t>Governance / Board Management System</t>
        </is>
      </c>
      <c r="D34" s="8" t="inlineStr">
        <is>
          <t>Board minutes archive</t>
        </is>
      </c>
      <c r="E34" s="8" t="inlineStr">
        <is>
          <t>Default Evidence Source declared: Board Minutes</t>
        </is>
      </c>
    </row>
    <row r="35" ht="15" customHeight="1" s="6">
      <c r="A35" s="8" t="inlineStr">
        <is>
          <t>CDE-G034</t>
        </is>
      </c>
      <c r="B35" s="8" t="inlineStr">
        <is>
          <t>Designated Interim CEO Successor Identified</t>
        </is>
      </c>
      <c r="C35" s="8" t="inlineStr">
        <is>
          <t>Governance / Board Management System</t>
        </is>
      </c>
      <c r="D35" s="8" t="inlineStr">
        <is>
          <t>Board minutes archive</t>
        </is>
      </c>
      <c r="E35" s="8" t="inlineStr">
        <is>
          <t>Default Evidence Source declared: Board Minutes</t>
        </is>
      </c>
    </row>
    <row r="36" ht="15" customHeight="1" s="6">
      <c r="A36" s="8" t="inlineStr">
        <is>
          <t>CDE-G035</t>
        </is>
      </c>
      <c r="B36" s="8" t="inlineStr">
        <is>
          <t>Formal CEO Performance Evaluation Process Exists</t>
        </is>
      </c>
      <c r="C36" s="8" t="inlineStr">
        <is>
          <t>Annual Report / Public Filing</t>
        </is>
      </c>
      <c r="D36" s="8" t="inlineStr">
        <is>
          <t>Annual Report corporate governance section</t>
        </is>
      </c>
      <c r="E36" s="8" t="inlineStr">
        <is>
          <t>Default Evidence Source declared: Annual Report</t>
        </is>
      </c>
    </row>
    <row r="37" ht="15" customHeight="1" s="6">
      <c r="A37" s="8" t="inlineStr">
        <is>
          <t>CDE-G036</t>
        </is>
      </c>
      <c r="B37" s="8" t="inlineStr">
        <is>
          <t>CEO Evaluation Frequency</t>
        </is>
      </c>
      <c r="C37" s="8" t="inlineStr">
        <is>
          <t>Governance / Board Management System</t>
        </is>
      </c>
      <c r="D37" s="8" t="inlineStr">
        <is>
          <t>Board minutes archive</t>
        </is>
      </c>
      <c r="E37" s="8" t="inlineStr">
        <is>
          <t>Default Evidence Source declared: Board Minutes</t>
        </is>
      </c>
    </row>
    <row r="38" ht="15" customHeight="1" s="6">
      <c r="A38" s="8" t="inlineStr">
        <is>
          <t>CDE-G037</t>
        </is>
      </c>
      <c r="B38" s="8" t="inlineStr">
        <is>
          <t>Executive Succession Pipeline Depth Documented (Below CEO Level)</t>
        </is>
      </c>
      <c r="C38" s="8" t="inlineStr">
        <is>
          <t>Governance / Board Management System</t>
        </is>
      </c>
      <c r="D38" s="8" t="inlineStr">
        <is>
          <t>Diligent — executive succession planning module</t>
        </is>
      </c>
      <c r="E38" s="8" t="inlineStr">
        <is>
          <t>Default Evidence Source declared: User Validation</t>
        </is>
      </c>
    </row>
    <row r="39" ht="15" customHeight="1" s="6">
      <c r="A39" s="8" t="inlineStr">
        <is>
          <t>CDE-G038</t>
        </is>
      </c>
      <c r="B39" s="8" t="inlineStr">
        <is>
          <t>Critical Executive Roles Without an Identified Successor (Count)</t>
        </is>
      </c>
      <c r="C39" s="8" t="inlineStr">
        <is>
          <t>Governance / Board Management System</t>
        </is>
      </c>
      <c r="D39" s="8" t="inlineStr">
        <is>
          <t>Diligent — succession pipeline gap tracking</t>
        </is>
      </c>
      <c r="E39" s="8" t="inlineStr">
        <is>
          <t>Default Evidence Source declared: User Validation</t>
        </is>
      </c>
    </row>
    <row r="40" ht="15" customHeight="1" s="6">
      <c r="A40" s="8" t="inlineStr">
        <is>
          <t>CDE-G039</t>
        </is>
      </c>
      <c r="B40" s="8" t="inlineStr">
        <is>
          <t>Compensation Committee Exists and Governs Executive Pay Design</t>
        </is>
      </c>
      <c r="C40" s="8" t="inlineStr">
        <is>
          <t>Governance / Board Management System</t>
        </is>
      </c>
      <c r="D40" s="8" t="inlineStr">
        <is>
          <t>Diligent, BoardEffect, Nasdaq Boardvantage — Board portal and minutes archive</t>
        </is>
      </c>
      <c r="E40" s="8" t="inlineStr">
        <is>
          <t>Default Evidence Source declared: Annual Report</t>
        </is>
      </c>
    </row>
    <row r="41" ht="15" customHeight="1" s="6">
      <c r="A41" s="8" t="inlineStr">
        <is>
          <t>CDE-G040</t>
        </is>
      </c>
      <c r="B41" s="8" t="inlineStr">
        <is>
          <t>Compensation Committee Independence %</t>
        </is>
      </c>
      <c r="C41" s="8" t="inlineStr">
        <is>
          <t>Governance / Board Management System</t>
        </is>
      </c>
      <c r="D41" s="8" t="inlineStr">
        <is>
          <t>Diligent, BoardEffect, Nasdaq Boardvantage — Board portal and minutes archive</t>
        </is>
      </c>
      <c r="E41" s="8" t="inlineStr">
        <is>
          <t>Default Evidence Source declared: Annual Report</t>
        </is>
      </c>
    </row>
    <row r="42" ht="15" customHeight="1" s="6">
      <c r="A42" s="8" t="inlineStr">
        <is>
          <t>CDE-G041</t>
        </is>
      </c>
      <c r="B42" s="8" t="inlineStr">
        <is>
          <t>CEO Pay Ratio (CEO Compensation to Median Employee Compensation)</t>
        </is>
      </c>
      <c r="C42" s="8" t="inlineStr">
        <is>
          <t>Governance / Board Management System</t>
        </is>
      </c>
      <c r="D42" s="8" t="inlineStr">
        <is>
          <t>Diligent, compensation consultant benchmarking platform</t>
        </is>
      </c>
      <c r="E42" s="8" t="inlineStr">
        <is>
          <t>Default Evidence Source declared: Regulatory Filings</t>
        </is>
      </c>
    </row>
    <row r="43" ht="15" customHeight="1" s="6">
      <c r="A43" s="8" t="inlineStr">
        <is>
          <t>CDE-G042</t>
        </is>
      </c>
      <c r="B43" s="8" t="inlineStr">
        <is>
          <t>Say-on-Pay Vote Result (% Support)</t>
        </is>
      </c>
      <c r="C43" s="8" t="inlineStr">
        <is>
          <t>Governance / Board Management System</t>
        </is>
      </c>
      <c r="D43" s="8" t="inlineStr">
        <is>
          <t>Diligent, compensation consultant benchmarking platform</t>
        </is>
      </c>
      <c r="E43" s="8" t="inlineStr">
        <is>
          <t>Default Evidence Source declared: Regulatory Filings</t>
        </is>
      </c>
    </row>
    <row r="44" ht="15" customHeight="1" s="6">
      <c r="A44" s="8" t="inlineStr">
        <is>
          <t>CDE-G043</t>
        </is>
      </c>
      <c r="B44" s="8" t="inlineStr">
        <is>
          <t>Board Response to Say-on-Pay Result Documented (If Below Threshold)</t>
        </is>
      </c>
      <c r="C44" s="8" t="inlineStr">
        <is>
          <t>Governance / Board Management System</t>
        </is>
      </c>
      <c r="D44" s="8" t="inlineStr">
        <is>
          <t>Diligent, BoardEffect, Nasdaq Boardvantage — Board portal and minutes archive</t>
        </is>
      </c>
      <c r="E44" s="8" t="inlineStr">
        <is>
          <t>Default Evidence Source declared: Annual Report</t>
        </is>
      </c>
    </row>
    <row r="45" ht="15" customHeight="1" s="6">
      <c r="A45" s="8" t="inlineStr">
        <is>
          <t>CDE-G044</t>
        </is>
      </c>
      <c r="B45" s="8" t="inlineStr">
        <is>
          <t>Director Compensation Structure Documented</t>
        </is>
      </c>
      <c r="C45" s="8" t="inlineStr">
        <is>
          <t>Governance / Board Management System</t>
        </is>
      </c>
      <c r="D45" s="8" t="inlineStr">
        <is>
          <t>Diligent, BoardEffect, Nasdaq Boardvantage — Board portal and minutes archive</t>
        </is>
      </c>
      <c r="E45" s="8" t="inlineStr">
        <is>
          <t>Default Evidence Source declared: Annual Report</t>
        </is>
      </c>
    </row>
    <row r="46" ht="15" customHeight="1" s="6">
      <c r="A46" s="8" t="inlineStr">
        <is>
          <t>CDE-G045</t>
        </is>
      </c>
      <c r="B46" s="8" t="inlineStr">
        <is>
          <t>Director Compensation Benchmarked by Independent Consultant</t>
        </is>
      </c>
      <c r="C46" s="8" t="inlineStr">
        <is>
          <t>Governance / Board Management System</t>
        </is>
      </c>
      <c r="D46" s="8" t="inlineStr">
        <is>
          <t>Diligent, BoardEffect, Nasdaq Boardvantage — Board portal and minutes archive</t>
        </is>
      </c>
      <c r="E46" s="8" t="inlineStr">
        <is>
          <t>Default Evidence Source declared: User Validation</t>
        </is>
      </c>
    </row>
    <row r="47" ht="15" customHeight="1" s="6">
      <c r="A47" s="8" t="inlineStr">
        <is>
          <t>CDE-G046</t>
        </is>
      </c>
      <c r="B47" s="8" t="inlineStr">
        <is>
          <t>Shareholder Voting Rights Structure (One-Share-One-Vote/Dual-Class/Other)</t>
        </is>
      </c>
      <c r="C47" s="8" t="inlineStr">
        <is>
          <t>Investor Relations / Proxy System</t>
        </is>
      </c>
      <c r="D47" s="8" t="inlineStr">
        <is>
          <t>Broadridge, Georgeson — proxy solicitation and shareholder registry</t>
        </is>
      </c>
      <c r="E47" s="8" t="inlineStr">
        <is>
          <t>Default Evidence Source declared: Annual Report</t>
        </is>
      </c>
    </row>
    <row r="48" ht="15" customHeight="1" s="6">
      <c r="A48" s="8" t="inlineStr">
        <is>
          <t>CDE-G047</t>
        </is>
      </c>
      <c r="B48" s="8" t="inlineStr">
        <is>
          <t>Dual-Class Voting Ratio (If Applicable)</t>
        </is>
      </c>
      <c r="C48" s="8" t="inlineStr">
        <is>
          <t>Investor Relations / Proxy System</t>
        </is>
      </c>
      <c r="D48" s="8" t="inlineStr">
        <is>
          <t>Broadridge, Georgeson — proxy solicitation and shareholder registry</t>
        </is>
      </c>
      <c r="E48" s="8" t="inlineStr">
        <is>
          <t>Default Evidence Source declared: Annual Report</t>
        </is>
      </c>
    </row>
    <row r="49" ht="15" customHeight="1" s="6">
      <c r="A49" s="8" t="inlineStr">
        <is>
          <t>CDE-G048</t>
        </is>
      </c>
      <c r="B49" s="8" t="inlineStr">
        <is>
          <t>Shareholder Proxy Access Rights Documented</t>
        </is>
      </c>
      <c r="C49" s="8" t="inlineStr">
        <is>
          <t>Investor Relations / Proxy System</t>
        </is>
      </c>
      <c r="D49" s="8" t="inlineStr">
        <is>
          <t>Broadridge, Georgeson — proxy solicitation and shareholder registry</t>
        </is>
      </c>
      <c r="E49" s="8" t="inlineStr">
        <is>
          <t>Default Evidence Source declared: Annual Report</t>
        </is>
      </c>
    </row>
    <row r="50" ht="15" customHeight="1" s="6">
      <c r="A50" s="8" t="inlineStr">
        <is>
          <t>CDE-G049</t>
        </is>
      </c>
      <c r="B50" s="8" t="inlineStr">
        <is>
          <t>Proxy Access Ownership/Holding-Period Threshold</t>
        </is>
      </c>
      <c r="C50" s="8" t="inlineStr">
        <is>
          <t>Investor Relations / Proxy System</t>
        </is>
      </c>
      <c r="D50" s="8" t="inlineStr">
        <is>
          <t>Broadridge, Georgeson — proxy solicitation and shareholder registry</t>
        </is>
      </c>
      <c r="E50" s="8" t="inlineStr">
        <is>
          <t>Default Evidence Source declared: Annual Report</t>
        </is>
      </c>
    </row>
    <row r="51" ht="15" customHeight="1" s="6">
      <c r="A51" s="8" t="inlineStr">
        <is>
          <t>CDE-G050</t>
        </is>
      </c>
      <c r="B51" s="8" t="inlineStr">
        <is>
          <t>Formal Shareholder Engagement Program Documented (Outside AGM)</t>
        </is>
      </c>
      <c r="C51" s="8" t="inlineStr">
        <is>
          <t>Investor Relations / Proxy System</t>
        </is>
      </c>
      <c r="D51" s="8" t="inlineStr">
        <is>
          <t>Broadridge, Georgeson — proxy solicitation and shareholder registry</t>
        </is>
      </c>
      <c r="E51" s="8" t="inlineStr">
        <is>
          <t>Default Evidence Source declared: Annual Report</t>
        </is>
      </c>
    </row>
    <row r="52" ht="15" customHeight="1" s="6">
      <c r="A52" s="8" t="inlineStr">
        <is>
          <t>CDE-G051</t>
        </is>
      </c>
      <c r="B52" s="8" t="inlineStr">
        <is>
          <t>Shareholder Engagement Meetings Held (Current Period)</t>
        </is>
      </c>
      <c r="C52" s="8" t="inlineStr">
        <is>
          <t>Investor Relations / Proxy System</t>
        </is>
      </c>
      <c r="D52" s="8" t="inlineStr">
        <is>
          <t>Broadridge, Georgeson — proxy solicitation and shareholder registry</t>
        </is>
      </c>
      <c r="E52" s="8" t="inlineStr">
        <is>
          <t>Default Evidence Source declared: User Validation</t>
        </is>
      </c>
    </row>
    <row r="53" ht="15" customHeight="1" s="6">
      <c r="A53" s="8" t="inlineStr">
        <is>
          <t>CDE-G052</t>
        </is>
      </c>
      <c r="B53" s="8" t="inlineStr">
        <is>
          <t>Anti-Takeover Defense Mechanism Exists (Poison Pill/Staggered Board/Other)</t>
        </is>
      </c>
      <c r="C53" s="8" t="inlineStr">
        <is>
          <t>Governance / Board Management System</t>
        </is>
      </c>
      <c r="D53" s="8" t="inlineStr">
        <is>
          <t>Diligent, BoardEffect, Nasdaq Boardvantage — Board portal and minutes archive</t>
        </is>
      </c>
      <c r="E53" s="8" t="inlineStr">
        <is>
          <t>Default Evidence Source declared: Annual Report</t>
        </is>
      </c>
    </row>
    <row r="54" ht="15" customHeight="1" s="6">
      <c r="A54" s="8" t="inlineStr">
        <is>
          <t>CDE-G053</t>
        </is>
      </c>
      <c r="B54" s="8" t="inlineStr">
        <is>
          <t>Anti-Takeover Mechanism Type and Description</t>
        </is>
      </c>
      <c r="C54" s="8" t="inlineStr">
        <is>
          <t>Investor Relations / Proxy System</t>
        </is>
      </c>
      <c r="D54" s="8" t="inlineStr">
        <is>
          <t>Broadridge, Georgeson — proxy solicitation and shareholder registry</t>
        </is>
      </c>
      <c r="E54" s="8" t="inlineStr">
        <is>
          <t>Default Evidence Source declared: Annual Report</t>
        </is>
      </c>
    </row>
    <row r="55" ht="15" customHeight="1" s="6">
      <c r="A55" s="8" t="inlineStr">
        <is>
          <t>CDE-G054</t>
        </is>
      </c>
      <c r="B55" s="8" t="inlineStr">
        <is>
          <t>Related-Party Transaction Identification and Approval Process Documented</t>
        </is>
      </c>
      <c r="C55" s="8" t="inlineStr">
        <is>
          <t>Governance / Board Management System</t>
        </is>
      </c>
      <c r="D55" s="8" t="inlineStr">
        <is>
          <t>Diligent — related-party transaction tracking module</t>
        </is>
      </c>
      <c r="E55" s="8" t="inlineStr">
        <is>
          <t>Default Evidence Source declared: Annual Report</t>
        </is>
      </c>
    </row>
    <row r="56" ht="15" customHeight="1" s="6">
      <c r="A56" s="8" t="inlineStr">
        <is>
          <t>CDE-G055</t>
        </is>
      </c>
      <c r="B56" s="8" t="inlineStr">
        <is>
          <t>Related-Party Transaction Approval Authority (Board/Committee/Independent Directors)</t>
        </is>
      </c>
      <c r="C56" s="8" t="inlineStr">
        <is>
          <t>Governance / Board Management System</t>
        </is>
      </c>
      <c r="D56" s="8" t="inlineStr">
        <is>
          <t>Diligent, BoardEffect, Nasdaq Boardvantage — Board portal and minutes archive</t>
        </is>
      </c>
      <c r="E56" s="8" t="inlineStr">
        <is>
          <t>Default Evidence Source declared: Annual Report</t>
        </is>
      </c>
    </row>
    <row r="57" ht="15" customHeight="1" s="6">
      <c r="A57" s="8" t="inlineStr">
        <is>
          <t>CDE-G056</t>
        </is>
      </c>
      <c r="B57" s="8" t="inlineStr">
        <is>
          <t>Related-Party Transactions Occurred (Current Period, Count)</t>
        </is>
      </c>
      <c r="C57" s="8" t="inlineStr">
        <is>
          <t>Governance / Board Management System</t>
        </is>
      </c>
      <c r="D57" s="8" t="inlineStr">
        <is>
          <t>Diligent — related-party transaction tracking module</t>
        </is>
      </c>
      <c r="E57" s="8" t="inlineStr">
        <is>
          <t>Default Evidence Source declared: Regulatory Filings</t>
        </is>
      </c>
    </row>
    <row r="58" ht="15" customHeight="1" s="6">
      <c r="A58" s="8" t="inlineStr">
        <is>
          <t>CDE-G057</t>
        </is>
      </c>
      <c r="B58" s="8" t="inlineStr">
        <is>
          <t>Related-Party Transaction Independently Approved (Per Transaction)</t>
        </is>
      </c>
      <c r="C58" s="8" t="inlineStr">
        <is>
          <t>Governance / Board Management System</t>
        </is>
      </c>
      <c r="D58" s="8" t="inlineStr">
        <is>
          <t>Diligent — related-party transaction tracking module</t>
        </is>
      </c>
      <c r="E58" s="8" t="inlineStr">
        <is>
          <t>Default Evidence Source declared: Regulatory Filings</t>
        </is>
      </c>
    </row>
    <row r="59" ht="15" customHeight="1" s="6">
      <c r="A59" s="8" t="inlineStr">
        <is>
          <t>CDE-G058</t>
        </is>
      </c>
      <c r="B59" s="8" t="inlineStr">
        <is>
          <t>Formal Related-Party Transaction Policy Exists</t>
        </is>
      </c>
      <c r="C59" s="8" t="inlineStr">
        <is>
          <t>Governance / Board Management System</t>
        </is>
      </c>
      <c r="D59" s="8" t="inlineStr">
        <is>
          <t>Diligent — related-party transaction tracking module</t>
        </is>
      </c>
      <c r="E59" s="8" t="inlineStr">
        <is>
          <t>Default Evidence Source declared: Annual Report</t>
        </is>
      </c>
    </row>
    <row r="60" ht="15" customHeight="1" s="6">
      <c r="A60" s="8" t="inlineStr">
        <is>
          <t>CDE-G059</t>
        </is>
      </c>
      <c r="B60" s="8" t="inlineStr">
        <is>
          <t>Related-Party Transaction Policy Last Reviewed Date</t>
        </is>
      </c>
      <c r="C60" s="8" t="inlineStr">
        <is>
          <t>Governance / Board Management System</t>
        </is>
      </c>
      <c r="D60" s="8" t="inlineStr">
        <is>
          <t>Diligent — related-party transaction tracking module</t>
        </is>
      </c>
      <c r="E60" s="8" t="inlineStr">
        <is>
          <t>Default Evidence Source declared: Annual Report</t>
        </is>
      </c>
    </row>
    <row r="61" ht="15" customHeight="1" s="6">
      <c r="A61" s="8" t="inlineStr">
        <is>
          <t>CDE-G060</t>
        </is>
      </c>
      <c r="B61" s="8" t="inlineStr">
        <is>
          <t>Corporate Governance Code Followed</t>
        </is>
      </c>
      <c r="C61" s="8" t="inlineStr">
        <is>
          <t>Annual Report / Public Filing</t>
        </is>
      </c>
      <c r="D61" s="8" t="inlineStr">
        <is>
          <t>Annual Report corporate governance statement</t>
        </is>
      </c>
      <c r="E61" s="8" t="inlineStr">
        <is>
          <t>Default Evidence Source declared: Annual Report</t>
        </is>
      </c>
    </row>
    <row r="62" ht="15" customHeight="1" s="6">
      <c r="A62" s="8" t="inlineStr">
        <is>
          <t>CDE-G061</t>
        </is>
      </c>
      <c r="B62" s="8" t="inlineStr">
        <is>
          <t>Comply-or-Explain Departures from Governance Code (Count)</t>
        </is>
      </c>
      <c r="C62" s="8" t="inlineStr">
        <is>
          <t>Annual Report / Public Filing</t>
        </is>
      </c>
      <c r="D62" s="8" t="inlineStr">
        <is>
          <t>Annual Report corporate governance statement</t>
        </is>
      </c>
      <c r="E62" s="8" t="inlineStr">
        <is>
          <t>Default Evidence Source declared: Annual Report</t>
        </is>
      </c>
    </row>
    <row r="63" ht="15" customHeight="1" s="6">
      <c r="A63" s="8" t="inlineStr">
        <is>
          <t>CDE-G062</t>
        </is>
      </c>
      <c r="B63" s="8" t="inlineStr">
        <is>
          <t>Comply-or-Explain Departure Description</t>
        </is>
      </c>
      <c r="C63" s="8" t="inlineStr">
        <is>
          <t>Annual Report / Public Filing</t>
        </is>
      </c>
      <c r="D63" s="8" t="inlineStr">
        <is>
          <t>Annual Report corporate governance statement</t>
        </is>
      </c>
      <c r="E63" s="8" t="inlineStr">
        <is>
          <t>Default Evidence Source declared: Annual Report</t>
        </is>
      </c>
    </row>
    <row r="64" ht="15" customHeight="1" s="6">
      <c r="A64" s="8" t="inlineStr">
        <is>
          <t>CDE-G063</t>
        </is>
      </c>
      <c r="B64" s="8" t="inlineStr">
        <is>
          <t>Independent Corporate Governance Rating/Score</t>
        </is>
      </c>
      <c r="C64" s="8" t="inlineStr">
        <is>
          <t>Annual Report / Public Filing</t>
        </is>
      </c>
      <c r="D64" s="8" t="inlineStr">
        <is>
          <t>Annual Report corporate governance statement</t>
        </is>
      </c>
      <c r="E64" s="8" t="inlineStr">
        <is>
          <t>Default Evidence Source declared: User Validation</t>
        </is>
      </c>
    </row>
    <row r="65" ht="15" customHeight="1" s="6">
      <c r="A65" s="8" t="inlineStr">
        <is>
          <t>CDE-G064</t>
        </is>
      </c>
      <c r="B65" s="8" t="inlineStr">
        <is>
          <t>Board Self-Assessment or External Evaluation Process Exists</t>
        </is>
      </c>
      <c r="C65" s="8" t="inlineStr">
        <is>
          <t>Governance / Board Management System</t>
        </is>
      </c>
      <c r="D65" s="8" t="inlineStr">
        <is>
          <t>Diligent, BoardEffect, Nasdaq Boardvantage — Board portal and minutes archive</t>
        </is>
      </c>
      <c r="E65" s="8" t="inlineStr">
        <is>
          <t>Default Evidence Source declared: Annual Report</t>
        </is>
      </c>
    </row>
    <row r="66" ht="15" customHeight="1" s="6">
      <c r="A66" s="8" t="inlineStr">
        <is>
          <t>CDE-G065</t>
        </is>
      </c>
      <c r="B66" s="8" t="inlineStr">
        <is>
          <t>Board Evaluation Frequency</t>
        </is>
      </c>
      <c r="C66" s="8" t="inlineStr">
        <is>
          <t>Governance / Board Management System</t>
        </is>
      </c>
      <c r="D66" s="8" t="inlineStr">
        <is>
          <t>Diligent, BoardEffect, Nasdaq Boardvantage — Board portal and minutes archive</t>
        </is>
      </c>
      <c r="E66" s="8" t="inlineStr">
        <is>
          <t>Default Evidence Source declared: Annual Report</t>
        </is>
      </c>
    </row>
    <row r="67" ht="15" customHeight="1" s="6">
      <c r="A67" s="8" t="inlineStr">
        <is>
          <t>CDE-G066</t>
        </is>
      </c>
      <c r="B67" s="8" t="inlineStr">
        <is>
          <t>Board Evaluation Conducted by External Facilitator</t>
        </is>
      </c>
      <c r="C67" s="8" t="inlineStr">
        <is>
          <t>Governance / Board Management System</t>
        </is>
      </c>
      <c r="D67" s="8" t="inlineStr">
        <is>
          <t>Diligent, BoardEffect, Nasdaq Boardvantage — Board portal and minutes archive</t>
        </is>
      </c>
      <c r="E67" s="8" t="inlineStr">
        <is>
          <t>Default Evidence Source declared: Annual Report</t>
        </is>
      </c>
    </row>
    <row r="68" ht="15" customHeight="1" s="6">
      <c r="A68" s="8" t="inlineStr">
        <is>
          <t>CDE-G067</t>
        </is>
      </c>
      <c r="B68" s="8" t="inlineStr">
        <is>
          <t>Actions Taken in Response to Latest Board Evaluation Documented</t>
        </is>
      </c>
      <c r="C68" s="8" t="inlineStr">
        <is>
          <t>Governance / Board Management System</t>
        </is>
      </c>
      <c r="D68" s="8" t="inlineStr">
        <is>
          <t>Diligent, BoardEffect, Nasdaq Boardvantage — Board portal and minutes archive</t>
        </is>
      </c>
      <c r="E68" s="8" t="inlineStr">
        <is>
          <t>Default Evidence Source declared: Annual Report</t>
        </is>
      </c>
    </row>
    <row r="69" ht="15" customHeight="1" s="6">
      <c r="A69" s="8" t="inlineStr">
        <is>
          <t>CDE-G068</t>
        </is>
      </c>
      <c r="B69" s="8" t="inlineStr">
        <is>
          <t>Board Evaluation Action Item Description</t>
        </is>
      </c>
      <c r="C69" s="8" t="inlineStr">
        <is>
          <t>Governance / Board Management System</t>
        </is>
      </c>
      <c r="D69" s="8" t="inlineStr">
        <is>
          <t>Diligent, BoardEffect, Nasdaq Boardvantage — Board portal and minutes archive</t>
        </is>
      </c>
      <c r="E69" s="8" t="inlineStr">
        <is>
          <t>Default Evidence Source declared: Board Minutes</t>
        </is>
      </c>
    </row>
    <row r="70" ht="15" customHeight="1" s="6">
      <c r="A70" s="8" t="inlineStr">
        <is>
          <t>CDE-G069</t>
        </is>
      </c>
      <c r="B70" s="8" t="inlineStr">
        <is>
          <t>Individual Director Peer-Evaluation Process Exists</t>
        </is>
      </c>
      <c r="C70" s="8" t="inlineStr">
        <is>
          <t>Governance / Board Management System</t>
        </is>
      </c>
      <c r="D70" s="8" t="inlineStr">
        <is>
          <t>Diligent, BoardEffect, Nasdaq Boardvantage — Board portal and minutes archive</t>
        </is>
      </c>
      <c r="E70" s="8" t="inlineStr">
        <is>
          <t>Default Evidence Source declared: User Validation</t>
        </is>
      </c>
    </row>
    <row r="71" ht="15" customHeight="1" s="6">
      <c r="A71" s="8" t="inlineStr">
        <is>
          <t>CDE-G070</t>
        </is>
      </c>
      <c r="B71" s="8" t="inlineStr">
        <is>
          <t>Director Peer-Evaluation Conducted (Current Cycle)</t>
        </is>
      </c>
      <c r="C71" s="8" t="inlineStr">
        <is>
          <t>Governance / Board Management System</t>
        </is>
      </c>
      <c r="D71" s="8" t="inlineStr">
        <is>
          <t>Diligent, BoardEffect, Nasdaq Boardvantage — Board portal and minutes archive</t>
        </is>
      </c>
      <c r="E71" s="8" t="inlineStr">
        <is>
          <t>Default Evidence Source declared: User Validation</t>
        </is>
      </c>
    </row>
    <row r="72" ht="15" customHeight="1" s="6">
      <c r="A72" s="8" t="inlineStr">
        <is>
          <t>CDE-G071</t>
        </is>
      </c>
      <c r="B72" s="8" t="inlineStr">
        <is>
          <t>Director Peer-Evaluation Outcome Used in Re-Nomination Decision</t>
        </is>
      </c>
      <c r="C72" s="8" t="inlineStr">
        <is>
          <t>Governance / Board Management System</t>
        </is>
      </c>
      <c r="D72" s="8" t="inlineStr">
        <is>
          <t>Diligent, BoardEffect, Nasdaq Boardvantage — Board portal and minutes archive</t>
        </is>
      </c>
      <c r="E72" s="8" t="inlineStr">
        <is>
          <t>Default Evidence Source declared: User Validation</t>
        </is>
      </c>
    </row>
    <row r="73" ht="15" customHeight="1" s="6">
      <c r="A73" s="8" t="inlineStr">
        <is>
          <t>CDE-G072</t>
        </is>
      </c>
      <c r="B73" s="8" t="inlineStr">
        <is>
          <t>Activist Investor Response Protocol Documented</t>
        </is>
      </c>
      <c r="C73" s="8" t="inlineStr">
        <is>
          <t>Human Judgment / Internal Assessment</t>
        </is>
      </c>
      <c r="D73" s="8" t="inlineStr">
        <is>
          <t>General Counsel/Board Chair crisis protocol documentation</t>
        </is>
      </c>
      <c r="E73" s="8" t="inlineStr">
        <is>
          <t>Default Evidence Source declared: Board Minutes</t>
        </is>
      </c>
    </row>
    <row r="74" ht="15" customHeight="1" s="6">
      <c r="A74" s="8" t="inlineStr">
        <is>
          <t>CDE-G073</t>
        </is>
      </c>
      <c r="B74" s="8" t="inlineStr">
        <is>
          <t>Designated Activist-Response Committee or Working Group Exists</t>
        </is>
      </c>
      <c r="C74" s="8" t="inlineStr">
        <is>
          <t>Governance / Board Management System</t>
        </is>
      </c>
      <c r="D74" s="8" t="inlineStr">
        <is>
          <t>Diligent, BoardEffect, Nasdaq Boardvantage — Board portal and minutes archive</t>
        </is>
      </c>
      <c r="E74" s="8" t="inlineStr">
        <is>
          <t>Default Evidence Source declared: Board Minutes</t>
        </is>
      </c>
    </row>
    <row r="75" ht="15" customHeight="1" s="6">
      <c r="A75" s="8" t="inlineStr">
        <is>
          <t>CDE-G074</t>
        </is>
      </c>
      <c r="B75" s="8" t="inlineStr">
        <is>
          <t>Board-Level Crisis-Management Governance Structure Documented</t>
        </is>
      </c>
      <c r="C75" s="8" t="inlineStr">
        <is>
          <t>Governance / Board Management System</t>
        </is>
      </c>
      <c r="D75" s="8" t="inlineStr">
        <is>
          <t>Diligent, BoardEffect, Nasdaq Boardvantage — Board portal and minutes archive</t>
        </is>
      </c>
      <c r="E75" s="8" t="inlineStr">
        <is>
          <t>Default Evidence Source declared: Board Minutes</t>
        </is>
      </c>
    </row>
    <row r="76" ht="15" customHeight="1" s="6">
      <c r="A76" s="8" t="inlineStr">
        <is>
          <t>CDE-G075</t>
        </is>
      </c>
      <c r="B76" s="8" t="inlineStr">
        <is>
          <t>Crisis Decision-Making Authority Delegation Documented</t>
        </is>
      </c>
      <c r="C76" s="8" t="inlineStr">
        <is>
          <t>Human Judgment / Internal Assessment</t>
        </is>
      </c>
      <c r="D76" s="8" t="inlineStr">
        <is>
          <t>General Counsel/Board Chair crisis protocol documentation</t>
        </is>
      </c>
      <c r="E76" s="8" t="inlineStr">
        <is>
          <t>Default Evidence Source declared: Board Minutes</t>
        </is>
      </c>
    </row>
    <row r="77" ht="15" customHeight="1" s="6">
      <c r="A77" s="8" t="inlineStr">
        <is>
          <t>CDE-G076</t>
        </is>
      </c>
      <c r="B77" s="8" t="inlineStr">
        <is>
          <t>No-Confidence Vote, Mass Resignation, or Contested Election Occurred (Historical)</t>
        </is>
      </c>
      <c r="C77" s="8" t="inlineStr">
        <is>
          <t>Annual Report / Public Filing</t>
        </is>
      </c>
      <c r="D77" s="8" t="inlineStr">
        <is>
          <t>Annual Report/regulatory filing historical governance event disclosure</t>
        </is>
      </c>
      <c r="E77" s="8" t="inlineStr">
        <is>
          <t>Default Evidence Source declared: User Validation</t>
        </is>
      </c>
    </row>
    <row r="78" ht="15" customHeight="1" s="6">
      <c r="A78" s="8" t="inlineStr">
        <is>
          <t>CDE-G077</t>
        </is>
      </c>
      <c r="B78" s="8" t="inlineStr">
        <is>
          <t>Governance Crisis Event Description and Date</t>
        </is>
      </c>
      <c r="C78" s="8" t="inlineStr">
        <is>
          <t>Human Judgment / Internal Assessment</t>
        </is>
      </c>
      <c r="D78" s="8" t="inlineStr">
        <is>
          <t>General Counsel/Board Chair crisis protocol documentation</t>
        </is>
      </c>
      <c r="E78" s="8" t="inlineStr">
        <is>
          <t>Default Evidence Source declared: User Validation</t>
        </is>
      </c>
    </row>
    <row r="79" ht="15" customHeight="1" s="6">
      <c r="A79" s="8" t="inlineStr">
        <is>
          <t>CDE-G078</t>
        </is>
      </c>
      <c r="B79" s="8" t="inlineStr">
        <is>
          <t>Board Meeting Attendance Rate %</t>
        </is>
      </c>
      <c r="C79" s="8" t="inlineStr">
        <is>
          <t>Governance / Board Management System</t>
        </is>
      </c>
      <c r="D79" s="8" t="inlineStr">
        <is>
          <t>Diligent, BoardEffect, Nasdaq Boardvantage — Board portal and minutes archive</t>
        </is>
      </c>
      <c r="E79" s="8" t="inlineStr">
        <is>
          <t>Default Evidence Source declared: Annual Report</t>
        </is>
      </c>
    </row>
    <row r="80" ht="15" customHeight="1" s="6">
      <c r="A80" s="8" t="inlineStr">
        <is>
          <t>CDE-G079</t>
        </is>
      </c>
      <c r="B80" s="8" t="inlineStr">
        <is>
          <t>Independence Last Reassessed Date</t>
        </is>
      </c>
      <c r="C80" s="8" t="inlineStr">
        <is>
          <t>Annual Report / Public Filing</t>
        </is>
      </c>
      <c r="D80" s="8" t="inlineStr">
        <is>
          <t>Annual Report corporate governance section</t>
        </is>
      </c>
      <c r="E80" s="8" t="inlineStr">
        <is>
          <t>Default Evidence Source declared: Annual Report</t>
        </is>
      </c>
    </row>
    <row r="81" ht="15" customHeight="1" s="6">
      <c r="A81" s="8" t="inlineStr">
        <is>
          <t>CDE-G080</t>
        </is>
      </c>
      <c r="B81" s="8" t="inlineStr">
        <is>
          <t>Skills Matrix Last Updated Date</t>
        </is>
      </c>
      <c r="C81" s="8" t="inlineStr">
        <is>
          <t>Annual Report / Public Filing</t>
        </is>
      </c>
      <c r="D81" s="8" t="inlineStr">
        <is>
          <t>Annual Report corporate governance section</t>
        </is>
      </c>
      <c r="E81" s="8" t="inlineStr">
        <is>
          <t>Default Evidence Source declared: Annual Report</t>
        </is>
      </c>
    </row>
    <row r="82" ht="15" customHeight="1" s="6">
      <c r="A82" s="8" t="inlineStr">
        <is>
          <t>CDE-G081</t>
        </is>
      </c>
      <c r="B82" s="8" t="inlineStr">
        <is>
          <t>Combined Chair/CEO Arrangement Disclosed Rationale</t>
        </is>
      </c>
      <c r="C82" s="8" t="inlineStr">
        <is>
          <t>Governance / Board Management System</t>
        </is>
      </c>
      <c r="D82" s="8" t="inlineStr">
        <is>
          <t>Diligent, BoardEffect, Nasdaq Boardvantage — Board portal and minutes archive</t>
        </is>
      </c>
      <c r="E82" s="8" t="inlineStr">
        <is>
          <t>Default Evidence Source declared: Annual Report</t>
        </is>
      </c>
    </row>
    <row r="83" ht="15" customHeight="1" s="6">
      <c r="A83" s="8" t="inlineStr">
        <is>
          <t>CDE-G082</t>
        </is>
      </c>
      <c r="B83" s="8" t="inlineStr">
        <is>
          <t>Longest-Serving Director Tenure (Years)</t>
        </is>
      </c>
      <c r="C83" s="8" t="inlineStr">
        <is>
          <t>Governance / Board Management System</t>
        </is>
      </c>
      <c r="D83" s="8" t="inlineStr">
        <is>
          <t>Diligent, BoardEffect, Nasdaq Boardvantage — Board portal and minutes archive</t>
        </is>
      </c>
      <c r="E83" s="8" t="inlineStr">
        <is>
          <t>Default Evidence Source declared: Annual Report</t>
        </is>
      </c>
    </row>
    <row r="84" ht="15" customHeight="1" s="6">
      <c r="A84" s="8" t="inlineStr">
        <is>
          <t>CDE-G083</t>
        </is>
      </c>
      <c r="B84" s="8" t="inlineStr">
        <is>
          <t>Lead Independent Director Responsibilities Documented</t>
        </is>
      </c>
      <c r="C84" s="8" t="inlineStr">
        <is>
          <t>Governance / Board Management System</t>
        </is>
      </c>
      <c r="D84" s="8" t="inlineStr">
        <is>
          <t>Diligent, BoardEffect, Nasdaq Boardvantage — Board portal and minutes archive</t>
        </is>
      </c>
      <c r="E84" s="8" t="inlineStr">
        <is>
          <t>Default Evidence Source declared: Annual Report</t>
        </is>
      </c>
    </row>
    <row r="85" ht="15" customHeight="1" s="6">
      <c r="A85" s="8" t="inlineStr">
        <is>
          <t>CDE-G084</t>
        </is>
      </c>
      <c r="B85" s="8" t="inlineStr">
        <is>
          <t>Director Diversity Sourcing Considered in Nomination Process</t>
        </is>
      </c>
      <c r="C85" s="8" t="inlineStr">
        <is>
          <t>Governance / Board Management System</t>
        </is>
      </c>
      <c r="D85" s="8" t="inlineStr">
        <is>
          <t>Diligent, BoardEffect, Nasdaq Boardvantage — Board portal and minutes archive</t>
        </is>
      </c>
      <c r="E85" s="8" t="inlineStr">
        <is>
          <t>Default Evidence Source declared: Annual Report</t>
        </is>
      </c>
    </row>
    <row r="86" ht="15" customHeight="1" s="6">
      <c r="A86" s="8" t="inlineStr">
        <is>
          <t>CDE-G085</t>
        </is>
      </c>
      <c r="B86" s="8" t="inlineStr">
        <is>
          <t>Succession Plan Last Reviewed Date</t>
        </is>
      </c>
      <c r="C86" s="8" t="inlineStr">
        <is>
          <t>Governance / Board Management System</t>
        </is>
      </c>
      <c r="D86" s="8" t="inlineStr">
        <is>
          <t>Board minutes archive</t>
        </is>
      </c>
      <c r="E86" s="8" t="inlineStr">
        <is>
          <t>Default Evidence Source declared: Board Minutes</t>
        </is>
      </c>
    </row>
    <row r="87" ht="15" customHeight="1" s="6">
      <c r="A87" s="8" t="inlineStr">
        <is>
          <t>CDE-G086</t>
        </is>
      </c>
      <c r="B87" s="8" t="inlineStr">
        <is>
          <t>Onboarding Program Duration (Days)</t>
        </is>
      </c>
      <c r="C87" s="8" t="inlineStr">
        <is>
          <t>Governance / Board Management System</t>
        </is>
      </c>
      <c r="D87" s="8" t="inlineStr">
        <is>
          <t>Diligent, BoardEffect, Nasdaq Boardvantage — Board portal and minutes archive</t>
        </is>
      </c>
      <c r="E87" s="8" t="inlineStr">
        <is>
          <t>Default Evidence Source declared: User Validation</t>
        </is>
      </c>
    </row>
    <row r="88" ht="15" customHeight="1" s="6">
      <c r="A88" s="8" t="inlineStr">
        <is>
          <t>CDE-G087</t>
        </is>
      </c>
      <c r="B88" s="8" t="inlineStr">
        <is>
          <t>Re-Election Recommendation Source (Nomination Committee/Full Board)</t>
        </is>
      </c>
      <c r="C88" s="8" t="inlineStr">
        <is>
          <t>Governance / Board Management System</t>
        </is>
      </c>
      <c r="D88" s="8" t="inlineStr">
        <is>
          <t>Diligent, BoardEffect, Nasdaq Boardvantage — Board portal and minutes archive</t>
        </is>
      </c>
      <c r="E88" s="8" t="inlineStr">
        <is>
          <t>Default Evidence Source declared: Annual Report</t>
        </is>
      </c>
    </row>
    <row r="89" ht="15" customHeight="1" s="6">
      <c r="A89" s="8" t="inlineStr">
        <is>
          <t>CDE-G088</t>
        </is>
      </c>
      <c r="B89" s="8" t="inlineStr">
        <is>
          <t>Committee Membership Overlap Across Multiple Committees (Per Director)</t>
        </is>
      </c>
      <c r="C89" s="8" t="inlineStr">
        <is>
          <t>Governance / Board Management System</t>
        </is>
      </c>
      <c r="D89" s="8" t="inlineStr">
        <is>
          <t>Diligent, BoardEffect, Nasdaq Boardvantage — Board portal and minutes archive</t>
        </is>
      </c>
      <c r="E89" s="8" t="inlineStr">
        <is>
          <t>Default Evidence Source declared: Annual Report</t>
        </is>
      </c>
    </row>
    <row r="90" ht="15" customHeight="1" s="6">
      <c r="A90" s="8" t="inlineStr">
        <is>
          <t>CDE-G089</t>
        </is>
      </c>
      <c r="B90" s="8" t="inlineStr">
        <is>
          <t>Oversight Allocation Last Reviewed Date</t>
        </is>
      </c>
      <c r="C90" s="8" t="inlineStr">
        <is>
          <t>Governance / Board Management System</t>
        </is>
      </c>
      <c r="D90" s="8" t="inlineStr">
        <is>
          <t>Board minutes archive</t>
        </is>
      </c>
      <c r="E90" s="8" t="inlineStr">
        <is>
          <t>Default Evidence Source declared: Board Minutes</t>
        </is>
      </c>
    </row>
    <row r="91" ht="15" customHeight="1" s="6">
      <c r="A91" s="8" t="inlineStr">
        <is>
          <t>CDE-G090</t>
        </is>
      </c>
      <c r="B91" s="8" t="inlineStr">
        <is>
          <t>CEO Succession Candidate Pool Size</t>
        </is>
      </c>
      <c r="C91" s="8" t="inlineStr">
        <is>
          <t>Governance / Board Management System</t>
        </is>
      </c>
      <c r="D91" s="8" t="inlineStr">
        <is>
          <t>Diligent — CEO succession candidate tracking module</t>
        </is>
      </c>
      <c r="E91" s="8" t="inlineStr">
        <is>
          <t>Default Evidence Source declared: User Validation</t>
        </is>
      </c>
    </row>
    <row r="92" ht="15" customHeight="1" s="6">
      <c r="A92" s="8" t="inlineStr">
        <is>
          <t>CDE-G091</t>
        </is>
      </c>
      <c r="B92" s="8" t="inlineStr">
        <is>
          <t>Emergency Succession Protocol Last Tested/Drilled</t>
        </is>
      </c>
      <c r="C92" s="8" t="inlineStr">
        <is>
          <t>Human Judgment / Internal Assessment</t>
        </is>
      </c>
      <c r="D92" s="8" t="inlineStr">
        <is>
          <t>Board Chair/General Counsel protocol drill documentation</t>
        </is>
      </c>
      <c r="E92" s="8" t="inlineStr">
        <is>
          <t>Default Evidence Source declared: User Validation</t>
        </is>
      </c>
    </row>
    <row r="93" ht="15" customHeight="1" s="6">
      <c r="A93" s="8" t="inlineStr">
        <is>
          <t>CDE-G092</t>
        </is>
      </c>
      <c r="B93" s="8" t="inlineStr">
        <is>
          <t>CEO Evaluation Criteria Documented</t>
        </is>
      </c>
      <c r="C93" s="8" t="inlineStr">
        <is>
          <t>Annual Report / Public Filing</t>
        </is>
      </c>
      <c r="D93" s="8" t="inlineStr">
        <is>
          <t>Annual Report corporate governance section</t>
        </is>
      </c>
      <c r="E93" s="8" t="inlineStr">
        <is>
          <t>Default Evidence Source declared: Annual Report</t>
        </is>
      </c>
    </row>
    <row r="94" ht="15" customHeight="1" s="6">
      <c r="A94" s="8" t="inlineStr">
        <is>
          <t>CDE-G093</t>
        </is>
      </c>
      <c r="B94" s="8" t="inlineStr">
        <is>
          <t>Compensation Committee Uses Independent Consultant</t>
        </is>
      </c>
      <c r="C94" s="8" t="inlineStr">
        <is>
          <t>Governance / Board Management System</t>
        </is>
      </c>
      <c r="D94" s="8" t="inlineStr">
        <is>
          <t>Diligent, BoardEffect, Nasdaq Boardvantage — Board portal and minutes archive</t>
        </is>
      </c>
      <c r="E94" s="8" t="inlineStr">
        <is>
          <t>Default Evidence Source declared: Annual Report</t>
        </is>
      </c>
    </row>
    <row r="95" ht="15" customHeight="1" s="6">
      <c r="A95" s="8" t="inlineStr">
        <is>
          <t>CDE-G094</t>
        </is>
      </c>
      <c r="B95" s="8" t="inlineStr">
        <is>
          <t>CEO Pay Ratio Methodology Disclosed</t>
        </is>
      </c>
      <c r="C95" s="8" t="inlineStr">
        <is>
          <t>Governance / Board Management System</t>
        </is>
      </c>
      <c r="D95" s="8" t="inlineStr">
        <is>
          <t>Diligent, compensation consultant benchmarking platform</t>
        </is>
      </c>
      <c r="E95" s="8" t="inlineStr">
        <is>
          <t>Default Evidence Source declared: Regulatory Filings</t>
        </is>
      </c>
    </row>
    <row r="96" ht="15" customHeight="1" s="6">
      <c r="A96" s="8" t="inlineStr">
        <is>
          <t>CDE-G095</t>
        </is>
      </c>
      <c r="B96" s="8" t="inlineStr">
        <is>
          <t>Say-on-Pay Vote Frequency (Annual/Triennial)</t>
        </is>
      </c>
      <c r="C96" s="8" t="inlineStr">
        <is>
          <t>Governance / Board Management System</t>
        </is>
      </c>
      <c r="D96" s="8" t="inlineStr">
        <is>
          <t>Diligent, compensation consultant benchmarking platform</t>
        </is>
      </c>
      <c r="E96" s="8" t="inlineStr">
        <is>
          <t>Default Evidence Source declared: Regulatory Filings</t>
        </is>
      </c>
    </row>
    <row r="97" ht="15" customHeight="1" s="6">
      <c r="A97" s="8" t="inlineStr">
        <is>
          <t>CDE-G096</t>
        </is>
      </c>
      <c r="B97" s="8" t="inlineStr">
        <is>
          <t>Director Equity Ownership Guideline Documented</t>
        </is>
      </c>
      <c r="C97" s="8" t="inlineStr">
        <is>
          <t>Governance / Board Management System</t>
        </is>
      </c>
      <c r="D97" s="8" t="inlineStr">
        <is>
          <t>Diligent, BoardEffect, Nasdaq Boardvantage — Board portal and minutes archive</t>
        </is>
      </c>
      <c r="E97" s="8" t="inlineStr">
        <is>
          <t>Default Evidence Source declared: Annual Report</t>
        </is>
      </c>
    </row>
    <row r="98" ht="15" customHeight="1" s="6">
      <c r="A98" s="8" t="inlineStr">
        <is>
          <t>CDE-G097</t>
        </is>
      </c>
      <c r="B98" s="8" t="inlineStr">
        <is>
          <t>Dual-Class Sunset Provision Exists</t>
        </is>
      </c>
      <c r="C98" s="8" t="inlineStr">
        <is>
          <t>Annual Report / Public Filing</t>
        </is>
      </c>
      <c r="D98" s="8" t="inlineStr">
        <is>
          <t>Annual Report corporate governance section</t>
        </is>
      </c>
      <c r="E98" s="8" t="inlineStr">
        <is>
          <t>Default Evidence Source declared: Annual Report</t>
        </is>
      </c>
    </row>
    <row r="99" ht="15" customHeight="1" s="6">
      <c r="A99" s="8" t="inlineStr">
        <is>
          <t>CDE-G098</t>
        </is>
      </c>
      <c r="B99" s="8" t="inlineStr">
        <is>
          <t>Proxy Access Nominee Limit (Max % of Board Seats)</t>
        </is>
      </c>
      <c r="C99" s="8" t="inlineStr">
        <is>
          <t>Governance / Board Management System</t>
        </is>
      </c>
      <c r="D99" s="8" t="inlineStr">
        <is>
          <t>Diligent, BoardEffect, Nasdaq Boardvantage — Board portal and minutes archive</t>
        </is>
      </c>
      <c r="E99" s="8" t="inlineStr">
        <is>
          <t>Default Evidence Source declared: Annual Report</t>
        </is>
      </c>
    </row>
    <row r="100" ht="15" customHeight="1" s="6">
      <c r="A100" s="8" t="inlineStr">
        <is>
          <t>CDE-G099</t>
        </is>
      </c>
      <c r="B100" s="8" t="inlineStr">
        <is>
          <t>Shareholder Engagement Topics Covered (Most Recent Cycle)</t>
        </is>
      </c>
      <c r="C100" s="8" t="inlineStr">
        <is>
          <t>Investor Relations / Proxy System</t>
        </is>
      </c>
      <c r="D100" s="8" t="inlineStr">
        <is>
          <t>Broadridge, Georgeson — proxy solicitation and shareholder registry</t>
        </is>
      </c>
      <c r="E100" s="8" t="inlineStr">
        <is>
          <t>Default Evidence Source declared: User Validation</t>
        </is>
      </c>
    </row>
    <row r="101" ht="15" customHeight="1" s="6">
      <c r="A101" s="8" t="inlineStr">
        <is>
          <t>CDE-G100</t>
        </is>
      </c>
      <c r="B101" s="8" t="inlineStr">
        <is>
          <t>Anti-Takeover Mechanism Shareholder-Approved</t>
        </is>
      </c>
      <c r="C101" s="8" t="inlineStr">
        <is>
          <t>Investor Relations / Proxy System</t>
        </is>
      </c>
      <c r="D101" s="8" t="inlineStr">
        <is>
          <t>Broadridge, Georgeson — proxy solicitation and shareholder registry</t>
        </is>
      </c>
      <c r="E101" s="8" t="inlineStr">
        <is>
          <t>Default Evidence Source declared: Annual Report</t>
        </is>
      </c>
    </row>
    <row r="102" ht="15" customHeight="1" s="6">
      <c r="A102" s="8" t="inlineStr">
        <is>
          <t>CDE-G101</t>
        </is>
      </c>
      <c r="B102" s="8" t="inlineStr">
        <is>
          <t>Related-Party Transaction Recusal Policy Documented</t>
        </is>
      </c>
      <c r="C102" s="8" t="inlineStr">
        <is>
          <t>Governance / Board Management System</t>
        </is>
      </c>
      <c r="D102" s="8" t="inlineStr">
        <is>
          <t>Diligent — related-party transaction tracking module</t>
        </is>
      </c>
      <c r="E102" s="8" t="inlineStr">
        <is>
          <t>Default Evidence Source declared: Annual Report</t>
        </is>
      </c>
    </row>
    <row r="103" ht="15" customHeight="1" s="6">
      <c r="A103" s="8" t="inlineStr">
        <is>
          <t>CDE-G102</t>
        </is>
      </c>
      <c r="B103" s="8" t="inlineStr">
        <is>
          <t>Related-Party Transaction Aggregate Value (Current Period)</t>
        </is>
      </c>
      <c r="C103" s="8" t="inlineStr">
        <is>
          <t>Governance / Board Management System</t>
        </is>
      </c>
      <c r="D103" s="8" t="inlineStr">
        <is>
          <t>Diligent — related-party transaction tracking module</t>
        </is>
      </c>
      <c r="E103" s="8" t="inlineStr">
        <is>
          <t>Default Evidence Source declared: Regulatory Filings</t>
        </is>
      </c>
    </row>
    <row r="104" ht="15" customHeight="1" s="6">
      <c r="A104" s="8" t="inlineStr">
        <is>
          <t>CDE-G103</t>
        </is>
      </c>
      <c r="B104" s="8" t="inlineStr">
        <is>
          <t>Related-Party Transaction Policy Approved By</t>
        </is>
      </c>
      <c r="C104" s="8" t="inlineStr">
        <is>
          <t>Governance / Board Management System</t>
        </is>
      </c>
      <c r="D104" s="8" t="inlineStr">
        <is>
          <t>Diligent — related-party transaction tracking module</t>
        </is>
      </c>
      <c r="E104" s="8" t="inlineStr">
        <is>
          <t>Default Evidence Source declared: Annual Report</t>
        </is>
      </c>
    </row>
    <row r="105" ht="15" customHeight="1" s="6">
      <c r="A105" s="8" t="inlineStr">
        <is>
          <t>CDE-G104</t>
        </is>
      </c>
      <c r="B105" s="8" t="inlineStr">
        <is>
          <t>Governance Code Adoption Date</t>
        </is>
      </c>
      <c r="C105" s="8" t="inlineStr">
        <is>
          <t>Annual Report / Public Filing</t>
        </is>
      </c>
      <c r="D105" s="8" t="inlineStr">
        <is>
          <t>Annual Report corporate governance statement</t>
        </is>
      </c>
      <c r="E105" s="8" t="inlineStr">
        <is>
          <t>Default Evidence Source declared: Annual Report</t>
        </is>
      </c>
    </row>
    <row r="106" ht="15" customHeight="1" s="6">
      <c r="A106" s="8" t="inlineStr">
        <is>
          <t>CDE-G105</t>
        </is>
      </c>
      <c r="B106" s="8" t="inlineStr">
        <is>
          <t>Comply-or-Explain Departure Trend (3yr)</t>
        </is>
      </c>
      <c r="C106" s="8" t="inlineStr">
        <is>
          <t>Annual Report / Public Filing</t>
        </is>
      </c>
      <c r="D106" s="8" t="inlineStr">
        <is>
          <t>Annual Report corporate governance statement</t>
        </is>
      </c>
      <c r="E106" s="8" t="inlineStr">
        <is>
          <t>Default Evidence Source declared: Annual Report</t>
        </is>
      </c>
    </row>
    <row r="107" ht="15" customHeight="1" s="6">
      <c r="A107" s="8" t="inlineStr">
        <is>
          <t>CDE-G106</t>
        </is>
      </c>
      <c r="B107" s="8" t="inlineStr">
        <is>
          <t>Governance Rating Agency Name</t>
        </is>
      </c>
      <c r="C107" s="8" t="inlineStr">
        <is>
          <t>Annual Report / Public Filing</t>
        </is>
      </c>
      <c r="D107" s="8" t="inlineStr">
        <is>
          <t>Annual Report corporate governance statement</t>
        </is>
      </c>
      <c r="E107" s="8" t="inlineStr">
        <is>
          <t>Default Evidence Source declared: User Validation</t>
        </is>
      </c>
    </row>
    <row r="108" ht="15" customHeight="1" s="6">
      <c r="A108" s="8" t="inlineStr">
        <is>
          <t>CDE-G107</t>
        </is>
      </c>
      <c r="B108" s="8" t="inlineStr">
        <is>
          <t>Board Evaluation Action Item Completion Status</t>
        </is>
      </c>
      <c r="C108" s="8" t="inlineStr">
        <is>
          <t>Governance / Board Management System</t>
        </is>
      </c>
      <c r="D108" s="8" t="inlineStr">
        <is>
          <t>Diligent, BoardEffect, Nasdaq Boardvantage — Board portal and minutes archive</t>
        </is>
      </c>
      <c r="E108" s="8" t="inlineStr">
        <is>
          <t>Default Evidence Source declared: Board Minutes</t>
        </is>
      </c>
    </row>
    <row r="109" ht="15" customHeight="1" s="6">
      <c r="A109" s="8" t="inlineStr">
        <is>
          <t>CDE-G108</t>
        </is>
      </c>
      <c r="B109" s="8" t="inlineStr">
        <is>
          <t>Activist-Response Protocol Last Reviewed Date</t>
        </is>
      </c>
      <c r="C109" s="8" t="inlineStr">
        <is>
          <t>Human Judgment / Internal Assessment</t>
        </is>
      </c>
      <c r="D109" s="8" t="inlineStr">
        <is>
          <t>General Counsel/Board Chair crisis protocol documentation</t>
        </is>
      </c>
      <c r="E109" s="8" t="inlineStr">
        <is>
          <t>Default Evidence Source declared: Board Minutes</t>
        </is>
      </c>
    </row>
    <row r="110" ht="15" customHeight="1" s="6">
      <c r="A110" s="8" t="inlineStr">
        <is>
          <t>CDE-G109</t>
        </is>
      </c>
      <c r="B110" s="8" t="inlineStr">
        <is>
          <t>Crisis Governance Structure Last Tested/Drilled</t>
        </is>
      </c>
      <c r="C110" s="8" t="inlineStr">
        <is>
          <t>Human Judgment / Internal Assessment</t>
        </is>
      </c>
      <c r="D110" s="8" t="inlineStr">
        <is>
          <t>General Counsel/Board Chair crisis protocol documentation</t>
        </is>
      </c>
      <c r="E110" s="8" t="inlineStr">
        <is>
          <t>Default Evidence Source declared: User Validation</t>
        </is>
      </c>
    </row>
    <row r="111" ht="15" customHeight="1" s="6">
      <c r="A111" s="8" t="inlineStr">
        <is>
          <t>CDE-G110</t>
        </is>
      </c>
      <c r="B111" s="8" t="inlineStr">
        <is>
          <t>Governance Crisis Event Resolution Outcome</t>
        </is>
      </c>
      <c r="C111" s="8" t="inlineStr">
        <is>
          <t>Human Judgment / Internal Assessment</t>
        </is>
      </c>
      <c r="D111" s="8" t="inlineStr">
        <is>
          <t>General Counsel/Board Chair crisis protocol documentation</t>
        </is>
      </c>
      <c r="E111" s="8" t="inlineStr">
        <is>
          <t>Default Evidence Source declared: User Validation</t>
        </is>
      </c>
    </row>
    <row r="112" ht="15" customHeight="1" s="6">
      <c r="A112" s="8" t="inlineStr">
        <is>
          <t>CDE-G111</t>
        </is>
      </c>
      <c r="B112" s="8" t="inlineStr">
        <is>
          <t>Multiple Governance Codes Followed (If Cross-Listed)</t>
        </is>
      </c>
      <c r="C112" s="8" t="inlineStr">
        <is>
          <t>Annual Report / Public Filing</t>
        </is>
      </c>
      <c r="D112" s="8" t="inlineStr">
        <is>
          <t>Annual Report corporate governance statement</t>
        </is>
      </c>
      <c r="E112" s="8" t="inlineStr">
        <is>
          <t>Default Evidence Source declared: Annual Report</t>
        </is>
      </c>
    </row>
    <row r="113" ht="15" customHeight="1" s="6">
      <c r="A113" s="8" t="inlineStr">
        <is>
          <t>CDE-G112</t>
        </is>
      </c>
      <c r="B113" s="8" t="inlineStr">
        <is>
          <t>Governance Rating Trend (3yr)</t>
        </is>
      </c>
      <c r="C113" s="8" t="inlineStr">
        <is>
          <t>Annual Report / Public Filing</t>
        </is>
      </c>
      <c r="D113" s="8" t="inlineStr">
        <is>
          <t>Annual Report corporate governance statement</t>
        </is>
      </c>
      <c r="E113" s="8" t="inlineStr">
        <is>
          <t>Default Evidence Source declared: User Validation</t>
        </is>
      </c>
    </row>
    <row r="114" ht="15" customHeight="1" s="6">
      <c r="A114" s="8" t="inlineStr">
        <is>
          <t>CDE-G113</t>
        </is>
      </c>
      <c r="B114" s="8" t="inlineStr">
        <is>
          <t>Succession Pipeline Last Reviewed Date</t>
        </is>
      </c>
      <c r="C114" s="8" t="inlineStr">
        <is>
          <t>Governance / Board Management System</t>
        </is>
      </c>
      <c r="D114" s="8" t="inlineStr">
        <is>
          <t>Board minutes archive</t>
        </is>
      </c>
      <c r="E114" s="8" t="inlineStr">
        <is>
          <t>Default Evidence Source declared: Board Minutes</t>
        </is>
      </c>
    </row>
    <row r="115" ht="15" customHeight="1" s="6">
      <c r="A115" s="8" t="inlineStr">
        <is>
          <t>CDE-G114</t>
        </is>
      </c>
      <c r="B115" s="8" t="inlineStr">
        <is>
          <t>CEO Pay Ratio Industry Benchmark</t>
        </is>
      </c>
      <c r="C115" s="8" t="inlineStr">
        <is>
          <t>Governance / Board Management System</t>
        </is>
      </c>
      <c r="D115" s="8" t="inlineStr">
        <is>
          <t>Diligent, compensation consultant benchmarking platform</t>
        </is>
      </c>
      <c r="E115" s="8" t="inlineStr">
        <is>
          <t>Default Evidence Source declared: User Validation</t>
        </is>
      </c>
    </row>
    <row r="116" ht="15" customHeight="1" s="6">
      <c r="A116" s="8" t="inlineStr">
        <is>
          <t>CDE-G115</t>
        </is>
      </c>
      <c r="B116" s="8" t="inlineStr">
        <is>
          <t>Director-Specific Conflict-of-Interest Disclosure Process Documented</t>
        </is>
      </c>
      <c r="C116" s="8" t="inlineStr">
        <is>
          <t>Governance / Board Management System</t>
        </is>
      </c>
      <c r="D116" s="8" t="inlineStr">
        <is>
          <t>Diligent — director conflict-of-interest disclosure module</t>
        </is>
      </c>
      <c r="E116" s="8" t="inlineStr">
        <is>
          <t>Default Evidence Source declared: see CDE Registry</t>
        </is>
      </c>
    </row>
    <row r="117" ht="15" customHeight="1" s="6">
      <c r="A117" s="8" t="inlineStr">
        <is>
          <t>CDE-G116</t>
        </is>
      </c>
      <c r="B117" s="8" t="inlineStr">
        <is>
          <t>Board Diversity Policy Documented (Beyond Gender)</t>
        </is>
      </c>
      <c r="C117" s="8" t="inlineStr">
        <is>
          <t>Annual Report / Public Filing</t>
        </is>
      </c>
      <c r="D117" s="8" t="inlineStr">
        <is>
          <t>Annual Report Board diversity policy disclosure</t>
        </is>
      </c>
      <c r="E117" s="8" t="inlineStr">
        <is>
          <t>Default Evidence Source declared: see CDE Registry</t>
        </is>
      </c>
    </row>
    <row r="118" ht="15" customHeight="1" s="6">
      <c r="A118" s="8" t="inlineStr">
        <is>
          <t>CDE-G117</t>
        </is>
      </c>
      <c r="B118" s="8" t="inlineStr">
        <is>
          <t>Director-Specific Insider Trading Pre-Clearance Requirement Documented</t>
        </is>
      </c>
      <c r="C118" s="8" t="inlineStr">
        <is>
          <t>Annual Report / Public Filing</t>
        </is>
      </c>
      <c r="D118" s="8" t="inlineStr">
        <is>
          <t>Annual Report insider trading policy disclosure (Section 16-style)</t>
        </is>
      </c>
      <c r="E118" s="8" t="inlineStr">
        <is>
          <t>Default Evidence Source declared: see CDE Registry</t>
        </is>
      </c>
    </row>
    <row r="119" ht="15" customHeight="1" s="6">
      <c r="A119" s="8" t="inlineStr">
        <is>
          <t>CDE-G118</t>
        </is>
      </c>
      <c r="B119" s="8" t="inlineStr">
        <is>
          <t>Board Meeting Minutes Retention Policy Documented</t>
        </is>
      </c>
      <c r="C119" s="8" t="inlineStr">
        <is>
          <t>Human Judgment / Internal Assessment</t>
        </is>
      </c>
      <c r="D119" s="8" t="inlineStr">
        <is>
          <t>Company Secretary records-retention policy documentation</t>
        </is>
      </c>
      <c r="E119" s="8" t="inlineStr">
        <is>
          <t>Default Evidence Source declared: see CDE Registry</t>
        </is>
      </c>
    </row>
    <row r="120" ht="15" customHeight="1" s="6">
      <c r="A120" s="8" t="inlineStr">
        <is>
          <t>CDE-G119</t>
        </is>
      </c>
      <c r="B120" s="8" t="inlineStr">
        <is>
          <t>Director and Officer (D&amp;O) Liability Insurance Coverage Exists</t>
        </is>
      </c>
      <c r="C120" s="8" t="inlineStr">
        <is>
          <t>Annual Report / Public Filing</t>
        </is>
      </c>
      <c r="D120" s="8" t="inlineStr">
        <is>
          <t>Annual Report D&amp;O insurance disclosure</t>
        </is>
      </c>
      <c r="E120" s="8" t="inlineStr">
        <is>
          <t>Default Evidence Source declared: see CDE Registry</t>
        </is>
      </c>
    </row>
    <row r="121" ht="15" customHeight="1" s="6">
      <c r="A121" s="8" t="inlineStr">
        <is>
          <t>CDE-G120</t>
        </is>
      </c>
      <c r="B121" s="8" t="inlineStr">
        <is>
          <t>D&amp;O Liability Insurance Coverage Amount</t>
        </is>
      </c>
      <c r="C121" s="8" t="inlineStr">
        <is>
          <t>Annual Report / Public Filing</t>
        </is>
      </c>
      <c r="D121" s="8" t="inlineStr">
        <is>
          <t>Annual Report D&amp;O insurance disclosure</t>
        </is>
      </c>
      <c r="E121" s="8" t="inlineStr">
        <is>
          <t>Default Evidence Source declared: see CDE Registry</t>
        </is>
      </c>
    </row>
    <row r="122" ht="15" customHeight="1" s="6">
      <c r="A122" s="5" t="inlineStr">
        <is>
          <t>CDE-G121</t>
        </is>
      </c>
      <c r="B122" s="5" t="inlineStr">
        <is>
          <t>Director Overboarding Limit Policy Documented (Max Other Board Seats)</t>
        </is>
      </c>
      <c r="C122" s="5" t="inlineStr">
        <is>
          <t>Annual Report / Public Filing</t>
        </is>
      </c>
      <c r="D122" s="5" t="inlineStr">
        <is>
          <t>Annual Report director commitments policy disclosure</t>
        </is>
      </c>
      <c r="E122" s="5" t="inlineStr">
        <is>
          <t>Default Evidence Source declared: see CDE Registry</t>
        </is>
      </c>
    </row>
    <row r="123" ht="15" customHeight="1" s="6">
      <c r="A123" s="5" t="inlineStr">
        <is>
          <t>CDE-G122</t>
        </is>
      </c>
      <c r="B123" s="5" t="inlineStr">
        <is>
          <t>Non-Executive Director Term Limit Policy Documented</t>
        </is>
      </c>
      <c r="C123" s="5" t="inlineStr">
        <is>
          <t>Annual Report / Public Filing</t>
        </is>
      </c>
      <c r="D123" s="5" t="inlineStr">
        <is>
          <t>Annual Report director tenure policy disclosure</t>
        </is>
      </c>
      <c r="E123" s="5" t="inlineStr">
        <is>
          <t>Default Evidence Source declared: see CDE Registry</t>
        </is>
      </c>
    </row>
    <row r="124" ht="15" customHeight="1" s="6">
      <c r="A124" s="5" t="inlineStr">
        <is>
          <t>CDE-G123</t>
        </is>
      </c>
      <c r="B124" s="5" t="inlineStr">
        <is>
          <t>Board Diversity Numeric Target Documented (e.g. % by Specific Date)</t>
        </is>
      </c>
      <c r="C124" s="5" t="inlineStr">
        <is>
          <t>Annual Report / Public Filing</t>
        </is>
      </c>
      <c r="D124" s="5" t="inlineStr">
        <is>
          <t>Annual Report Board diversity target disclosure</t>
        </is>
      </c>
      <c r="E124" s="5" t="inlineStr">
        <is>
          <t>Default Evidence Source declared: see CDE Registry</t>
        </is>
      </c>
    </row>
    <row r="125" ht="15" customHeight="1" s="6">
      <c r="A125" s="5" t="inlineStr">
        <is>
          <t>CDE-G124</t>
        </is>
      </c>
      <c r="B125" s="5" t="inlineStr">
        <is>
          <t>Designated Workforce Engagement Director or Employee Voice Mechanism Exists</t>
        </is>
      </c>
      <c r="C125" s="5" t="inlineStr">
        <is>
          <t>Annual Report / Public Filing</t>
        </is>
      </c>
      <c r="D125" s="5" t="inlineStr">
        <is>
          <t>Annual Report stakeholder engagement disclosure</t>
        </is>
      </c>
      <c r="E125" s="5" t="inlineStr">
        <is>
          <t>Default Evidence Source declared: see CDE Registry</t>
        </is>
      </c>
    </row>
    <row r="126" ht="15" customHeight="1" s="6">
      <c r="A126" s="5" t="inlineStr">
        <is>
          <t>CDE-G125</t>
        </is>
      </c>
      <c r="B126" s="5" t="inlineStr">
        <is>
          <t>Virtual or Hybrid AGM Capability Documented</t>
        </is>
      </c>
      <c r="C126" s="5" t="inlineStr">
        <is>
          <t>Annual Report / Public Filing</t>
        </is>
      </c>
      <c r="D126" s="5" t="inlineStr">
        <is>
          <t>Annual Report AGM format disclosure</t>
        </is>
      </c>
      <c r="E126" s="5" t="inlineStr">
        <is>
          <t>Default Evidence Source declared: see CDE Registry</t>
        </is>
      </c>
    </row>
    <row r="127" ht="15" customHeight="1" s="6">
      <c r="A127" s="5" t="inlineStr">
        <is>
          <t>CDE-G126</t>
        </is>
      </c>
      <c r="B127" s="5" t="inlineStr">
        <is>
          <t>Board Independence from Controlling Shareholder Documented</t>
        </is>
      </c>
      <c r="C127" s="5" t="inlineStr">
        <is>
          <t>Annual Report / Public Filing</t>
        </is>
      </c>
      <c r="D127" s="5" t="inlineStr">
        <is>
          <t>Annual Report controlled-company governance disclosure</t>
        </is>
      </c>
      <c r="E127" s="5" t="inlineStr">
        <is>
          <t>Default Evidence Source declared: see CDE Registry</t>
        </is>
      </c>
    </row>
    <row r="128" ht="15" customHeight="1" s="6">
      <c r="A128" s="5" t="inlineStr">
        <is>
          <t>CDE-G127</t>
        </is>
      </c>
      <c r="B128" s="5" t="inlineStr">
        <is>
          <t>Executive Severance/Golden Parachute Terms Documented</t>
        </is>
      </c>
      <c r="C128" s="5" t="inlineStr">
        <is>
          <t>Annual Report / Public Filing</t>
        </is>
      </c>
      <c r="D128" s="5" t="inlineStr">
        <is>
          <t>Annual Report compensation/employment agreement disclosure</t>
        </is>
      </c>
      <c r="E128" s="5" t="inlineStr">
        <is>
          <t>Default Evidence Source declared: see CDE Registry</t>
        </is>
      </c>
    </row>
    <row r="129" ht="15" customHeight="1" s="6">
      <c r="A129" s="5" t="inlineStr">
        <is>
          <t>CDE-G128</t>
        </is>
      </c>
      <c r="B129" s="5" t="inlineStr">
        <is>
          <t>Board M&amp;A/Major Transaction Approval Threshold Documented</t>
        </is>
      </c>
      <c r="C129" s="5" t="inlineStr">
        <is>
          <t>Annual Report / Public Filing</t>
        </is>
      </c>
      <c r="D129" s="5" t="inlineStr">
        <is>
          <t>Annual Report Board reserved-matters disclosure</t>
        </is>
      </c>
      <c r="E129" s="5" t="inlineStr">
        <is>
          <t>Default Evidence Source declared: see CDE Registry</t>
        </is>
      </c>
    </row>
    <row r="130" ht="15" customHeight="1" s="6">
      <c r="A130" s="5" t="inlineStr">
        <is>
          <t>CDE-G129</t>
        </is>
      </c>
      <c r="B130" s="5" t="inlineStr">
        <is>
          <t>Cumulative Voting Rights for Director Elections Exist</t>
        </is>
      </c>
      <c r="C130" s="5" t="inlineStr">
        <is>
          <t>Annual Report / Public Filing</t>
        </is>
      </c>
      <c r="D130" s="5" t="inlineStr">
        <is>
          <t>Annual Report shareholder voting rights disclosure</t>
        </is>
      </c>
      <c r="E130" s="5" t="inlineStr">
        <is>
          <t>Default Evidence Source declared: see CDE Registry</t>
        </is>
      </c>
    </row>
    <row r="131" ht="15" customHeight="1" s="6">
      <c r="A131" s="5" t="inlineStr">
        <is>
          <t>CDE-G130</t>
        </is>
      </c>
      <c r="B131" s="5" t="inlineStr">
        <is>
          <t>Director Indemnification Agreement Exists (Distinct from D&amp;O Insurance)</t>
        </is>
      </c>
      <c r="C131" s="5" t="inlineStr">
        <is>
          <t>Annual Report / Public Filing</t>
        </is>
      </c>
      <c r="D131" s="5" t="inlineStr">
        <is>
          <t>Annual Report director indemnification disclosure</t>
        </is>
      </c>
      <c r="E131" s="5" t="inlineStr">
        <is>
          <t>Default Evidence Source declared: see CDE Registry</t>
        </is>
      </c>
    </row>
    <row r="132" ht="15" customHeight="1" s="6">
      <c r="A132" s="5" t="inlineStr">
        <is>
          <t>CDE-G131</t>
        </is>
      </c>
      <c r="B132" s="5" t="inlineStr">
        <is>
          <t>Board Process for Setting Corporate Purpose Documented</t>
        </is>
      </c>
      <c r="C132" s="5" t="inlineStr">
        <is>
          <t>Annual Report / Public Filing</t>
        </is>
      </c>
      <c r="D132" s="5" t="inlineStr">
        <is>
          <t>Annual Report corporate purpose/strategy disclosure</t>
        </is>
      </c>
      <c r="E132" s="5" t="inlineStr">
        <is>
          <t>Default Evidence Source declared: see CDE Registry</t>
        </is>
      </c>
    </row>
    <row r="133" ht="15" customHeight="1" s="6">
      <c r="A133" s="5" t="inlineStr">
        <is>
          <t>CDE-G132</t>
        </is>
      </c>
      <c r="B133" s="5" t="inlineStr">
        <is>
          <t>Dual-Class Sunset Trigger Condition Documented</t>
        </is>
      </c>
      <c r="C133" s="5" t="inlineStr">
        <is>
          <t>Annual Report / Public Filing</t>
        </is>
      </c>
      <c r="D133" s="5" t="inlineStr">
        <is>
          <t>Annual Report dual-class structure disclosure</t>
        </is>
      </c>
      <c r="E133" s="5" t="inlineStr">
        <is>
          <t>Default Evidence Source declared: see CDE Registry</t>
        </is>
      </c>
    </row>
    <row r="134" ht="15" customHeight="1" s="6">
      <c r="A134" s="5" t="inlineStr">
        <is>
          <t>CDE-G133</t>
        </is>
      </c>
      <c r="B134" s="5" t="inlineStr">
        <is>
          <t>Majority Voting Standard for Uncontested Director Elections Documented</t>
        </is>
      </c>
      <c r="C134" s="5" t="inlineStr">
        <is>
          <t>Annual Report / Public Filing</t>
        </is>
      </c>
      <c r="D134" s="5" t="inlineStr">
        <is>
          <t>Annual Report director election policy disclosure</t>
        </is>
      </c>
      <c r="E134" s="5" t="inlineStr">
        <is>
          <t>Default Evidence Source declared: see CDE Registry</t>
        </is>
      </c>
    </row>
    <row r="135" ht="15" customHeight="1" s="6">
      <c r="A135" s="5" t="inlineStr">
        <is>
          <t>CDE-G134</t>
        </is>
      </c>
      <c r="B135" s="5" t="inlineStr">
        <is>
          <t>Board Observer Rights Granted to Investors Documented</t>
        </is>
      </c>
      <c r="C135" s="5" t="inlineStr">
        <is>
          <t>Annual Report / Public Filing</t>
        </is>
      </c>
      <c r="D135" s="5" t="inlineStr">
        <is>
          <t>Annual Report investor rights disclosure</t>
        </is>
      </c>
      <c r="E135" s="5" t="inlineStr">
        <is>
          <t>Default Evidence Source declared: see CDE Registry</t>
        </is>
      </c>
    </row>
    <row r="136" ht="15" customHeight="1" s="6">
      <c r="A136" s="5" t="inlineStr">
        <is>
          <t>CDE-G135</t>
        </is>
      </c>
      <c r="B136" s="5" t="inlineStr">
        <is>
          <t>Annual Director and Officer Disclosure Questionnaire Process Documented</t>
        </is>
      </c>
      <c r="C136" s="5" t="inlineStr">
        <is>
          <t>Human Judgment / Internal Assessment</t>
        </is>
      </c>
      <c r="D136" s="5" t="inlineStr">
        <is>
          <t>General Counsel/Company Secretary annual questionnaire process documentation</t>
        </is>
      </c>
      <c r="E136" s="5" t="inlineStr">
        <is>
          <t>Default Evidence Source declared: see CDE Registry</t>
        </is>
      </c>
    </row>
    <row r="137" ht="15" customHeight="1" s="6">
      <c r="A137" s="5" t="inlineStr">
        <is>
          <t>CDE-G136</t>
        </is>
      </c>
      <c r="B137" s="5" t="inlineStr">
        <is>
          <t>Board Process for Monitoring and Overseeing Corporate Culture Documented</t>
        </is>
      </c>
      <c r="C137" s="5" t="inlineStr">
        <is>
          <t>Annual Report / Public Filing</t>
        </is>
      </c>
      <c r="D137" s="5" t="inlineStr">
        <is>
          <t>Annual Report corporate culture disclosure (UK Code Provision 2-aligned)</t>
        </is>
      </c>
      <c r="E137" s="5" t="inlineStr">
        <is>
          <t>Default Evidence Source declared: see CDE Registry</t>
        </is>
      </c>
    </row>
    <row r="138" ht="15" customHeight="1" s="6">
      <c r="A138" s="5" t="inlineStr">
        <is>
          <t>CDE-G137</t>
        </is>
      </c>
      <c r="B138" s="5" t="inlineStr">
        <is>
          <t>Internal Controls Effectiveness Declaration Made by Board (e.g. UK Code Provision 29-Style)</t>
        </is>
      </c>
      <c r="C138" s="5" t="inlineStr">
        <is>
          <t>Annual Report / Public Filing</t>
        </is>
      </c>
      <c r="D138" s="5" t="inlineStr">
        <is>
          <t>Annual Report internal controls statement</t>
        </is>
      </c>
      <c r="E138" s="5" t="inlineStr">
        <is>
          <t>Default Evidence Source declared: see CDE Registry</t>
        </is>
      </c>
    </row>
    <row r="139" ht="15" customHeight="1" s="6">
      <c r="A139" s="5" t="inlineStr">
        <is>
          <t>CDE-G138</t>
        </is>
      </c>
      <c r="B139" s="5" t="inlineStr">
        <is>
          <t>Director Liability Cap or Limitation Provision Documented</t>
        </is>
      </c>
      <c r="C139" s="5" t="inlineStr">
        <is>
          <t>Annual Report / Public Filing</t>
        </is>
      </c>
      <c r="D139" s="5" t="inlineStr">
        <is>
          <t>Annual Report director liability provision disclosure</t>
        </is>
      </c>
      <c r="E139" s="5" t="inlineStr">
        <is>
          <t>Default Evidence Source declared: see CDE Registry</t>
        </is>
      </c>
    </row>
    <row r="140" ht="15" customHeight="1" s="6">
      <c r="A140" s="5" t="inlineStr">
        <is>
          <t>CDE-G139</t>
        </is>
      </c>
      <c r="B140" s="5" t="inlineStr">
        <is>
          <t>Whistleblower Matter Escalation Path to Board/Audit Committee Documented</t>
        </is>
      </c>
      <c r="C140" s="5" t="inlineStr">
        <is>
          <t>Governance / Board Management System</t>
        </is>
      </c>
      <c r="D140" s="5" t="inlineStr">
        <is>
          <t>Diligent — whistleblower escalation tracking module</t>
        </is>
      </c>
      <c r="E140" s="5" t="inlineStr">
        <is>
          <t>Default Evidence Source declared: see CDE Registry</t>
        </is>
      </c>
    </row>
    <row r="141" ht="15" customHeight="1" s="6">
      <c r="A141" s="5" t="inlineStr">
        <is>
          <t>CDE-G140</t>
        </is>
      </c>
      <c r="B141" s="5" t="inlineStr">
        <is>
          <t>Board Dividend Policy Approval Process Documented</t>
        </is>
      </c>
      <c r="C141" s="5" t="inlineStr">
        <is>
          <t>Board Minutes</t>
        </is>
      </c>
      <c r="D141" s="5" t="inlineStr">
        <is>
          <t>Board minutes archive — dividend policy approval record</t>
        </is>
      </c>
      <c r="E141" s="5" t="inlineStr">
        <is>
          <t>Default Evidence Source declared: see CDE Registry</t>
        </is>
      </c>
    </row>
    <row r="142" ht="15" customHeight="1" s="6">
      <c r="A142" s="5" t="inlineStr">
        <is>
          <t>CDE-G141</t>
        </is>
      </c>
      <c r="B142" s="5" t="inlineStr">
        <is>
          <t>Board Annual Budget/Business Plan Approval Process Documented</t>
        </is>
      </c>
      <c r="C142" s="5" t="inlineStr">
        <is>
          <t>Board Minutes</t>
        </is>
      </c>
      <c r="D142" s="5" t="inlineStr">
        <is>
          <t>Board minutes archive — budget approval record</t>
        </is>
      </c>
      <c r="E142" s="5" t="inlineStr">
        <is>
          <t>Default Evidence Source declared: see CDE Registry</t>
        </is>
      </c>
    </row>
    <row r="143" ht="15" customHeight="1" s="6">
      <c r="A143" s="5" t="inlineStr">
        <is>
          <t>CDE-G142</t>
        </is>
      </c>
      <c r="B143" s="5" t="inlineStr">
        <is>
          <t>Board Major Capital Expenditure Approval Threshold Documented</t>
        </is>
      </c>
      <c r="C143" s="5" t="inlineStr">
        <is>
          <t>Board Minutes</t>
        </is>
      </c>
      <c r="D143" s="5" t="inlineStr">
        <is>
          <t>Board minutes archive — capex approval threshold record</t>
        </is>
      </c>
      <c r="E143" s="5" t="inlineStr">
        <is>
          <t>Default Evidence Source declared: see CDE Registry</t>
        </is>
      </c>
    </row>
    <row r="144" ht="15" customHeight="1" s="6">
      <c r="A144" s="5" t="inlineStr">
        <is>
          <t>CDE-G143</t>
        </is>
      </c>
      <c r="B144" s="5" t="inlineStr">
        <is>
          <t>Director Appointment Letter/Terms of Engagement Formally Documented</t>
        </is>
      </c>
      <c r="C144" s="5" t="inlineStr">
        <is>
          <t>Human Judgment / Internal Assessment</t>
        </is>
      </c>
      <c r="D144" s="5" t="inlineStr">
        <is>
          <t>Company Secretary director onboarding documentation</t>
        </is>
      </c>
      <c r="E144" s="5" t="inlineStr">
        <is>
          <t>Default Evidence Source declared: see CDE Registry</t>
        </is>
      </c>
    </row>
    <row r="145" ht="15" customHeight="1" s="6">
      <c r="A145" s="5" t="inlineStr">
        <is>
          <t>CDE-G144</t>
        </is>
      </c>
      <c r="B145" s="5" t="inlineStr">
        <is>
          <t>Auditor Independence/Rotation Policy Documented</t>
        </is>
      </c>
      <c r="C145" s="5" t="inlineStr">
        <is>
          <t>Annual Report / Public Filing</t>
        </is>
      </c>
      <c r="D145" s="5" t="inlineStr">
        <is>
          <t>Annual Report auditor independence disclosure</t>
        </is>
      </c>
      <c r="E145" s="5" t="inlineStr">
        <is>
          <t>Default Evidence Source declared: see CDE Registry</t>
        </is>
      </c>
    </row>
    <row r="146" ht="15" customHeight="1" s="6">
      <c r="A146" s="5" t="inlineStr">
        <is>
          <t>CDE-G145</t>
        </is>
      </c>
      <c r="B146" s="5" t="inlineStr">
        <is>
          <t>Board Materials Confidentiality/Information-Handling Policy Documented</t>
        </is>
      </c>
      <c r="C146" s="5" t="inlineStr">
        <is>
          <t>Human Judgment / Internal Assessment</t>
        </is>
      </c>
      <c r="D146" s="5" t="inlineStr">
        <is>
          <t>Company Secretary Board information governance documentation</t>
        </is>
      </c>
      <c r="E146" s="5" t="inlineStr">
        <is>
          <t>Default Evidence Source declared: see CDE Registry</t>
        </is>
      </c>
    </row>
    <row r="147" ht="15" customHeight="1" s="6">
      <c r="A147" s="5" t="inlineStr">
        <is>
          <t>CDE-G146</t>
        </is>
      </c>
      <c r="B147" s="5" t="inlineStr">
        <is>
          <t>Workforce Engagement Method (Director from Workforce/Advisory Panel/Designated NED)</t>
        </is>
      </c>
      <c r="C147" s="5" t="inlineStr">
        <is>
          <t>Annual Report / Public Filing</t>
        </is>
      </c>
      <c r="D147" s="5" t="inlineStr">
        <is>
          <t>Annual Report workforce engagement disclosure</t>
        </is>
      </c>
      <c r="E147" s="5" t="inlineStr">
        <is>
          <t>Default Evidence Source declared: see CDE Registry</t>
        </is>
      </c>
    </row>
    <row r="148" ht="15" customHeight="1" s="6">
      <c r="A148" s="5" t="inlineStr">
        <is>
          <t>CDE-G147</t>
        </is>
      </c>
      <c r="B148" s="5" t="inlineStr">
        <is>
          <t>Workforce Confidential/Anonymous Concern-Raising Mechanism Documented</t>
        </is>
      </c>
      <c r="C148" s="5" t="inlineStr">
        <is>
          <t>Annual Report / Public Filing</t>
        </is>
      </c>
      <c r="D148" s="5" t="inlineStr">
        <is>
          <t>Annual Report workforce voice mechanism disclosure</t>
        </is>
      </c>
      <c r="E148" s="5" t="inlineStr">
        <is>
          <t>Default Evidence Source declared: see CDE Registry</t>
        </is>
      </c>
    </row>
    <row r="149" ht="15" customHeight="1" s="6">
      <c r="A149" s="5" t="inlineStr">
        <is>
          <t>CDE-G148</t>
        </is>
      </c>
      <c r="B149" s="5" t="inlineStr">
        <is>
          <t>Conflict of Interest from Significant Shareholdings Identification Process Documented</t>
        </is>
      </c>
      <c r="C149" s="5" t="inlineStr">
        <is>
          <t>Annual Report / Public Filing</t>
        </is>
      </c>
      <c r="D149" s="5" t="inlineStr">
        <is>
          <t>Annual Report conflict-of-interest policy disclosure</t>
        </is>
      </c>
      <c r="E149" s="5" t="inlineStr">
        <is>
          <t>Default Evidence Source declared: see CDE Registry</t>
        </is>
      </c>
    </row>
    <row r="150" ht="15" customHeight="1" s="6">
      <c r="A150" s="5" t="inlineStr">
        <is>
          <t>CDE-G149</t>
        </is>
      </c>
      <c r="B150" s="5" t="inlineStr">
        <is>
          <t>Director Resignation Written Statement of Concerns Process Documented</t>
        </is>
      </c>
      <c r="C150" s="5" t="inlineStr">
        <is>
          <t>Board Minutes</t>
        </is>
      </c>
      <c r="D150" s="5" t="inlineStr">
        <is>
          <t>Board minutes archive — resignation statement record</t>
        </is>
      </c>
      <c r="E150" s="5" t="inlineStr">
        <is>
          <t>Default Evidence Source declared: see CDE Registry</t>
        </is>
      </c>
    </row>
    <row r="151" ht="15" customHeight="1" s="6">
      <c r="A151" s="5" t="inlineStr">
        <is>
          <t>CDE-G150</t>
        </is>
      </c>
      <c r="B151" s="5" t="inlineStr">
        <is>
          <t>Long-Term Value Generation/Business Model Description Documented</t>
        </is>
      </c>
      <c r="C151" s="5" t="inlineStr">
        <is>
          <t>Annual Report / Public Filing</t>
        </is>
      </c>
      <c r="D151" s="5" t="inlineStr">
        <is>
          <t>Annual Report business model disclosure</t>
        </is>
      </c>
      <c r="E151" s="5" t="inlineStr">
        <is>
          <t>Default Evidence Source declared: see CDE Registry</t>
        </is>
      </c>
    </row>
    <row r="152" ht="15" customHeight="1" s="6">
      <c r="A152" s="5" t="inlineStr">
        <is>
          <t>CDE-G151</t>
        </is>
      </c>
      <c r="B152" s="5" t="inlineStr">
        <is>
          <t>Culture Embedding Assessment Documented (Distinct from Monitoring)</t>
        </is>
      </c>
      <c r="C152" s="5" t="inlineStr">
        <is>
          <t>Annual Report / Public Filing</t>
        </is>
      </c>
      <c r="D152" s="5" t="inlineStr">
        <is>
          <t>Annual Report culture disclosure</t>
        </is>
      </c>
      <c r="E152" s="5" t="inlineStr">
        <is>
          <t>Default Evidence Source declared: see CDE Registry</t>
        </is>
      </c>
    </row>
    <row r="153" ht="15" customHeight="1" s="6">
      <c r="A153" s="5" t="inlineStr">
        <is>
          <t>CDE-G152</t>
        </is>
      </c>
      <c r="B153" s="5" t="inlineStr">
        <is>
          <t>20% Vote-Against Threshold Triggered Explanation Process Documented</t>
        </is>
      </c>
      <c r="C153" s="5" t="inlineStr">
        <is>
          <t>Annual Report / Public Filing</t>
        </is>
      </c>
      <c r="D153" s="5" t="inlineStr">
        <is>
          <t>Annual Report shareholder vote disclosure</t>
        </is>
      </c>
      <c r="E153" s="5" t="inlineStr">
        <is>
          <t>Default Evidence Source declared: see CDE Registry</t>
        </is>
      </c>
    </row>
    <row r="154" ht="15" customHeight="1" s="6">
      <c r="A154" s="5" t="inlineStr">
        <is>
          <t>CDE-G153</t>
        </is>
      </c>
      <c r="B154" s="5" t="inlineStr">
        <is>
          <t>Nomination Committee Chair Restriction Documented (Chair Cannot Chair Own-Succession Discussion)</t>
        </is>
      </c>
      <c r="C154" s="5" t="inlineStr">
        <is>
          <t>Annual Report / Public Filing</t>
        </is>
      </c>
      <c r="D154" s="5" t="inlineStr">
        <is>
          <t>Annual Report nomination committee governance disclosure</t>
        </is>
      </c>
      <c r="E154" s="5" t="inlineStr">
        <is>
          <t>Default Evidence Source declared: see CDE Registry</t>
        </is>
      </c>
    </row>
    <row r="155" ht="15" customHeight="1" s="6">
      <c r="A155" s="5" t="inlineStr">
        <is>
          <t>CDE-G154</t>
        </is>
      </c>
      <c r="B155" s="5" t="inlineStr">
        <is>
          <t>Chair 9-Year Tenure Limit Policy Documented (Specific Provision 19 Threshold)</t>
        </is>
      </c>
      <c r="C155" s="5" t="inlineStr">
        <is>
          <t>Annual Report / Public Filing</t>
        </is>
      </c>
      <c r="D155" s="5" t="inlineStr">
        <is>
          <t>Annual Report chair tenure disclosure</t>
        </is>
      </c>
      <c r="E155" s="5" t="inlineStr">
        <is>
          <t>Default Evidence Source declared: see CDE Registry</t>
        </is>
      </c>
    </row>
    <row r="156" ht="15" customHeight="1" s="6">
      <c r="A156" s="5" t="inlineStr">
        <is>
          <t>CDE-G155</t>
        </is>
      </c>
      <c r="B156" s="5" t="inlineStr">
        <is>
          <t>Open Advertising or External Search Consultancy Used and Disclosed for Chair/NED Appointments</t>
        </is>
      </c>
      <c r="C156" s="5" t="inlineStr">
        <is>
          <t>Annual Report / Public Filing</t>
        </is>
      </c>
      <c r="D156" s="5" t="inlineStr">
        <is>
          <t>Annual Report appointment process disclosure</t>
        </is>
      </c>
      <c r="E156" s="5" t="inlineStr">
        <is>
          <t>Default Evidence Source declared: see CDE Registry</t>
        </is>
      </c>
    </row>
    <row r="157" ht="15" customHeight="1" s="6">
      <c r="A157" s="5" t="inlineStr">
        <is>
          <t>CDE-G156</t>
        </is>
      </c>
      <c r="B157" s="5" t="inlineStr">
        <is>
          <t>Audit Committee Minimum Size Requirement Met (3, or 2 for Smaller Companies)</t>
        </is>
      </c>
      <c r="C157" s="5" t="inlineStr">
        <is>
          <t>Annual Report / Public Filing</t>
        </is>
      </c>
      <c r="D157" s="5" t="inlineStr">
        <is>
          <t>Annual Report audit committee composition disclosure</t>
        </is>
      </c>
      <c r="E157" s="5" t="inlineStr">
        <is>
          <t>Default Evidence Source declared: see CDE Registry</t>
        </is>
      </c>
    </row>
    <row r="158" ht="15" customHeight="1" s="6">
      <c r="A158" s="5" t="inlineStr">
        <is>
          <t>CDE-G157</t>
        </is>
      </c>
      <c r="B158" s="5" t="inlineStr">
        <is>
          <t>Going Concern Basis Statement Documented (Distinct from General Internal Controls Declaration)</t>
        </is>
      </c>
      <c r="C158" s="5" t="inlineStr">
        <is>
          <t>Annual Report / Public Filing</t>
        </is>
      </c>
      <c r="D158" s="5" t="inlineStr">
        <is>
          <t>Annual Report financial statements going concern disclosure</t>
        </is>
      </c>
      <c r="E158" s="5" t="inlineStr">
        <is>
          <t>Default Evidence Source declared: see CDE Registry</t>
        </is>
      </c>
    </row>
    <row r="159" ht="15" customHeight="1" s="6">
      <c r="A159" s="5" t="inlineStr">
        <is>
          <t>CDE-G158</t>
        </is>
      </c>
      <c r="B159" s="5" t="inlineStr">
        <is>
          <t>Viability/Prospects Statement Over Assessed Period Documented</t>
        </is>
      </c>
      <c r="C159" s="5" t="inlineStr">
        <is>
          <t>Annual Report / Public Filing</t>
        </is>
      </c>
      <c r="D159" s="5" t="inlineStr">
        <is>
          <t>Annual Report viability statement disclosure</t>
        </is>
      </c>
      <c r="E159" s="5" t="inlineStr">
        <is>
          <t>Default Evidence Source declared: see CDE Registry</t>
        </is>
      </c>
    </row>
    <row r="160" ht="15" customHeight="1" s="6">
      <c r="A160" s="5" t="inlineStr">
        <is>
          <t>CDE-G159</t>
        </is>
      </c>
      <c r="B160" s="5" t="inlineStr">
        <is>
          <t>Post-Employment Shareholding Requirement Policy Documented (5-Year Vesting)</t>
        </is>
      </c>
      <c r="C160" s="5" t="inlineStr">
        <is>
          <t>Annual Report / Public Filing</t>
        </is>
      </c>
      <c r="D160" s="5" t="inlineStr">
        <is>
          <t>Annual Report remuneration policy disclosure</t>
        </is>
      </c>
      <c r="E160" s="5" t="inlineStr">
        <is>
          <t>Default Evidence Source declared: see CDE Registry</t>
        </is>
      </c>
    </row>
    <row r="161" ht="15" customHeight="1" s="6">
      <c r="A161" s="5" t="inlineStr">
        <is>
          <t>CDE-G160</t>
        </is>
      </c>
      <c r="B161" s="5" t="inlineStr">
        <is>
          <t>Executive Pension Contribution Rate Aligned with Workforce Documented</t>
        </is>
      </c>
      <c r="C161" s="5" t="inlineStr">
        <is>
          <t>Annual Report / Public Filing</t>
        </is>
      </c>
      <c r="D161" s="5" t="inlineStr">
        <is>
          <t>Annual Report pension policy disclosure</t>
        </is>
      </c>
      <c r="E161" s="5" t="inlineStr">
        <is>
          <t>Default Evidence Source declared: see CDE Registry</t>
        </is>
      </c>
    </row>
    <row r="162" ht="15" customHeight="1" s="6">
      <c r="A162" s="5" t="inlineStr">
        <is>
          <t>CDE-G161</t>
        </is>
      </c>
      <c r="B162" s="5" t="inlineStr">
        <is>
          <t>Director Notice/Contract Period Limit Documented (1 Year or Less)</t>
        </is>
      </c>
      <c r="C162" s="5" t="inlineStr">
        <is>
          <t>Annual Report / Public Filing</t>
        </is>
      </c>
      <c r="D162" s="5" t="inlineStr">
        <is>
          <t>Annual Report director terms disclosure</t>
        </is>
      </c>
      <c r="E162" s="5" t="inlineStr">
        <is>
          <t>Default Evidence Source declared: see CDE Registry</t>
        </is>
      </c>
    </row>
    <row r="163" ht="15" customHeight="1" s="6">
      <c r="A163" s="5" t="inlineStr">
        <is>
          <t>CDE-G163</t>
        </is>
      </c>
      <c r="B163" s="5" t="inlineStr">
        <is>
          <t>Institutional Investor Stewardship Code Adherence Documented</t>
        </is>
      </c>
      <c r="C163" s="5" t="inlineStr">
        <is>
          <t>Human Judgment / Internal Assessment</t>
        </is>
      </c>
      <c r="D163" s="5" t="inlineStr">
        <is>
          <t>Investor Relations team stewardship code monitoring</t>
        </is>
      </c>
      <c r="E163" s="5" t="inlineStr">
        <is>
          <t>Default Evidence Source declared: see CDE Registry</t>
        </is>
      </c>
    </row>
    <row r="164" ht="15" customHeight="1" s="6">
      <c r="A164" s="5" t="inlineStr">
        <is>
          <t>CDE-G164</t>
        </is>
      </c>
      <c r="B164" s="5" t="inlineStr">
        <is>
          <t>Proxy Advisor Conflict-of-Interest Disclosure Received/Reviewed</t>
        </is>
      </c>
      <c r="C164" s="5" t="inlineStr">
        <is>
          <t>Human Judgment / Internal Assessment</t>
        </is>
      </c>
      <c r="D164" s="5" t="inlineStr">
        <is>
          <t>Investor Relations team proxy advisor disclosure review</t>
        </is>
      </c>
      <c r="E164" s="5" t="inlineStr">
        <is>
          <t>Default Evidence Source declared: see CDE Registry</t>
        </is>
      </c>
    </row>
    <row r="165" ht="15" customHeight="1" s="6">
      <c r="A165" s="5" t="inlineStr">
        <is>
          <t>CDE-G165</t>
        </is>
      </c>
      <c r="B165" s="5" t="inlineStr">
        <is>
          <t>Major Institutional Shareholder Voting Policy Disclosure Reviewed</t>
        </is>
      </c>
      <c r="C165" s="5" t="inlineStr">
        <is>
          <t>Human Judgment / Internal Assessment</t>
        </is>
      </c>
      <c r="D165" s="5" t="inlineStr">
        <is>
          <t>Investor Relations team shareholder voting policy review</t>
        </is>
      </c>
      <c r="E165" s="5" t="inlineStr">
        <is>
          <t>Default Evidence Source declared: see CDE Registry</t>
        </is>
      </c>
    </row>
    <row r="166" ht="15" customHeight="1" s="6">
      <c r="A166" s="5" t="inlineStr">
        <is>
          <t>CDE-G166</t>
        </is>
      </c>
      <c r="B166" s="5" t="inlineStr">
        <is>
          <t>Board Sustainability and Resilience Risk Oversight Integration Documented</t>
        </is>
      </c>
      <c r="C166" s="5" t="inlineStr">
        <is>
          <t>Annual Report / Public Filing</t>
        </is>
      </c>
      <c r="D166" s="5" t="inlineStr">
        <is>
          <t>Annual Report enterprise risk management disclosure</t>
        </is>
      </c>
      <c r="E166" s="5" t="inlineStr">
        <is>
          <t>Default Evidence Source declared: see CDE Registry</t>
        </is>
      </c>
    </row>
    <row r="167" ht="15" customHeight="1" s="6">
      <c r="A167" s="5" t="inlineStr">
        <is>
          <t>CDE-G167</t>
        </is>
      </c>
      <c r="B167" s="5" t="inlineStr">
        <is>
          <t>Company Group Governance Framework Documented (Parent-Subsidiary Oversight)</t>
        </is>
      </c>
      <c r="C167" s="5" t="inlineStr">
        <is>
          <t>Annual Report / Public Filing</t>
        </is>
      </c>
      <c r="D167" s="5" t="inlineStr">
        <is>
          <t>Annual Report group governance disclosure</t>
        </is>
      </c>
      <c r="E167" s="5" t="inlineStr">
        <is>
          <t>Default Evidence Source declared: see CDE Registry</t>
        </is>
      </c>
    </row>
    <row r="168" ht="15" customHeight="1" s="6">
      <c r="A168" s="5" t="inlineStr">
        <is>
          <t>CDE-G168</t>
        </is>
      </c>
      <c r="B168" s="5" t="inlineStr">
        <is>
          <t>Digital Security and Data Privacy Designated as Board-Level Risk Oversight Category</t>
        </is>
      </c>
      <c r="C168" s="5" t="inlineStr">
        <is>
          <t>Annual Report / Public Filing</t>
        </is>
      </c>
      <c r="D168" s="5" t="inlineStr">
        <is>
          <t>Annual Report risk oversight category disclosure</t>
        </is>
      </c>
      <c r="E168" s="5" t="inlineStr">
        <is>
          <t>Default Evidence Source declared: see CDE Registry</t>
        </is>
      </c>
    </row>
    <row r="169" ht="15" customHeight="1" s="6">
      <c r="A169" s="5" t="inlineStr">
        <is>
          <t>CDE-G162</t>
        </is>
      </c>
      <c r="B169" s="5" t="inlineStr">
        <is>
          <t>Institutional Investor Stewardship Code Adherence Documented</t>
        </is>
      </c>
      <c r="C169" s="5" t="inlineStr">
        <is>
          <t>Human Judgment / Internal Assessment</t>
        </is>
      </c>
      <c r="D169" s="5" t="inlineStr">
        <is>
          <t>Investor Relations team stewardship code monitoring</t>
        </is>
      </c>
      <c r="E169" s="5" t="inlineStr">
        <is>
          <t>Default Evidence Source declared: see CDE Registry</t>
        </is>
      </c>
    </row>
    <row r="170" ht="15" customHeight="1" s="6">
      <c r="A170" s="5" t="inlineStr">
        <is>
          <t>CDE-G169</t>
        </is>
      </c>
      <c r="B170" s="5" t="inlineStr">
        <is>
          <t>Ethical Leadership Characteristics Assessment Documented for Governing Body Members</t>
        </is>
      </c>
      <c r="C170" s="5" t="inlineStr">
        <is>
          <t>Annual Report / Public Filing</t>
        </is>
      </c>
      <c r="D170" s="5" t="inlineStr">
        <is>
          <t>Annual Report ethical leadership disclosure</t>
        </is>
      </c>
      <c r="E170" s="5" t="inlineStr">
        <is>
          <t>Default Evidence Source declared: see CDE Registry</t>
        </is>
      </c>
    </row>
    <row r="171" ht="15" customHeight="1" s="6">
      <c r="A171" s="5" t="inlineStr">
        <is>
          <t>CDE-G170</t>
        </is>
      </c>
      <c r="B171" s="5" t="inlineStr">
        <is>
          <t>Ethics Governance Process Documented (Distinct from General Culture Monitoring)</t>
        </is>
      </c>
      <c r="C171" s="5" t="inlineStr">
        <is>
          <t>Annual Report / Public Filing</t>
        </is>
      </c>
      <c r="D171" s="5" t="inlineStr">
        <is>
          <t>Annual Report ethics governance disclosure</t>
        </is>
      </c>
      <c r="E171" s="5" t="inlineStr">
        <is>
          <t>Default Evidence Source declared: see CDE Registry</t>
        </is>
      </c>
    </row>
    <row r="172" ht="15" customHeight="1" s="6">
      <c r="A172" s="5" t="inlineStr">
        <is>
          <t>CDE-G171</t>
        </is>
      </c>
      <c r="B172" s="5" t="inlineStr">
        <is>
          <t>Going-Concern Oversight Framed via Capitals/Solvency/Liquidity (King IV-Specific Lens)</t>
        </is>
      </c>
      <c r="C172" s="5" t="inlineStr">
        <is>
          <t>Annual Report / Public Filing</t>
        </is>
      </c>
      <c r="D172" s="5" t="inlineStr">
        <is>
          <t>Annual Report capitals/viability disclosure</t>
        </is>
      </c>
      <c r="E172" s="5" t="inlineStr">
        <is>
          <t>Default Evidence Source declared: see CDE Registry</t>
        </is>
      </c>
    </row>
    <row r="173" ht="15" customHeight="1" s="6">
      <c r="A173" s="5" t="inlineStr">
        <is>
          <t>CDE-G172</t>
        </is>
      </c>
      <c r="B173" s="5" t="inlineStr">
        <is>
          <t>Board Charter Documented and Annually Reviewed (Board as Custodian of Governance)</t>
        </is>
      </c>
      <c r="C173" s="5" t="inlineStr">
        <is>
          <t>Governance / Board Management System</t>
        </is>
      </c>
      <c r="D173" s="5" t="inlineStr">
        <is>
          <t>Diligent — Board charter repository and annual review tracking</t>
        </is>
      </c>
      <c r="E173" s="5" t="inlineStr">
        <is>
          <t>Default Evidence Source declared: see CDE Registry</t>
        </is>
      </c>
    </row>
    <row r="174" ht="15" customHeight="1" s="6">
      <c r="A174" s="5" t="inlineStr">
        <is>
          <t>CDE-G173</t>
        </is>
      </c>
      <c r="B174" s="5" t="inlineStr">
        <is>
          <t>Technology and Information Governance Established as Distinct Board-Level Domain</t>
        </is>
      </c>
      <c r="C174" s="5" t="inlineStr">
        <is>
          <t>Annual Report / Public Filing</t>
        </is>
      </c>
      <c r="D174" s="5" t="inlineStr">
        <is>
          <t>Annual Report technology governance disclosure</t>
        </is>
      </c>
      <c r="E174" s="5" t="inlineStr">
        <is>
          <t>Default Evidence Source declared: see CDE Registry</t>
        </is>
      </c>
    </row>
    <row r="175" ht="15" customHeight="1" s="6">
      <c r="A175" s="5" t="inlineStr">
        <is>
          <t>CDE-G174</t>
        </is>
      </c>
      <c r="B175" s="5" t="inlineStr">
        <is>
          <t>Stakeholder-Inclusive Approach Balancing Material Stakeholder Interests Documented</t>
        </is>
      </c>
      <c r="C175" s="5" t="inlineStr">
        <is>
          <t>Annual Report / Public Filing</t>
        </is>
      </c>
      <c r="D175" s="5" t="inlineStr">
        <is>
          <t>Annual Report stakeholder approach disclosure</t>
        </is>
      </c>
      <c r="E175" s="5" t="inlineStr">
        <is>
          <t>Default Evidence Source declared: see CDE Registry</t>
        </is>
      </c>
    </row>
    <row r="176" ht="15" customHeight="1" s="6">
      <c r="A176" s="5" t="inlineStr">
        <is>
          <t>CDE-G175</t>
        </is>
      </c>
      <c r="B176" s="5" t="inlineStr">
        <is>
          <t>Responsible Investment Practice Documented for Institutional Investor Role (If Applicable)</t>
        </is>
      </c>
      <c r="C176" s="5" t="inlineStr">
        <is>
          <t>Human Judgment / Internal Assessment</t>
        </is>
      </c>
      <c r="D176" s="5" t="inlineStr">
        <is>
          <t>Investment team responsible investment policy documentation</t>
        </is>
      </c>
      <c r="E176" s="5"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2026-06-27T12:33:03Z</dcterms:created>
  <dcterms:modified xmlns:dcterms="http://purl.org/dc/terms/" xmlns:xsi="http://www.w3.org/2001/XMLSchema-instance" xsi:type="dcterms:W3CDTF">2026-07-04T06:44:12Z</dcterms:modified>
  <cp:revision>0</cp:revision>
</cp:coreProperties>
</file>