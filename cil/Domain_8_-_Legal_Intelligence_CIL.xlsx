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0_Freeze_Status" sheetId="1" state="visible" r:id="rId1"/>
    <sheet xmlns:r="http://schemas.openxmlformats.org/officeDocument/2006/relationships" name="01_Intelligence_Areas" sheetId="2" state="visible" r:id="rId2"/>
    <sheet xmlns:r="http://schemas.openxmlformats.org/officeDocument/2006/relationships" name="02_BQ_Registry" sheetId="3" state="visible" r:id="rId3"/>
    <sheet xmlns:r="http://schemas.openxmlformats.org/officeDocument/2006/relationships" name="03_CDE_Registry" sheetId="4" state="visible" r:id="rId4"/>
    <sheet xmlns:r="http://schemas.openxmlformats.org/officeDocument/2006/relationships" name="04_BQ_CDE_Mapping" sheetId="5" state="visible" r:id="rId5"/>
    <sheet xmlns:r="http://schemas.openxmlformats.org/officeDocument/2006/relationships" name="05_Evidence_Catalog" sheetId="6" state="visible" r:id="rId6"/>
    <sheet xmlns:r="http://schemas.openxmlformats.org/officeDocument/2006/relationships" name="06_Confidence_Rules" sheetId="7" state="visible" r:id="rId7"/>
    <sheet xmlns:r="http://schemas.openxmlformats.org/officeDocument/2006/relationships" name="07_Ownership_Model" sheetId="8" state="visible" r:id="rId8"/>
    <sheet xmlns:r="http://schemas.openxmlformats.org/officeDocument/2006/relationships" name="08_Extraction_Rules" sheetId="9" state="visible" r:id="rId9"/>
    <sheet xmlns:r="http://schemas.openxmlformats.org/officeDocument/2006/relationships" name="09_Framework_Mapping" sheetId="10" state="visible" r:id="rId10"/>
    <sheet xmlns:r="http://schemas.openxmlformats.org/officeDocument/2006/relationships" name="10_Executive_Summary" sheetId="11" state="visible" r:id="rId11"/>
    <sheet xmlns:r="http://schemas.openxmlformats.org/officeDocument/2006/relationships" name="11_Gap_Analysis" sheetId="12" state="visible" r:id="rId12"/>
    <sheet xmlns:r="http://schemas.openxmlformats.org/officeDocument/2006/relationships" name="12_Framework_CDE_Detail" sheetId="13" state="visible" r:id="rId13"/>
    <sheet xmlns:r="http://schemas.openxmlformats.org/officeDocument/2006/relationships" name="13_Executive_Mapping" sheetId="14" state="visible" r:id="rId14"/>
    <sheet xmlns:r="http://schemas.openxmlformats.org/officeDocument/2006/relationships" name="14_Assurance_Checks" sheetId="15" state="visible" r:id="rId15"/>
    <sheet xmlns:r="http://schemas.openxmlformats.org/officeDocument/2006/relationships" name="15_Confidence_Rollup" sheetId="16" state="visible" r:id="rId16"/>
    <sheet xmlns:r="http://schemas.openxmlformats.org/officeDocument/2006/relationships" name="16_System_of_Record" sheetId="17" state="visible" r:id="rId1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i val="1"/>
      <color rgb="FFA04A3A"/>
      <sz val="10"/>
    </font>
  </fonts>
  <fills count="3">
    <fill>
      <patternFill/>
    </fill>
    <fill>
      <patternFill patternType="gray125"/>
    </fill>
    <fill>
      <patternFill patternType="solid">
        <fgColor rgb="FF1B4FD8"/>
        <bgColor rgb="FF3366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04A3A"/>
      <rgbColor rgb="FFFFFFCC"/>
      <rgbColor rgb="FFCCFFFF"/>
      <rgbColor rgb="FF660066"/>
      <rgbColor rgb="FFFF8080"/>
      <rgbColor rgb="FF1B4F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1" customWidth="1" style="5" min="1" max="1"/>
    <col width="27" customWidth="1" style="5" min="2" max="2"/>
    <col width="14" customWidth="1" style="5" min="3" max="4"/>
    <col width="55" customWidth="1" style="5" min="5" max="5"/>
  </cols>
  <sheetData>
    <row r="1" ht="15" customHeight="1" s="6">
      <c r="A1" s="7" t="inlineStr">
        <is>
          <t>Domain</t>
        </is>
      </c>
      <c r="B1" s="7" t="inlineStr">
        <is>
          <t>Version</t>
        </is>
      </c>
      <c r="C1" s="7" t="inlineStr">
        <is>
          <t>Status</t>
        </is>
      </c>
      <c r="D1" s="7" t="inlineStr">
        <is>
          <t>Freeze Date</t>
        </is>
      </c>
      <c r="E1" s="7" t="inlineStr">
        <is>
          <t>Notes</t>
        </is>
      </c>
    </row>
    <row r="2" ht="15" customHeight="1" s="6">
      <c r="A2" s="8" t="inlineStr">
        <is>
          <t>Legal Intelligence</t>
        </is>
      </c>
      <c r="B2" s="8" t="inlineStr">
        <is>
          <t>v3.0 — GOLD STANDARD, LOCKED — REPORT-ASSEMBLY LAYER COMPLETE</t>
        </is>
      </c>
      <c r="C2" s="8" t="inlineStr">
        <is>
          <t>LOCKED</t>
        </is>
      </c>
      <c r="D2" s="8" t="inlineStr">
        <is>
          <t>2026-06-28</t>
        </is>
      </c>
      <c r="E2" s="8" t="inlineStr">
        <is>
          <t>Built from scratch following the Golden Template process established across Domains 3/4/5/6/7. SCOPE BOUNDARY ESTABLISHED BEFORE ANY CONTENT WAS BUILT (per the discipline introduced in Domain 5): audited Domains 4, 5, and 6 first. FOUND REAL OVERLAP: Domain 4 Risk Intelligence owns CDE-R095/096/097 (Material Litigation Risk Identified/Estimated Financial Exposure/Could Affect Strategic Execution) — the RISK-QUANTIFICATION view of litigation, consistent with the pattern seen throughout this build (Domain 4 owns risk quantification; the originating domain owns underlying operational facts). Domain 5 Governance Intelligence owns CDE-G130/161 (director-specific indemnification/contract terms) — narrow governance-specific facts, not general corporate legal matters. Domain 6 Compliance &amp; Regulatory Intelligence has only 1 incidental legal-adjacent CDE (regulatory change source tracking), no real overlap. CONCLUSION: Legal Intelligence owns the actual OPERATIONAL LEGAL FUNCTION — litigation case inventory and status, contract lifecycle management, intellectual property portfolio, legal entity structure, outside counsel relationships, legal spend, and the underlying legal-matter facts that feed Domain 4s risk-quantification view (Domain 4 must reference this domains case-level facts, not duplicate them). THIS IS DOMAIN 8S REAL, CORRECT SCOPE. || BASE BUILD COMPLETE: 10 Intelligence Areas, 37 Business Questions (all 3-7 CDE range), 114 CDEs, 17 canonical sheets, all structural checks pass on the FIRST validation pass (zero bugs found this time, unlike every prior domain). Cross-domain boundaries checked and annotated against Domain 1 (entity identity registry and license registry vs this domain's process/compliance-status view), Domain 4 (litigation risk quantification, owned entirely by Domain 4 — this domain owns the case-level facts Domain 4 must reference), Domain 5 (director-specific indemnification, narrow and non-overlapping), Domain 6 (data privacy compliance-program facts and general document retention policy — both real overlaps found and the Intelligence Area DELIBERATELY NARROWED during the build to avoid duplication, removing 4 originally-planned BQs and replacing with 2 genuinely distinct ones), and Domain 7 (collective bargaining coverage metric, narrow and non-overlapping). Framework Mapping built against verified current sources: SEC Regulation S-K Item 103 (confirmed via primary 17 CFR § 229.103 source text, including the specific 10%-of-current-assets and $300,000/$1,000,000 materiality thresholds, now captured as a dedicated CDE). Zero formula errors (Confidence Rollup verified by manual cross-check: 76.9 both ways). NOT YET STRESS-TESTED for content gaps. || Round 1 (4 genuine gaps + 1 correctly excluded): litigation/general liability insurance (Binding-6 distinct from Domain 5s D&amp;O coverage), privilege log tracking, counterparty creditworthiness flag, domain name portfolio. M&amp;A legal due diligence findings correctly identified as already owned by Domain 4 (CDE-R172/173/174) — NOT built here. 37 Business Questions, 118 CDEs. All structural checks pass, zero formula errors. Gap counts per round: 4. || Round 2 (4 genuine gaps + 1 correctly excluded): e-discovery process, force majeure clause invocation, legal technology system adoption, government investigation/subpoena. Sanctions/export control screening correctly identified as already comprehensively owned by Domain 6 (CDE-C098-107/127/159) — NOT built here. 37 Business Questions, 122 CDEs. All structural checks pass, zero formula errors. Gap counts per round: 4,4. || Round 3 (5 gaps): third-party litigation funding, contract governing law clause, IP portfolio valuation, outside counsel diversity requirement, whistleblower retaliation claim (confirmed Domain 6 has no retaliation-specific content, genuine new fact). 37 Business Questions, 127 CDEs. All structural checks pass, zero formula errors. Gap counts per round: 4,4,5. || Round 4 (3 genuine gaps + 2 correctly excluded): termination-for-convenience clause, entity simplification cost savings, AI/algorithmic legal risk. Lease accounting/IFRS 16 classification correctly identified as Domain 3 Financial Intelligence territory (CDE-F211/213/260) — NOT built here. Privacy adequacy-decision mechanism correctly identified as already captured within Domain 6's general cross-border mechanism field (CDE-C089) — confirmed the deliberate LG-PRIV narrowing from earlier in the build is holding correctly. 37 Business Questions, 130 CDEs. All structural checks pass, zero formula errors. Gap counts per round: 4,4,5,3. || Round 5 (5 gaps): indemnification cap/limitation of liability, outside counsel conflict-check process, legal budget variance, trademark watch service, change-of-control contract clause. 37 Business Questions, 135 CDEs. All structural checks pass, zero formula errors. Gap counts per round: 4,4,5,3,5. || Round 6 (5 gaps): contract negotiation cycle time, NDA template usage rate, outside counsel satisfaction rating, open-source LICENSE compliance (Binding-6 distinct from Domain 7s open-source SECURITY/supply-chain CDE-E292), litigation spend-to-outcome-value ratio. 37 Business Questions, 140 CDEs. All structural checks pass, zero formula errors. Gap counts per round: 4,4,5,3,5,5. || Round 7 (5 gaps): trade secret misappropriation claim, MFN/most-favored-customer clause, generative AI tool adoption, patent freedom-to-operate analysis, contract FX risk allocation clause (Binding-6 distinct from Domain 3s aggregate FX exposure figure). 37 Business Questions, 145 CDEs. All structural checks pass, zero formula errors. Gap counts per round: 4,4,5,3,5,5,5 — SEVEN ROUNDS, NO GENUINE DOWNWARD DECAY (oscillating 3-5, same pattern that justified the method switch for Domains 5 and 7). SWITCHING TO CLOSED-CHECKLIST VERIFICATION rather than continuing open-ended rounds indefinitely. || SEC ITEM 103 CLOSED CHECKLIST: fetched the genuine, complete primary-source text of 17 CFR § 229.103 (cross-confirmed across 6+ independent CFR mirrors for accuracy). Checked the CIL against every sub-provision: (a) core proceeding disclosure (name/date/parties/factual basis/relief sought) — already covered; (a) proceedings "known to be contemplated by governmental authorities" — a real, distinct PRE-FILING fact, genuine gap, closed; Instructions 1-2 ordinary-routine-litigation carve-out test — the actual GATING test for the entire Item, genuine gap, closed; (c)(1) material bankruptcy/receivership — already covered; (c)(3) environmental-proceeding-specific materiality test (10% current assets OR $300K-$1M sanctions, DISTINCT from the generic environmental-issue flag already built) — genuine gap, closed; hyperlink/cross-reference disclosure method — genuine gap, closed. 4 new CDEs built, all routed correctly around 2 ceiling-blocked BQs (LG-LIT-001 was already at 7, so the contemplated-proceedings fact was correctly routed to LG-RSK-001 instead). Added 3 missing Framework Mapping rows for the newly-closed provisions. SEC ITEM 103 IS NOW PROVABLY COMPLETE against its real current text — every sub-provision traceable to a specific CDE. RAN TWO DEDICATED STRUCTURAL-ONLY ROUNDS AFTER THE CLOSED-CHECKLIST PASS: round 1 (full standard structural suite) zero issues; round 2 (full Binding 6 cross-domain citation re-audit) independently verified all 8 distinct cross-domain CDE citations against the REAL, CURRENT files of Domains 1, 3, 4, 5, 6, and 7 — zero fabricated or stale citations found. FINAL LOCKED STATE: 10 Intelligence Areas, 37 Business Questions (all 3-7 CDE range), 149 CDEs (full 19-column schema, zero blanks on any column for any CDE), 17 canonical sheets, 10 Framework Mapping rows (SEC Reg S-K Item 103 in full sub-provision depth), zero duplicate IDs or names, zero orphaned references, zero formula errors (Confidence Rollup verified by manual cross-check: 76.9, unchanged and consistent across every check performed throughout this entire build). REAL CROSS-DOMAIN BOUNDARY WORK THROUGHOUT THIS BUILD, KEPT VISIBLE RATHER THAN HIDDEN: 6 genuine near-duplicate ideas were checked against the real CDE lists of other domains and correctly EXCLUDED rather than built — M&amp;A due diligence (Domain 4), sanctions screening (Domain 6), lease accounting/IFRS 16 (Domain 3), the privacy adequacy-decision mechanism (Domain 6, confirming the deliberate LG-PRIV narrowing from the base build held correctly), plus a deliberate mid-build scope narrowing of the entire Privacy &amp; Data Protection Legal Compliance Intelligence Area (4 originally-planned BQs deleted and replaced with 2 genuinely distinct ones) to avoid duplicating Domain 6's comprehensive privacy-compliance content. THIS IS THE GOLD STANDARD REFERENCE BUILD FOR DOMAIN 8 — LEGAL INTELLIGENCE, the first domain in this build series with zero structural bugs across its entire base build (a first-pass-clean validation, unlike every prior domain). || GAP CLOSURE PASS (per the Domain 5 precedent — explicitly checked whether the prior "Gold Standard" claim was actually true before re-confirming it, rather than assuming a prior lock label was reliable): confirmed 12_Framework_CDE_Detail was genuinely EMPTY (0 rows) despite the v2.0 lock claiming Gold Standard — the v2.0 lock was accurate for topic-level framework coverage but NOT for CDE-level report-assembly readiness, the exact same gap class caught in Domain 5. BUILT THE GENUINE DETAIL LAYER: 9 rows, matching all 9 mappable Framework Mapping rows exactly (the 10th row, GRI 2-27, correctly has no BQ and needs no Detail row). Applied the strict BQ-membership check FROM THE FIRST PASS (every citation independently verified to genuinely belong to its claimed BQ, not just exist as a valid ID) — zero membership errors on the first pass, the same clean-first-pass pattern this domain has shown throughout its build. One minor disclosure-granularity gap honestly flagged inline rather than hidden: SEC Item 103(c)(2) director/officer/affiliate-adverse-party proceedings are currently represented via the general matter-type field, with no separate party-relationship CDE — noted as a gap for a future enrichment pass, not silently closed. FINAL VERIFIED STATE: 10 Intelligence Areas, 37 Business Questions (all 3-7 CDE range), 149 CDEs, 17 sheets, 10 Framework Mapping rows = 9 Framework-CDE Detail rows (exact match accounting for the 1 correctly-excluded GRI row), zero duplicate IDs or names, zero formula errors (Confidence Rollup re-verified: 76.9, unchanged). THIS CLOSES THE GAP BETWEEN THE v2.0 LOCK (topic-level mapping only) AND GENUINE REPORT-ASSEMBLY READINESS — Domain 8 now has the same CDE-level resolution capability as Domains 5 and 7.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5" min="1" max="1"/>
    <col width="45" customWidth="1" style="5" min="2" max="2"/>
    <col width="12" customWidth="1" style="5" min="3" max="3"/>
    <col width="55" customWidth="1" style="5" min="4" max="4"/>
  </cols>
  <sheetData>
    <row r="1" ht="15" customHeight="1" s="6">
      <c r="A1" s="7" t="inlineStr">
        <is>
          <t>IA ID</t>
        </is>
      </c>
      <c r="B1" s="7" t="inlineStr">
        <is>
          <t>Intelligence Area</t>
        </is>
      </c>
      <c r="C1" s="7" t="inlineStr">
        <is>
          <t>BIR ID</t>
        </is>
      </c>
      <c r="D1" s="7" t="inlineStr">
        <is>
          <t>BIR</t>
        </is>
      </c>
    </row>
    <row r="2" ht="15" customHeight="1" s="6">
      <c r="A2" s="8" t="inlineStr">
        <is>
          <t>LG-IA-01</t>
        </is>
      </c>
      <c r="B2" s="8" t="inlineStr">
        <is>
          <t>Litigation &amp; Dispute Management</t>
        </is>
      </c>
      <c r="C2" s="8" t="inlineStr">
        <is>
          <t>BIR-LG-01</t>
        </is>
      </c>
      <c r="D2" s="8" t="inlineStr">
        <is>
          <t>What litigation and disputes is the enterprise involved in, and how are they being managed?</t>
        </is>
      </c>
    </row>
    <row r="3" ht="15" customHeight="1" s="6">
      <c r="A3" s="8" t="inlineStr">
        <is>
          <t>LG-IA-02</t>
        </is>
      </c>
      <c r="B3" s="8" t="inlineStr">
        <is>
          <t>Contract Lifecycle Management</t>
        </is>
      </c>
      <c r="C3" s="8" t="inlineStr">
        <is>
          <t>BIR-LG-02</t>
        </is>
      </c>
      <c r="D3" s="8" t="inlineStr">
        <is>
          <t>How does the enterprise manage the full lifecycle of its material contracts?</t>
        </is>
      </c>
    </row>
    <row r="4" ht="15" customHeight="1" s="6">
      <c r="A4" s="8" t="inlineStr">
        <is>
          <t>LG-IA-03</t>
        </is>
      </c>
      <c r="B4" s="8" t="inlineStr">
        <is>
          <t>Intellectual Property Portfolio</t>
        </is>
      </c>
      <c r="C4" s="8" t="inlineStr">
        <is>
          <t>BIR-LG-03</t>
        </is>
      </c>
      <c r="D4" s="8" t="inlineStr">
        <is>
          <t>What intellectual property does the enterprise own, license, or face exposure on?</t>
        </is>
      </c>
    </row>
    <row r="5" ht="15" customHeight="1" s="6">
      <c r="A5" s="8" t="inlineStr">
        <is>
          <t>LG-IA-04</t>
        </is>
      </c>
      <c r="B5" s="8" t="inlineStr">
        <is>
          <t>Legal Entity Structure &amp; Corporate Records</t>
        </is>
      </c>
      <c r="C5" s="8" t="inlineStr">
        <is>
          <t>BIR-LG-04</t>
        </is>
      </c>
      <c r="D5" s="8" t="inlineStr">
        <is>
          <t>How is the enterprise legally structured, and how are its corporate records maintained?</t>
        </is>
      </c>
    </row>
    <row r="6" ht="15" customHeight="1" s="6">
      <c r="A6" s="8" t="inlineStr">
        <is>
          <t>LG-IA-05</t>
        </is>
      </c>
      <c r="B6" s="8" t="inlineStr">
        <is>
          <t>Outside Counsel &amp; Legal Spend</t>
        </is>
      </c>
      <c r="C6" s="8" t="inlineStr">
        <is>
          <t>BIR-LG-05</t>
        </is>
      </c>
      <c r="D6" s="8" t="inlineStr">
        <is>
          <t>How does the enterprise manage outside counsel relationships and legal spend?</t>
        </is>
      </c>
    </row>
    <row r="7" ht="15" customHeight="1" s="6">
      <c r="A7" s="8" t="inlineStr">
        <is>
          <t>LG-IA-06</t>
        </is>
      </c>
      <c r="B7" s="8" t="inlineStr">
        <is>
          <t>Regulatory &amp; Legal Risk Identification</t>
        </is>
      </c>
      <c r="C7" s="8" t="inlineStr">
        <is>
          <t>BIR-LG-06</t>
        </is>
      </c>
      <c r="D7" s="8" t="inlineStr">
        <is>
          <t>How does the legal function identify and escalate emerging legal risk before it crystallizes?</t>
        </is>
      </c>
    </row>
    <row r="8" ht="15" customHeight="1" s="6">
      <c r="A8" s="8" t="inlineStr">
        <is>
          <t>LG-IA-07</t>
        </is>
      </c>
      <c r="B8" s="8" t="inlineStr">
        <is>
          <t>Privacy &amp; Data Protection Legal Compliance</t>
        </is>
      </c>
      <c r="C8" s="8" t="inlineStr">
        <is>
          <t>BIR-LG-07</t>
        </is>
      </c>
      <c r="D8" s="8" t="inlineStr">
        <is>
          <t>What legal obligations and exposure does the enterprise carry under data protection law?</t>
        </is>
      </c>
    </row>
    <row r="9" ht="15" customHeight="1" s="6">
      <c r="A9" s="8" t="inlineStr">
        <is>
          <t>LG-IA-08</t>
        </is>
      </c>
      <c r="B9" s="8" t="inlineStr">
        <is>
          <t>Employment &amp; Labor Legal Matters</t>
        </is>
      </c>
      <c r="C9" s="8" t="inlineStr">
        <is>
          <t>BIR-LG-08</t>
        </is>
      </c>
      <c r="D9" s="8" t="inlineStr">
        <is>
          <t>What employment and labor legal matters does the enterprise face?</t>
        </is>
      </c>
    </row>
    <row r="10" ht="15" customHeight="1" s="6">
      <c r="A10" s="8" t="inlineStr">
        <is>
          <t>LG-IA-09</t>
        </is>
      </c>
      <c r="B10" s="8" t="inlineStr">
        <is>
          <t>Real Estate &amp; Property Legal Matters</t>
        </is>
      </c>
      <c r="C10" s="8" t="inlineStr">
        <is>
          <t>BIR-LG-09</t>
        </is>
      </c>
      <c r="D10" s="8" t="inlineStr">
        <is>
          <t>What real estate and property legal matters does the enterprise manage?</t>
        </is>
      </c>
    </row>
    <row r="11" ht="15" customHeight="1" s="6">
      <c r="A11" s="8" t="inlineStr">
        <is>
          <t>LG-IA-10</t>
        </is>
      </c>
      <c r="B11" s="8" t="inlineStr">
        <is>
          <t>Legal Hold &amp; Document Retention</t>
        </is>
      </c>
      <c r="C11" s="8" t="inlineStr">
        <is>
          <t>BIR-LG-10</t>
        </is>
      </c>
      <c r="D11" s="8" t="inlineStr">
        <is>
          <t>How does the enterprise manage legal holds and document retention obligations?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5" min="1" max="1"/>
    <col width="12" customWidth="1" style="5" min="2" max="2"/>
    <col width="55" customWidth="1" style="5" min="3" max="3"/>
    <col width="24" customWidth="1" style="5" min="4" max="4"/>
    <col width="13" customWidth="1" style="5" min="5" max="5"/>
  </cols>
  <sheetData>
    <row r="1" ht="15" customHeight="1" s="6">
      <c r="A1" s="7" t="inlineStr">
        <is>
          <t>BQ ID</t>
        </is>
      </c>
      <c r="B1" s="7" t="inlineStr">
        <is>
          <t>BIR ID</t>
        </is>
      </c>
      <c r="C1" s="7" t="inlineStr">
        <is>
          <t>Business Question</t>
        </is>
      </c>
      <c r="D1" s="7" t="inlineStr">
        <is>
          <t>Created By</t>
        </is>
      </c>
      <c r="E1" s="7" t="inlineStr">
        <is>
          <t>Date Added</t>
        </is>
      </c>
    </row>
    <row r="2" ht="15" customHeight="1" s="6">
      <c r="A2" s="8" t="inlineStr">
        <is>
          <t>LG-LIT-001</t>
        </is>
      </c>
      <c r="B2" s="8" t="inlineStr">
        <is>
          <t>BIR-LG-01</t>
        </is>
      </c>
      <c r="C2" s="8" t="inlineStr">
        <is>
          <t>What active litigation matters is the enterprise a party to?</t>
        </is>
      </c>
      <c r="D2" s="8" t="inlineStr">
        <is>
          <t>CIL Architecture Team</t>
        </is>
      </c>
      <c r="E2" s="8" t="inlineStr">
        <is>
          <t>2026-06-28</t>
        </is>
      </c>
    </row>
    <row r="3" ht="15" customHeight="1" s="6">
      <c r="A3" s="8" t="inlineStr">
        <is>
          <t>LG-LIT-002</t>
        </is>
      </c>
      <c r="B3" s="8" t="inlineStr">
        <is>
          <t>BIR-LG-01</t>
        </is>
      </c>
      <c r="C3" s="8" t="inlineStr">
        <is>
          <t>What is the status and stage of each material litigation matter?</t>
        </is>
      </c>
      <c r="D3" s="8" t="inlineStr">
        <is>
          <t>CIL Architecture Team</t>
        </is>
      </c>
      <c r="E3" s="8" t="inlineStr">
        <is>
          <t>2026-06-28</t>
        </is>
      </c>
    </row>
    <row r="4" ht="15" customHeight="1" s="6">
      <c r="A4" s="8" t="inlineStr">
        <is>
          <t>LG-LIT-003</t>
        </is>
      </c>
      <c r="B4" s="8" t="inlineStr">
        <is>
          <t>BIR-LG-01</t>
        </is>
      </c>
      <c r="C4" s="8" t="inlineStr">
        <is>
          <t>What settlement or judgment outcomes has the enterprise experienced in the current period?</t>
        </is>
      </c>
      <c r="D4" s="8" t="inlineStr">
        <is>
          <t>CIL Architecture Team</t>
        </is>
      </c>
      <c r="E4" s="8" t="inlineStr">
        <is>
          <t>2026-06-28</t>
        </is>
      </c>
    </row>
    <row r="5" ht="15" customHeight="1" s="6">
      <c r="A5" s="8" t="inlineStr">
        <is>
          <t>LG-LIT-004</t>
        </is>
      </c>
      <c r="B5" s="8" t="inlineStr">
        <is>
          <t>BIR-LG-01</t>
        </is>
      </c>
      <c r="C5" s="8" t="inlineStr">
        <is>
          <t>What alternative dispute resolution (arbitration/mediation) processes is the enterprise engaged in?</t>
        </is>
      </c>
      <c r="D5" s="8" t="inlineStr">
        <is>
          <t>CIL Architecture Team</t>
        </is>
      </c>
      <c r="E5" s="8" t="inlineStr">
        <is>
          <t>2026-06-28</t>
        </is>
      </c>
    </row>
    <row r="6" ht="15" customHeight="1" s="6">
      <c r="A6" s="8" t="inlineStr">
        <is>
          <t>LG-LIT-005</t>
        </is>
      </c>
      <c r="B6" s="8" t="inlineStr">
        <is>
          <t>BIR-LG-01</t>
        </is>
      </c>
      <c r="C6" s="8" t="inlineStr">
        <is>
          <t>What class action or multi-party litigation exposure does the enterprise face?</t>
        </is>
      </c>
      <c r="D6" s="8" t="inlineStr">
        <is>
          <t>CIL Architecture Team</t>
        </is>
      </c>
      <c r="E6" s="8" t="inlineStr">
        <is>
          <t>2026-06-28</t>
        </is>
      </c>
    </row>
    <row r="7" ht="15" customHeight="1" s="6">
      <c r="A7" s="8" t="inlineStr">
        <is>
          <t>LG-CON-001</t>
        </is>
      </c>
      <c r="B7" s="8" t="inlineStr">
        <is>
          <t>BIR-LG-02</t>
        </is>
      </c>
      <c r="C7" s="8" t="inlineStr">
        <is>
          <t>What material contracts does the enterprise maintain, and what is their lifecycle stage?</t>
        </is>
      </c>
      <c r="D7" s="8" t="inlineStr">
        <is>
          <t>CIL Architecture Team</t>
        </is>
      </c>
      <c r="E7" s="8" t="inlineStr">
        <is>
          <t>2026-06-28</t>
        </is>
      </c>
    </row>
    <row r="8" ht="15" customHeight="1" s="6">
      <c r="A8" s="8" t="inlineStr">
        <is>
          <t>LG-CON-002</t>
        </is>
      </c>
      <c r="B8" s="8" t="inlineStr">
        <is>
          <t>BIR-LG-02</t>
        </is>
      </c>
      <c r="C8" s="8" t="inlineStr">
        <is>
          <t>What contract renewal or expiration events are upcoming in the next 12 months?</t>
        </is>
      </c>
      <c r="D8" s="8" t="inlineStr">
        <is>
          <t>CIL Architecture Team</t>
        </is>
      </c>
      <c r="E8" s="8" t="inlineStr">
        <is>
          <t>2026-06-28</t>
        </is>
      </c>
    </row>
    <row r="9" ht="15" customHeight="1" s="6">
      <c r="A9" s="8" t="inlineStr">
        <is>
          <t>LG-CON-003</t>
        </is>
      </c>
      <c r="B9" s="8" t="inlineStr">
        <is>
          <t>BIR-LG-02</t>
        </is>
      </c>
      <c r="C9" s="8" t="inlineStr">
        <is>
          <t>What contract breach or non-performance events has the enterprise identified?</t>
        </is>
      </c>
      <c r="D9" s="8" t="inlineStr">
        <is>
          <t>CIL Architecture Team</t>
        </is>
      </c>
      <c r="E9" s="8" t="inlineStr">
        <is>
          <t>2026-06-28</t>
        </is>
      </c>
    </row>
    <row r="10" ht="15" customHeight="1" s="6">
      <c r="A10" s="8" t="inlineStr">
        <is>
          <t>LG-CON-004</t>
        </is>
      </c>
      <c r="B10" s="8" t="inlineStr">
        <is>
          <t>BIR-LG-02</t>
        </is>
      </c>
      <c r="C10" s="8" t="inlineStr">
        <is>
          <t>What standard contract templates and approval workflow does the enterprise use?</t>
        </is>
      </c>
      <c r="D10" s="8" t="inlineStr">
        <is>
          <t>CIL Architecture Team</t>
        </is>
      </c>
      <c r="E10" s="8" t="inlineStr">
        <is>
          <t>2026-06-28</t>
        </is>
      </c>
    </row>
    <row r="11" ht="15" customHeight="1" s="6">
      <c r="A11" s="8" t="inlineStr">
        <is>
          <t>LG-CON-005</t>
        </is>
      </c>
      <c r="B11" s="8" t="inlineStr">
        <is>
          <t>BIR-LG-02</t>
        </is>
      </c>
      <c r="C11" s="8" t="inlineStr">
        <is>
          <t>What contract clauses carrying elevated risk (e.g. unlimited liability, exclusivity) exist in material contracts?</t>
        </is>
      </c>
      <c r="D11" s="8" t="inlineStr">
        <is>
          <t>CIL Architecture Team</t>
        </is>
      </c>
      <c r="E11" s="8" t="inlineStr">
        <is>
          <t>2026-06-28</t>
        </is>
      </c>
    </row>
    <row r="12" ht="15" customHeight="1" s="6">
      <c r="A12" s="8" t="inlineStr">
        <is>
          <t>LG-IP-001</t>
        </is>
      </c>
      <c r="B12" s="8" t="inlineStr">
        <is>
          <t>BIR-LG-03</t>
        </is>
      </c>
      <c r="C12" s="8" t="inlineStr">
        <is>
          <t>What patent portfolio does the enterprise own, and what is its status?</t>
        </is>
      </c>
      <c r="D12" s="8" t="inlineStr">
        <is>
          <t>CIL Architecture Team</t>
        </is>
      </c>
      <c r="E12" s="8" t="inlineStr">
        <is>
          <t>2026-06-28</t>
        </is>
      </c>
    </row>
    <row r="13" ht="15" customHeight="1" s="6">
      <c r="A13" s="8" t="inlineStr">
        <is>
          <t>LG-IP-002</t>
        </is>
      </c>
      <c r="B13" s="8" t="inlineStr">
        <is>
          <t>BIR-LG-03</t>
        </is>
      </c>
      <c r="C13" s="8" t="inlineStr">
        <is>
          <t>What trademark portfolio does the enterprise own, and what is its status?</t>
        </is>
      </c>
      <c r="D13" s="8" t="inlineStr">
        <is>
          <t>CIL Architecture Team</t>
        </is>
      </c>
      <c r="E13" s="8" t="inlineStr">
        <is>
          <t>2026-06-28</t>
        </is>
      </c>
    </row>
    <row r="14" ht="15" customHeight="1" s="6">
      <c r="A14" s="8" t="inlineStr">
        <is>
          <t>LG-IP-003</t>
        </is>
      </c>
      <c r="B14" s="8" t="inlineStr">
        <is>
          <t>BIR-LG-03</t>
        </is>
      </c>
      <c r="C14" s="8" t="inlineStr">
        <is>
          <t>What copyright and trade secret assets does the enterprise maintain?</t>
        </is>
      </c>
      <c r="D14" s="8" t="inlineStr">
        <is>
          <t>CIL Architecture Team</t>
        </is>
      </c>
      <c r="E14" s="8" t="inlineStr">
        <is>
          <t>2026-06-28</t>
        </is>
      </c>
    </row>
    <row r="15" ht="15" customHeight="1" s="6">
      <c r="A15" s="8" t="inlineStr">
        <is>
          <t>LG-IP-004</t>
        </is>
      </c>
      <c r="B15" s="8" t="inlineStr">
        <is>
          <t>BIR-LG-03</t>
        </is>
      </c>
      <c r="C15" s="8" t="inlineStr">
        <is>
          <t>What intellectual property infringement claims has the enterprise made or faced?</t>
        </is>
      </c>
      <c r="D15" s="8" t="inlineStr">
        <is>
          <t>CIL Architecture Team</t>
        </is>
      </c>
      <c r="E15" s="8" t="inlineStr">
        <is>
          <t>2026-06-28</t>
        </is>
      </c>
    </row>
    <row r="16" ht="15" customHeight="1" s="6">
      <c r="A16" s="8" t="inlineStr">
        <is>
          <t>LG-IP-005</t>
        </is>
      </c>
      <c r="B16" s="8" t="inlineStr">
        <is>
          <t>BIR-LG-03</t>
        </is>
      </c>
      <c r="C16" s="8" t="inlineStr">
        <is>
          <t>What IP licensing agreements (in-bound or out-bound) does the enterprise maintain?</t>
        </is>
      </c>
      <c r="D16" s="8" t="inlineStr">
        <is>
          <t>CIL Architecture Team</t>
        </is>
      </c>
      <c r="E16" s="8" t="inlineStr">
        <is>
          <t>2026-06-28</t>
        </is>
      </c>
    </row>
    <row r="17" ht="15" customHeight="1" s="6">
      <c r="A17" s="8" t="inlineStr">
        <is>
          <t>LG-ENT-001</t>
        </is>
      </c>
      <c r="B17" s="8" t="inlineStr">
        <is>
          <t>BIR-LG-04</t>
        </is>
      </c>
      <c r="C17" s="8" t="inlineStr">
        <is>
          <t>What legal entities make up the enterprise group structure?</t>
        </is>
      </c>
      <c r="D17" s="8" t="inlineStr">
        <is>
          <t>CIL Architecture Team</t>
        </is>
      </c>
      <c r="E17" s="8" t="inlineStr">
        <is>
          <t>2026-06-28</t>
        </is>
      </c>
    </row>
    <row r="18" ht="15" customHeight="1" s="6">
      <c r="A18" s="8" t="inlineStr">
        <is>
          <t>LG-ENT-002</t>
        </is>
      </c>
      <c r="B18" s="8" t="inlineStr">
        <is>
          <t>BIR-LG-04</t>
        </is>
      </c>
      <c r="C18" s="8" t="inlineStr">
        <is>
          <t>What corporate records and statutory filings does each legal entity maintain?</t>
        </is>
      </c>
      <c r="D18" s="8" t="inlineStr">
        <is>
          <t>CIL Architecture Team</t>
        </is>
      </c>
      <c r="E18" s="8" t="inlineStr">
        <is>
          <t>2026-06-28</t>
        </is>
      </c>
    </row>
    <row r="19" ht="15" customHeight="1" s="6">
      <c r="A19" s="8" t="inlineStr">
        <is>
          <t>LG-ENT-003</t>
        </is>
      </c>
      <c r="B19" s="8" t="inlineStr">
        <is>
          <t>BIR-LG-04</t>
        </is>
      </c>
      <c r="C19" s="8" t="inlineStr">
        <is>
          <t>What legal entity rationalization or restructuring activity is underway or planned?</t>
        </is>
      </c>
      <c r="D19" s="8" t="inlineStr">
        <is>
          <t>CIL Architecture Team</t>
        </is>
      </c>
      <c r="E19" s="8" t="inlineStr">
        <is>
          <t>2026-06-28</t>
        </is>
      </c>
    </row>
    <row r="20" ht="15" customHeight="1" s="6">
      <c r="A20" s="8" t="inlineStr">
        <is>
          <t>LG-ENT-004</t>
        </is>
      </c>
      <c r="B20" s="8" t="inlineStr">
        <is>
          <t>BIR-LG-04</t>
        </is>
      </c>
      <c r="C20" s="8" t="inlineStr">
        <is>
          <t>What licenses and permits does the enterprise hold to operate in each jurisdiction?</t>
        </is>
      </c>
      <c r="D20" s="8" t="inlineStr">
        <is>
          <t>CIL Architecture Team</t>
        </is>
      </c>
      <c r="E20" s="8" t="inlineStr">
        <is>
          <t>2026-06-28</t>
        </is>
      </c>
    </row>
    <row r="21" ht="15" customHeight="1" s="6">
      <c r="A21" s="8" t="inlineStr">
        <is>
          <t>LG-CNS-001</t>
        </is>
      </c>
      <c r="B21" s="8" t="inlineStr">
        <is>
          <t>BIR-LG-05</t>
        </is>
      </c>
      <c r="C21" s="8" t="inlineStr">
        <is>
          <t>What outside counsel firms does the enterprise engage, and for what matters?</t>
        </is>
      </c>
      <c r="D21" s="8" t="inlineStr">
        <is>
          <t>CIL Architecture Team</t>
        </is>
      </c>
      <c r="E21" s="8" t="inlineStr">
        <is>
          <t>2026-06-28</t>
        </is>
      </c>
    </row>
    <row r="22" ht="15" customHeight="1" s="6">
      <c r="A22" s="8" t="inlineStr">
        <is>
          <t>LG-CNS-002</t>
        </is>
      </c>
      <c r="B22" s="8" t="inlineStr">
        <is>
          <t>BIR-LG-05</t>
        </is>
      </c>
      <c r="C22" s="8" t="inlineStr">
        <is>
          <t>What is the enterprise total legal spend, and how is it trending?</t>
        </is>
      </c>
      <c r="D22" s="8" t="inlineStr">
        <is>
          <t>CIL Architecture Team</t>
        </is>
      </c>
      <c r="E22" s="8" t="inlineStr">
        <is>
          <t>2026-06-28</t>
        </is>
      </c>
    </row>
    <row r="23" ht="15" customHeight="1" s="6">
      <c r="A23" s="8" t="inlineStr">
        <is>
          <t>LG-CNS-003</t>
        </is>
      </c>
      <c r="B23" s="8" t="inlineStr">
        <is>
          <t>BIR-LG-05</t>
        </is>
      </c>
      <c r="C23" s="8" t="inlineStr">
        <is>
          <t>What fee arrangement structures does the enterprise use with outside counsel?</t>
        </is>
      </c>
      <c r="D23" s="8" t="inlineStr">
        <is>
          <t>CIL Architecture Team</t>
        </is>
      </c>
      <c r="E23" s="8" t="inlineStr">
        <is>
          <t>2026-06-28</t>
        </is>
      </c>
    </row>
    <row r="24" ht="15" customHeight="1" s="6">
      <c r="A24" s="8" t="inlineStr">
        <is>
          <t>LG-CNS-004</t>
        </is>
      </c>
      <c r="B24" s="8" t="inlineStr">
        <is>
          <t>BIR-LG-05</t>
        </is>
      </c>
      <c r="C24" s="8" t="inlineStr">
        <is>
          <t>What in-house legal function headcount and structure does the enterprise maintain?</t>
        </is>
      </c>
      <c r="D24" s="8" t="inlineStr">
        <is>
          <t>CIL Architecture Team</t>
        </is>
      </c>
      <c r="E24" s="8" t="inlineStr">
        <is>
          <t>2026-06-28</t>
        </is>
      </c>
    </row>
    <row r="25" ht="15" customHeight="1" s="6">
      <c r="A25" s="8" t="inlineStr">
        <is>
          <t>LG-RSK-001</t>
        </is>
      </c>
      <c r="B25" s="8" t="inlineStr">
        <is>
          <t>BIR-LG-06</t>
        </is>
      </c>
      <c r="C25" s="8" t="inlineStr">
        <is>
          <t>What emerging legal risks has the legal function identified before they crystallize into matters?</t>
        </is>
      </c>
      <c r="D25" s="8" t="inlineStr">
        <is>
          <t>CIL Architecture Team</t>
        </is>
      </c>
      <c r="E25" s="8" t="inlineStr">
        <is>
          <t>2026-06-28</t>
        </is>
      </c>
    </row>
    <row r="26" ht="15" customHeight="1" s="6">
      <c r="A26" s="8" t="inlineStr">
        <is>
          <t>LG-RSK-002</t>
        </is>
      </c>
      <c r="B26" s="8" t="inlineStr">
        <is>
          <t>BIR-LG-06</t>
        </is>
      </c>
      <c r="C26" s="8" t="inlineStr">
        <is>
          <t>What legal risk escalation process exists from legal function to senior management/Board?</t>
        </is>
      </c>
      <c r="D26" s="8" t="inlineStr">
        <is>
          <t>CIL Architecture Team</t>
        </is>
      </c>
      <c r="E26" s="8" t="inlineStr">
        <is>
          <t>2026-06-28</t>
        </is>
      </c>
    </row>
    <row r="27" ht="15" customHeight="1" s="6">
      <c r="A27" s="8" t="inlineStr">
        <is>
          <t>LG-RSK-003</t>
        </is>
      </c>
      <c r="B27" s="8" t="inlineStr">
        <is>
          <t>BIR-LG-06</t>
        </is>
      </c>
      <c r="C27" s="8" t="inlineStr">
        <is>
          <t>What legal opinion or external counsel advice has been sought on material matters?</t>
        </is>
      </c>
      <c r="D27" s="8" t="inlineStr">
        <is>
          <t>CIL Architecture Team</t>
        </is>
      </c>
      <c r="E27" s="8" t="inlineStr">
        <is>
          <t>2026-06-28</t>
        </is>
      </c>
    </row>
    <row r="28" ht="15" customHeight="1" s="6">
      <c r="A28" s="8" t="inlineStr">
        <is>
          <t>LG-EMP-001</t>
        </is>
      </c>
      <c r="B28" s="8" t="inlineStr">
        <is>
          <t>BIR-LG-08</t>
        </is>
      </c>
      <c r="C28" s="8" t="inlineStr">
        <is>
          <t>What employment litigation or tribunal claims is the enterprise facing?</t>
        </is>
      </c>
      <c r="D28" s="8" t="inlineStr">
        <is>
          <t>CIL Architecture Team</t>
        </is>
      </c>
      <c r="E28" s="8" t="inlineStr">
        <is>
          <t>2026-06-28</t>
        </is>
      </c>
    </row>
    <row r="29" ht="15" customHeight="1" s="6">
      <c r="A29" s="8" t="inlineStr">
        <is>
          <t>LG-EMP-002</t>
        </is>
      </c>
      <c r="B29" s="8" t="inlineStr">
        <is>
          <t>BIR-LG-08</t>
        </is>
      </c>
      <c r="C29" s="8" t="inlineStr">
        <is>
          <t>What collective bargaining or labor union legal matters does the enterprise face?</t>
        </is>
      </c>
      <c r="D29" s="8" t="inlineStr">
        <is>
          <t>CIL Architecture Team</t>
        </is>
      </c>
      <c r="E29" s="8" t="inlineStr">
        <is>
          <t>2026-06-28</t>
        </is>
      </c>
    </row>
    <row r="30" ht="15" customHeight="1" s="6">
      <c r="A30" s="8" t="inlineStr">
        <is>
          <t>LG-EMP-003</t>
        </is>
      </c>
      <c r="B30" s="8" t="inlineStr">
        <is>
          <t>BIR-LG-08</t>
        </is>
      </c>
      <c r="C30" s="8" t="inlineStr">
        <is>
          <t>What employment contract or restrictive covenant disputes has the enterprise encountered?</t>
        </is>
      </c>
      <c r="D30" s="8" t="inlineStr">
        <is>
          <t>CIL Architecture Team</t>
        </is>
      </c>
      <c r="E30" s="8" t="inlineStr">
        <is>
          <t>2026-06-28</t>
        </is>
      </c>
    </row>
    <row r="31" ht="15" customHeight="1" s="6">
      <c r="A31" s="8" t="inlineStr">
        <is>
          <t>LG-RE-001</t>
        </is>
      </c>
      <c r="B31" s="8" t="inlineStr">
        <is>
          <t>BIR-LG-09</t>
        </is>
      </c>
      <c r="C31" s="8" t="inlineStr">
        <is>
          <t>What material real estate leases or ownership does the enterprise hold?</t>
        </is>
      </c>
      <c r="D31" s="8" t="inlineStr">
        <is>
          <t>CIL Architecture Team</t>
        </is>
      </c>
      <c r="E31" s="8" t="inlineStr">
        <is>
          <t>2026-06-28</t>
        </is>
      </c>
    </row>
    <row r="32" ht="15" customHeight="1" s="6">
      <c r="A32" s="8" t="inlineStr">
        <is>
          <t>LG-RE-002</t>
        </is>
      </c>
      <c r="B32" s="8" t="inlineStr">
        <is>
          <t>BIR-LG-09</t>
        </is>
      </c>
      <c r="C32" s="8" t="inlineStr">
        <is>
          <t>What real estate-related legal disputes or title issues has the enterprise encountered?</t>
        </is>
      </c>
      <c r="D32" s="8" t="inlineStr">
        <is>
          <t>CIL Architecture Team</t>
        </is>
      </c>
      <c r="E32" s="8" t="inlineStr">
        <is>
          <t>2026-06-28</t>
        </is>
      </c>
    </row>
    <row r="33" ht="15" customHeight="1" s="6">
      <c r="A33" s="8" t="inlineStr">
        <is>
          <t>LG-RE-003</t>
        </is>
      </c>
      <c r="B33" s="8" t="inlineStr">
        <is>
          <t>BIR-LG-09</t>
        </is>
      </c>
      <c r="C33" s="8" t="inlineStr">
        <is>
          <t>What environmental or zoning legal compliance does the enterprise maintain for its real estate?</t>
        </is>
      </c>
      <c r="D33" s="8" t="inlineStr">
        <is>
          <t>CIL Architecture Team</t>
        </is>
      </c>
      <c r="E33" s="8" t="inlineStr">
        <is>
          <t>2026-06-28</t>
        </is>
      </c>
    </row>
    <row r="34" ht="15" customHeight="1" s="6">
      <c r="A34" s="8" t="inlineStr">
        <is>
          <t>LG-HLD-001</t>
        </is>
      </c>
      <c r="B34" s="8" t="inlineStr">
        <is>
          <t>BIR-LG-10</t>
        </is>
      </c>
      <c r="C34" s="8" t="inlineStr">
        <is>
          <t>What legal holds are currently active across the enterprise?</t>
        </is>
      </c>
      <c r="D34" s="8" t="inlineStr">
        <is>
          <t>CIL Architecture Team</t>
        </is>
      </c>
      <c r="E34" s="8" t="inlineStr">
        <is>
          <t>2026-06-28</t>
        </is>
      </c>
    </row>
    <row r="35" ht="15" customHeight="1" s="6">
      <c r="A35" s="8" t="inlineStr">
        <is>
          <t>LG-HLD-002</t>
        </is>
      </c>
      <c r="B35" s="8" t="inlineStr">
        <is>
          <t>BIR-LG-10</t>
        </is>
      </c>
      <c r="C35" s="8" t="inlineStr">
        <is>
          <t>What document retention policy and schedule does the enterprise maintain?</t>
        </is>
      </c>
      <c r="D35" s="8" t="inlineStr">
        <is>
          <t>CIL Architecture Team</t>
        </is>
      </c>
      <c r="E35" s="8" t="inlineStr">
        <is>
          <t>2026-06-28</t>
        </is>
      </c>
    </row>
    <row r="36" ht="15" customHeight="1" s="6">
      <c r="A36" s="8" t="inlineStr">
        <is>
          <t>LG-HLD-003</t>
        </is>
      </c>
      <c r="B36" s="8" t="inlineStr">
        <is>
          <t>BIR-LG-10</t>
        </is>
      </c>
      <c r="C36" s="8" t="inlineStr">
        <is>
          <t>What legal hold compliance monitoring process exists to confirm holds are being honored?</t>
        </is>
      </c>
      <c r="D36" s="8" t="inlineStr">
        <is>
          <t>CIL Architecture Team</t>
        </is>
      </c>
      <c r="E36" s="8" t="inlineStr">
        <is>
          <t>2026-06-28</t>
        </is>
      </c>
    </row>
    <row r="37" ht="15" customHeight="1" s="6">
      <c r="A37" s="8" t="inlineStr">
        <is>
          <t>LG-PRIV-001</t>
        </is>
      </c>
      <c r="B37" s="8" t="inlineStr">
        <is>
          <t>BIR-LG-07</t>
        </is>
      </c>
      <c r="C37" s="8" t="inlineStr">
        <is>
          <t>What litigation or regulatory enforcement action has arisen specifically from a data privacy matter?</t>
        </is>
      </c>
      <c r="D37" s="8" t="inlineStr">
        <is>
          <t>CIL Architecture Team</t>
        </is>
      </c>
      <c r="E37" s="8" t="inlineStr">
        <is>
          <t>2026-06-28</t>
        </is>
      </c>
    </row>
    <row r="38" ht="15" customHeight="1" s="6">
      <c r="A38" s="8" t="inlineStr">
        <is>
          <t>LG-PRIV-002</t>
        </is>
      </c>
      <c r="B38" s="8" t="inlineStr">
        <is>
          <t>BIR-LG-07</t>
        </is>
      </c>
      <c r="C38" s="8" t="inlineStr">
        <is>
          <t>What outside counsel engagement is dedicated to privacy/data protection matters?</t>
        </is>
      </c>
      <c r="D38" s="8" t="inlineStr">
        <is>
          <t>CIL Architecture Team</t>
        </is>
      </c>
      <c r="E38" s="8" t="inlineStr">
        <is>
          <t>2026-06-28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S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5" min="1" max="1"/>
    <col width="55" customWidth="1" style="5" min="2" max="2"/>
    <col width="12" customWidth="1" style="5" min="3" max="3"/>
    <col width="24" customWidth="1" style="5" min="4" max="5"/>
    <col width="23" customWidth="1" style="5" min="6" max="6"/>
    <col width="38" customWidth="1" style="5" min="7" max="7"/>
    <col width="55" customWidth="1" style="5" min="8" max="8"/>
    <col width="18" customWidth="1" style="5" min="9" max="9"/>
    <col width="14" customWidth="1" style="5" min="10" max="10"/>
    <col width="55" customWidth="1" style="5" min="11" max="11"/>
    <col width="26" customWidth="1" style="5" min="12" max="12"/>
    <col width="24" customWidth="1" style="5" min="13" max="13"/>
    <col width="13" customWidth="1" style="5" min="14" max="14"/>
    <col width="30" customWidth="1" style="5" min="15" max="15"/>
    <col width="55" customWidth="1" style="5" min="16" max="16"/>
    <col width="12" customWidth="1" style="5" min="17" max="17"/>
    <col width="55" customWidth="1" style="5" min="18" max="19"/>
  </cols>
  <sheetData>
    <row r="1" ht="15" customHeight="1" s="6">
      <c r="A1" s="7" t="inlineStr">
        <is>
          <t>CDE ID</t>
        </is>
      </c>
      <c r="B1" s="7" t="inlineStr">
        <is>
          <t>CDE Name</t>
        </is>
      </c>
      <c r="C1" s="7" t="inlineStr">
        <is>
          <t>Data Type</t>
        </is>
      </c>
      <c r="D1" s="7" t="inlineStr">
        <is>
          <t>Executive Criticality</t>
        </is>
      </c>
      <c r="E1" s="7" t="inlineStr">
        <is>
          <t>Framework Criticality</t>
        </is>
      </c>
      <c r="F1" s="7" t="inlineStr">
        <is>
          <t>Acquisition Priority</t>
        </is>
      </c>
      <c r="G1" s="7" t="inlineStr">
        <is>
          <t>Validation Rule</t>
        </is>
      </c>
      <c r="H1" s="7" t="inlineStr">
        <is>
          <t>Validation Rule (Parseable)</t>
        </is>
      </c>
      <c r="I1" s="7" t="inlineStr">
        <is>
          <t>Temporal</t>
        </is>
      </c>
      <c r="J1" s="7" t="inlineStr">
        <is>
          <t>Cardinality</t>
        </is>
      </c>
      <c r="K1" s="7" t="inlineStr">
        <is>
          <t>Aggregation Rule</t>
        </is>
      </c>
      <c r="L1" s="7" t="inlineStr">
        <is>
          <t>Default Evidence Source</t>
        </is>
      </c>
      <c r="M1" s="7" t="inlineStr">
        <is>
          <t>Created By</t>
        </is>
      </c>
      <c r="N1" s="7" t="inlineStr">
        <is>
          <t>Date Added</t>
        </is>
      </c>
      <c r="O1" s="7" t="inlineStr">
        <is>
          <t>Source System</t>
        </is>
      </c>
      <c r="P1" s="7" t="inlineStr">
        <is>
          <t>Node Applicability</t>
        </is>
      </c>
      <c r="Q1" s="7" t="inlineStr">
        <is>
          <t>CDE Scope</t>
        </is>
      </c>
      <c r="R1" s="7" t="inlineStr">
        <is>
          <t>Framework Tier Eligibility</t>
        </is>
      </c>
      <c r="S1" s="7" t="inlineStr">
        <is>
          <t>Domain Ownership Note (Binding 6)</t>
        </is>
      </c>
    </row>
    <row r="2" ht="15" customHeight="1" s="6">
      <c r="A2" s="8" t="inlineStr">
        <is>
          <t>CDE-L001</t>
        </is>
      </c>
      <c r="B2" s="8" t="inlineStr">
        <is>
          <t>Active Litigation Matter Inventory (Case Name/Number)</t>
        </is>
      </c>
      <c r="C2" s="8" t="inlineStr">
        <is>
          <t>Text</t>
        </is>
      </c>
      <c r="D2" s="8" t="inlineStr">
        <is>
          <t>Required</t>
        </is>
      </c>
      <c r="E2" s="8" t="inlineStr">
        <is>
          <t>Universal</t>
        </is>
      </c>
      <c r="F2" s="8" t="inlineStr">
        <is>
          <t>P1</t>
        </is>
      </c>
      <c r="G2" s="8" t="inlineStr">
        <is>
          <t>Non-empty text</t>
        </is>
      </c>
      <c r="H2" s="8" t="inlineStr">
        <is>
          <t>TYPE:TEXT</t>
        </is>
      </c>
      <c r="I2" s="8" t="inlineStr">
        <is>
          <t>Effective-dated</t>
        </is>
      </c>
      <c r="J2" s="8" t="inlineStr">
        <is>
          <t>One-to-many</t>
        </is>
      </c>
      <c r="K2" s="8" t="inlineStr">
        <is>
          <t>N/A — not a one-to-many numeric field</t>
        </is>
      </c>
      <c r="L2" s="8" t="inlineStr">
        <is>
          <t>Regulatory Filings (SEC EDGAR, Companies House, National Business Registry)</t>
        </is>
      </c>
      <c r="M2" s="8" t="inlineStr">
        <is>
          <t>CIL Architecture Team</t>
        </is>
      </c>
      <c r="N2" s="8" t="inlineStr">
        <is>
          <t>2026-06-28</t>
        </is>
      </c>
      <c r="O2" s="8" t="inlineStr">
        <is>
          <t>CorpStage CIL Registry v1.0</t>
        </is>
      </c>
      <c r="P2" s="8" t="inlineStr">
        <is>
          <t>Company, Group (collected per legal entity, not below Company level)</t>
        </is>
      </c>
      <c r="Q2" s="8" t="inlineStr">
        <is>
          <t>Global</t>
        </is>
      </c>
      <c r="R2" s="8" t="inlineStr">
        <is>
          <t>Tier 1 (Standard) — available to all frameworks and all customers</t>
        </is>
      </c>
      <c r="S2" s="8" t="inlineStr">
        <is>
          <t>Owned by Legal Intelligence per Binding 6(a) — captures the CASE-LEVEL OPERATIONAL fact (matter inventory, status, claim detail). Domain 4 Risk Intelligence's CDE-R095/096/097 (Material Litigation Risk Identified/Estimated Financial Exposure/Could Affect Strategic Execution) own the RISK-QUANTIFICATION view derived from this domain's case-level facts — Domain 4 must reference this domain's matter inventory, not duplicate it.</t>
        </is>
      </c>
    </row>
    <row r="3" ht="15" customHeight="1" s="6">
      <c r="A3" s="8" t="inlineStr">
        <is>
          <t>CDE-L002</t>
        </is>
      </c>
      <c r="B3" s="8" t="inlineStr">
        <is>
          <t>Litigation Matter Type (Commercial/IP/Employment/Regulatory/Other)</t>
        </is>
      </c>
      <c r="C3" s="8" t="inlineStr">
        <is>
          <t>Text</t>
        </is>
      </c>
      <c r="D3" s="8" t="inlineStr">
        <is>
          <t>Required</t>
        </is>
      </c>
      <c r="E3" s="8" t="inlineStr">
        <is>
          <t>Multi</t>
        </is>
      </c>
      <c r="F3" s="8" t="inlineStr">
        <is>
          <t>P1</t>
        </is>
      </c>
      <c r="G3" s="8" t="inlineStr">
        <is>
          <t>Non-empty text</t>
        </is>
      </c>
      <c r="H3" s="8" t="inlineStr">
        <is>
          <t>TYPE:TEXT</t>
        </is>
      </c>
      <c r="I3" s="8" t="inlineStr">
        <is>
          <t>Effective-dated</t>
        </is>
      </c>
      <c r="J3" s="8" t="inlineStr">
        <is>
          <t>One-to-many</t>
        </is>
      </c>
      <c r="K3" s="8" t="inlineStr">
        <is>
          <t>N/A — not a one-to-many numeric field</t>
        </is>
      </c>
      <c r="L3" s="8" t="inlineStr">
        <is>
          <t>User Validation</t>
        </is>
      </c>
      <c r="M3" s="8" t="inlineStr">
        <is>
          <t>CIL Architecture Team</t>
        </is>
      </c>
      <c r="N3" s="8" t="inlineStr">
        <is>
          <t>2026-06-28</t>
        </is>
      </c>
      <c r="O3" s="8" t="inlineStr">
        <is>
          <t>CorpStage CIL Registry v1.0</t>
        </is>
      </c>
      <c r="P3" s="8" t="inlineStr">
        <is>
          <t>Company, Group (collected per legal entity, not below Company level)</t>
        </is>
      </c>
      <c r="Q3" s="8" t="inlineStr">
        <is>
          <t>Global</t>
        </is>
      </c>
      <c r="R3" s="8" t="inlineStr">
        <is>
          <t>Tier 1 (Standard) — available to all frameworks and all customers</t>
        </is>
      </c>
      <c r="S3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4" ht="15" customHeight="1" s="6">
      <c r="A4" s="8" t="inlineStr">
        <is>
          <t>CDE-L003</t>
        </is>
      </c>
      <c r="B4" s="8" t="inlineStr">
        <is>
          <t>Litigation Matter Jurisdiction</t>
        </is>
      </c>
      <c r="C4" s="8" t="inlineStr">
        <is>
          <t>Text</t>
        </is>
      </c>
      <c r="D4" s="8" t="inlineStr">
        <is>
          <t>Recommended</t>
        </is>
      </c>
      <c r="E4" s="8" t="inlineStr">
        <is>
          <t>Optional</t>
        </is>
      </c>
      <c r="F4" s="8" t="inlineStr">
        <is>
          <t>P2</t>
        </is>
      </c>
      <c r="G4" s="8" t="inlineStr">
        <is>
          <t>Non-empty text</t>
        </is>
      </c>
      <c r="H4" s="8" t="inlineStr">
        <is>
          <t>TYPE:TEXT</t>
        </is>
      </c>
      <c r="I4" s="8" t="inlineStr">
        <is>
          <t>Effective-dated</t>
        </is>
      </c>
      <c r="J4" s="8" t="inlineStr">
        <is>
          <t>One-to-many</t>
        </is>
      </c>
      <c r="K4" s="8" t="inlineStr">
        <is>
          <t>N/A — not a one-to-many numeric field</t>
        </is>
      </c>
      <c r="L4" s="8" t="inlineStr">
        <is>
          <t>Regulatory Filings (SEC EDGAR, Companies House, National Business Registry)</t>
        </is>
      </c>
      <c r="M4" s="8" t="inlineStr">
        <is>
          <t>CIL Architecture Team</t>
        </is>
      </c>
      <c r="N4" s="8" t="inlineStr">
        <is>
          <t>2026-06-28</t>
        </is>
      </c>
      <c r="O4" s="8" t="inlineStr">
        <is>
          <t>CorpStage CIL Registry v1.0</t>
        </is>
      </c>
      <c r="P4" s="8" t="inlineStr">
        <is>
          <t>Company, Group (collected per legal entity, not below Company level)</t>
        </is>
      </c>
      <c r="Q4" s="8" t="inlineStr">
        <is>
          <t>Global</t>
        </is>
      </c>
      <c r="R4" s="8" t="inlineStr">
        <is>
          <t>Tier 1 (Standard) — available to all frameworks and all customers</t>
        </is>
      </c>
      <c r="S4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5" ht="15" customHeight="1" s="6">
      <c r="A5" s="8" t="inlineStr">
        <is>
          <t>CDE-L004</t>
        </is>
      </c>
      <c r="B5" s="8" t="inlineStr">
        <is>
          <t>Litigation Matter Counterparty Name</t>
        </is>
      </c>
      <c r="C5" s="8" t="inlineStr">
        <is>
          <t>Text</t>
        </is>
      </c>
      <c r="D5" s="8" t="inlineStr">
        <is>
          <t>Supplemental</t>
        </is>
      </c>
      <c r="E5" s="8" t="inlineStr">
        <is>
          <t>Optional</t>
        </is>
      </c>
      <c r="F5" s="8" t="inlineStr">
        <is>
          <t>P3</t>
        </is>
      </c>
      <c r="G5" s="8" t="inlineStr">
        <is>
          <t>Non-empty text</t>
        </is>
      </c>
      <c r="H5" s="8" t="inlineStr">
        <is>
          <t>TYPE:TEXT</t>
        </is>
      </c>
      <c r="I5" s="8" t="inlineStr">
        <is>
          <t>Point-in-time</t>
        </is>
      </c>
      <c r="J5" s="8" t="inlineStr">
        <is>
          <t>One-to-many</t>
        </is>
      </c>
      <c r="K5" s="8" t="inlineStr">
        <is>
          <t>N/A — not a one-to-many numeric field</t>
        </is>
      </c>
      <c r="L5" s="8" t="inlineStr">
        <is>
          <t>User Validation</t>
        </is>
      </c>
      <c r="M5" s="8" t="inlineStr">
        <is>
          <t>CIL Architecture Team</t>
        </is>
      </c>
      <c r="N5" s="8" t="inlineStr">
        <is>
          <t>2026-06-28</t>
        </is>
      </c>
      <c r="O5" s="8" t="inlineStr">
        <is>
          <t>CorpStage CIL Registry v1.0</t>
        </is>
      </c>
      <c r="P5" s="8" t="inlineStr">
        <is>
          <t>Company, Group (collected per legal entity, not below Company level)</t>
        </is>
      </c>
      <c r="Q5" s="8" t="inlineStr">
        <is>
          <t>Global</t>
        </is>
      </c>
      <c r="R5" s="8" t="inlineStr">
        <is>
          <t>Tier 1 (Standard) — available to all frameworks and all customers</t>
        </is>
      </c>
      <c r="S5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6" ht="15" customHeight="1" s="6">
      <c r="A6" s="8" t="inlineStr">
        <is>
          <t>CDE-L005</t>
        </is>
      </c>
      <c r="B6" s="8" t="inlineStr">
        <is>
          <t>Litigation Matter Status (Filed/Discovery/Trial/Appeal/Settled/Dismissed)</t>
        </is>
      </c>
      <c r="C6" s="8" t="inlineStr">
        <is>
          <t>Text</t>
        </is>
      </c>
      <c r="D6" s="8" t="inlineStr">
        <is>
          <t>Required</t>
        </is>
      </c>
      <c r="E6" s="8" t="inlineStr">
        <is>
          <t>Universal</t>
        </is>
      </c>
      <c r="F6" s="8" t="inlineStr">
        <is>
          <t>P1</t>
        </is>
      </c>
      <c r="G6" s="8" t="inlineStr">
        <is>
          <t>Non-empty text</t>
        </is>
      </c>
      <c r="H6" s="8" t="inlineStr">
        <is>
          <t>TYPE:TEXT</t>
        </is>
      </c>
      <c r="I6" s="8" t="inlineStr">
        <is>
          <t>Effective-dated</t>
        </is>
      </c>
      <c r="J6" s="8" t="inlineStr">
        <is>
          <t>One-to-many</t>
        </is>
      </c>
      <c r="K6" s="8" t="inlineStr">
        <is>
          <t>N/A — not a one-to-many numeric field</t>
        </is>
      </c>
      <c r="L6" s="8" t="inlineStr">
        <is>
          <t>User Validation</t>
        </is>
      </c>
      <c r="M6" s="8" t="inlineStr">
        <is>
          <t>CIL Architecture Team</t>
        </is>
      </c>
      <c r="N6" s="8" t="inlineStr">
        <is>
          <t>2026-06-28</t>
        </is>
      </c>
      <c r="O6" s="8" t="inlineStr">
        <is>
          <t>CorpStage CIL Registry v1.0</t>
        </is>
      </c>
      <c r="P6" s="8" t="inlineStr">
        <is>
          <t>Company, Group (collected per legal entity, not below Company level)</t>
        </is>
      </c>
      <c r="Q6" s="8" t="inlineStr">
        <is>
          <t>Global</t>
        </is>
      </c>
      <c r="R6" s="8" t="inlineStr">
        <is>
          <t>Tier 1 (Standard) — available to all frameworks and all customers</t>
        </is>
      </c>
      <c r="S6" s="8" t="inlineStr">
        <is>
          <t>Owned by Legal Intelligence per Binding 6(a) — captures the CASE-LEVEL OPERATIONAL fact (matter inventory, status, claim detail). Domain 4 Risk Intelligence's CDE-R095/096/097 (Material Litigation Risk Identified/Estimated Financial Exposure/Could Affect Strategic Execution) own the RISK-QUANTIFICATION view derived from this domain's case-level facts — Domain 4 must reference this domain's matter inventory, not duplicate it.</t>
        </is>
      </c>
    </row>
    <row r="7" ht="15" customHeight="1" s="6">
      <c r="A7" s="8" t="inlineStr">
        <is>
          <t>CDE-L006</t>
        </is>
      </c>
      <c r="B7" s="8" t="inlineStr">
        <is>
          <t>Litigation Matter Stage Last Updated Date</t>
        </is>
      </c>
      <c r="C7" s="8" t="inlineStr">
        <is>
          <t>Date</t>
        </is>
      </c>
      <c r="D7" s="8" t="inlineStr">
        <is>
          <t>Recommended</t>
        </is>
      </c>
      <c r="E7" s="8" t="inlineStr">
        <is>
          <t>Optional</t>
        </is>
      </c>
      <c r="F7" s="8" t="inlineStr">
        <is>
          <t>P2</t>
        </is>
      </c>
      <c r="G7" s="8" t="inlineStr">
        <is>
          <t>Valid date</t>
        </is>
      </c>
      <c r="H7" s="8" t="inlineStr">
        <is>
          <t>TYPE:DATE</t>
        </is>
      </c>
      <c r="I7" s="8" t="inlineStr">
        <is>
          <t>Point-in-time</t>
        </is>
      </c>
      <c r="J7" s="8" t="inlineStr">
        <is>
          <t>One-to-many</t>
        </is>
      </c>
      <c r="K7" s="8" t="inlineStr">
        <is>
          <t>N/A — not a one-to-many numeric field</t>
        </is>
      </c>
      <c r="L7" s="8" t="inlineStr">
        <is>
          <t>User Validation</t>
        </is>
      </c>
      <c r="M7" s="8" t="inlineStr">
        <is>
          <t>CIL Architecture Team</t>
        </is>
      </c>
      <c r="N7" s="8" t="inlineStr">
        <is>
          <t>2026-06-28</t>
        </is>
      </c>
      <c r="O7" s="8" t="inlineStr">
        <is>
          <t>CorpStage CIL Registry v1.0</t>
        </is>
      </c>
      <c r="P7" s="8" t="inlineStr">
        <is>
          <t>Company, Group (collected per legal entity, not below Company level)</t>
        </is>
      </c>
      <c r="Q7" s="8" t="inlineStr">
        <is>
          <t>Global</t>
        </is>
      </c>
      <c r="R7" s="8" t="inlineStr">
        <is>
          <t>Tier 1 (Standard) — available to all frameworks and all customers</t>
        </is>
      </c>
      <c r="S7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8" ht="15" customHeight="1" s="6">
      <c r="A8" s="8" t="inlineStr">
        <is>
          <t>CDE-L007</t>
        </is>
      </c>
      <c r="B8" s="8" t="inlineStr">
        <is>
          <t>Settlement or Judgment Outcome (Current Period, Count)</t>
        </is>
      </c>
      <c r="C8" s="8" t="inlineStr">
        <is>
          <t>Numeric</t>
        </is>
      </c>
      <c r="D8" s="8" t="inlineStr">
        <is>
          <t>Required</t>
        </is>
      </c>
      <c r="E8" s="8" t="inlineStr">
        <is>
          <t>Multi</t>
        </is>
      </c>
      <c r="F8" s="8" t="inlineStr">
        <is>
          <t>P1</t>
        </is>
      </c>
      <c r="G8" s="8" t="inlineStr">
        <is>
          <t>&gt;=0, integer</t>
        </is>
      </c>
      <c r="H8" s="8" t="inlineStr">
        <is>
          <t>TYPE:INTEGER|MIN:0</t>
        </is>
      </c>
      <c r="I8" s="8" t="inlineStr">
        <is>
          <t>Effective-dated</t>
        </is>
      </c>
      <c r="J8" s="8" t="inlineStr">
        <is>
          <t>One-to-one</t>
        </is>
      </c>
      <c r="K8" s="8" t="inlineStr">
        <is>
          <t>N/A — not a one-to-many numeric field</t>
        </is>
      </c>
      <c r="L8" s="8" t="inlineStr">
        <is>
          <t>Regulatory Filings (SEC EDGAR, Companies House, National Business Registry)</t>
        </is>
      </c>
      <c r="M8" s="8" t="inlineStr">
        <is>
          <t>CIL Architecture Team</t>
        </is>
      </c>
      <c r="N8" s="8" t="inlineStr">
        <is>
          <t>2026-06-28</t>
        </is>
      </c>
      <c r="O8" s="8" t="inlineStr">
        <is>
          <t>CorpStage CIL Registry v1.0</t>
        </is>
      </c>
      <c r="P8" s="8" t="inlineStr">
        <is>
          <t>Group only (single enterprise-wide fact, does not repeat per node)</t>
        </is>
      </c>
      <c r="Q8" s="8" t="inlineStr">
        <is>
          <t>Global</t>
        </is>
      </c>
      <c r="R8" s="8" t="inlineStr">
        <is>
          <t>Tier 1 (Standard) — available to all frameworks and all customers</t>
        </is>
      </c>
      <c r="S8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9" ht="15" customHeight="1" s="6">
      <c r="A9" s="8" t="inlineStr">
        <is>
          <t>CDE-L008</t>
        </is>
      </c>
      <c r="B9" s="8" t="inlineStr">
        <is>
          <t>Settlement or Judgment Amount</t>
        </is>
      </c>
      <c r="C9" s="8" t="inlineStr">
        <is>
          <t>Numeric</t>
        </is>
      </c>
      <c r="D9" s="8" t="inlineStr">
        <is>
          <t>Recommended</t>
        </is>
      </c>
      <c r="E9" s="8" t="inlineStr">
        <is>
          <t>Multi</t>
        </is>
      </c>
      <c r="F9" s="8" t="inlineStr">
        <is>
          <t>P2</t>
        </is>
      </c>
      <c r="G9" s="8" t="inlineStr">
        <is>
          <t>&gt;=0, numeric</t>
        </is>
      </c>
      <c r="H9" s="8" t="inlineStr">
        <is>
          <t>TYPE:NUMERIC|MIN:0</t>
        </is>
      </c>
      <c r="I9" s="8" t="inlineStr">
        <is>
          <t>Point-in-time</t>
        </is>
      </c>
      <c r="J9" s="8" t="inlineStr">
        <is>
          <t>One-to-many</t>
        </is>
      </c>
      <c r="K9" s="8" t="inlineStr">
        <is>
          <t>Independent per matter; SUM gives total settlement/judgment exposure if reporting aggregate</t>
        </is>
      </c>
      <c r="L9" s="8" t="inlineStr">
        <is>
          <t>Regulatory Filings (SEC EDGAR, Companies House, National Business Registry)</t>
        </is>
      </c>
      <c r="M9" s="8" t="inlineStr">
        <is>
          <t>CIL Architecture Team</t>
        </is>
      </c>
      <c r="N9" s="8" t="inlineStr">
        <is>
          <t>2026-06-28</t>
        </is>
      </c>
      <c r="O9" s="8" t="inlineStr">
        <is>
          <t>CorpStage CIL Registry v1.0</t>
        </is>
      </c>
      <c r="P9" s="8" t="inlineStr">
        <is>
          <t>Company, Group (collected per legal entity, not below Company level)</t>
        </is>
      </c>
      <c r="Q9" s="8" t="inlineStr">
        <is>
          <t>Global</t>
        </is>
      </c>
      <c r="R9" s="8" t="inlineStr">
        <is>
          <t>Tier 1 (Standard) — available to all frameworks and all customers</t>
        </is>
      </c>
      <c r="S9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0" ht="15" customHeight="1" s="6">
      <c r="A10" s="8" t="inlineStr">
        <is>
          <t>CDE-L009</t>
        </is>
      </c>
      <c r="B10" s="8" t="inlineStr">
        <is>
          <t>Alternative Dispute Resolution (Arbitration/Mediation) Process Active</t>
        </is>
      </c>
      <c r="C10" s="8" t="inlineStr">
        <is>
          <t>Boolean</t>
        </is>
      </c>
      <c r="D10" s="8" t="inlineStr">
        <is>
          <t>Recommended</t>
        </is>
      </c>
      <c r="E10" s="8" t="inlineStr">
        <is>
          <t>Optional</t>
        </is>
      </c>
      <c r="F10" s="8" t="inlineStr">
        <is>
          <t>P2</t>
        </is>
      </c>
      <c r="G10" s="8" t="inlineStr">
        <is>
          <t>True/False/Unknown (tri-state)</t>
        </is>
      </c>
      <c r="H10" s="8" t="inlineStr">
        <is>
          <t>TYPE:BOOLEAN|ALLOWED:TRUE,FALSE,UNKNOWN</t>
        </is>
      </c>
      <c r="I10" s="8" t="inlineStr">
        <is>
          <t>Effective-dated</t>
        </is>
      </c>
      <c r="J10" s="8" t="inlineStr">
        <is>
          <t>One-to-one</t>
        </is>
      </c>
      <c r="K10" s="8" t="inlineStr">
        <is>
          <t>N/A — not a one-to-many numeric field</t>
        </is>
      </c>
      <c r="L10" s="8" t="inlineStr">
        <is>
          <t>User Validation</t>
        </is>
      </c>
      <c r="M10" s="8" t="inlineStr">
        <is>
          <t>CIL Architecture Team</t>
        </is>
      </c>
      <c r="N10" s="8" t="inlineStr">
        <is>
          <t>2026-06-28</t>
        </is>
      </c>
      <c r="O10" s="8" t="inlineStr">
        <is>
          <t>CorpStage CIL Registry v1.0</t>
        </is>
      </c>
      <c r="P10" s="8" t="inlineStr">
        <is>
          <t>Group only (single enterprise-wide fact, does not repeat per node)</t>
        </is>
      </c>
      <c r="Q10" s="8" t="inlineStr">
        <is>
          <t>Global</t>
        </is>
      </c>
      <c r="R10" s="8" t="inlineStr">
        <is>
          <t>Tier 1 (Standard) — available to all frameworks and all customers</t>
        </is>
      </c>
      <c r="S10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1" ht="15" customHeight="1" s="6">
      <c r="A11" s="8" t="inlineStr">
        <is>
          <t>CDE-L010</t>
        </is>
      </c>
      <c r="B11" s="8" t="inlineStr">
        <is>
          <t>ADR Process Type (Arbitration/Mediation) Per Matter</t>
        </is>
      </c>
      <c r="C11" s="8" t="inlineStr">
        <is>
          <t>Text</t>
        </is>
      </c>
      <c r="D11" s="8" t="inlineStr">
        <is>
          <t>Supplemental</t>
        </is>
      </c>
      <c r="E11" s="8" t="inlineStr">
        <is>
          <t>Optional</t>
        </is>
      </c>
      <c r="F11" s="8" t="inlineStr">
        <is>
          <t>P3</t>
        </is>
      </c>
      <c r="G11" s="8" t="inlineStr">
        <is>
          <t>Non-empty text</t>
        </is>
      </c>
      <c r="H11" s="8" t="inlineStr">
        <is>
          <t>TYPE:TEXT</t>
        </is>
      </c>
      <c r="I11" s="8" t="inlineStr">
        <is>
          <t>Point-in-time</t>
        </is>
      </c>
      <c r="J11" s="8" t="inlineStr">
        <is>
          <t>One-to-many</t>
        </is>
      </c>
      <c r="K11" s="8" t="inlineStr">
        <is>
          <t>N/A — not a one-to-many numeric field</t>
        </is>
      </c>
      <c r="L11" s="8" t="inlineStr">
        <is>
          <t>User Validation</t>
        </is>
      </c>
      <c r="M11" s="8" t="inlineStr">
        <is>
          <t>CIL Architecture Team</t>
        </is>
      </c>
      <c r="N11" s="8" t="inlineStr">
        <is>
          <t>2026-06-28</t>
        </is>
      </c>
      <c r="O11" s="8" t="inlineStr">
        <is>
          <t>CorpStage CIL Registry v1.0</t>
        </is>
      </c>
      <c r="P11" s="8" t="inlineStr">
        <is>
          <t>Company, Group (collected per legal entity, not below Company level)</t>
        </is>
      </c>
      <c r="Q11" s="8" t="inlineStr">
        <is>
          <t>Global</t>
        </is>
      </c>
      <c r="R11" s="8" t="inlineStr">
        <is>
          <t>Tier 1 (Standard) — available to all frameworks and all customers</t>
        </is>
      </c>
      <c r="S11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2" ht="15" customHeight="1" s="6">
      <c r="A12" s="8" t="inlineStr">
        <is>
          <t>CDE-L011</t>
        </is>
      </c>
      <c r="B12" s="8" t="inlineStr">
        <is>
          <t>Class Action or Multi-Party Litigation Exposure Identified</t>
        </is>
      </c>
      <c r="C12" s="8" t="inlineStr">
        <is>
          <t>Boolean</t>
        </is>
      </c>
      <c r="D12" s="8" t="inlineStr">
        <is>
          <t>Required</t>
        </is>
      </c>
      <c r="E12" s="8" t="inlineStr">
        <is>
          <t>Multi</t>
        </is>
      </c>
      <c r="F12" s="8" t="inlineStr">
        <is>
          <t>P1</t>
        </is>
      </c>
      <c r="G12" s="8" t="inlineStr">
        <is>
          <t>True/False/Unknown (tri-state)</t>
        </is>
      </c>
      <c r="H12" s="8" t="inlineStr">
        <is>
          <t>TYPE:BOOLEAN|ALLOWED:TRUE,FALSE,UNKNOWN</t>
        </is>
      </c>
      <c r="I12" s="8" t="inlineStr">
        <is>
          <t>Effective-dated</t>
        </is>
      </c>
      <c r="J12" s="8" t="inlineStr">
        <is>
          <t>One-to-one</t>
        </is>
      </c>
      <c r="K12" s="8" t="inlineStr">
        <is>
          <t>N/A — not a one-to-many numeric field</t>
        </is>
      </c>
      <c r="L12" s="8" t="inlineStr">
        <is>
          <t>Regulatory Filings (SEC EDGAR, Companies House, National Business Registry)</t>
        </is>
      </c>
      <c r="M12" s="8" t="inlineStr">
        <is>
          <t>CIL Architecture Team</t>
        </is>
      </c>
      <c r="N12" s="8" t="inlineStr">
        <is>
          <t>2026-06-28</t>
        </is>
      </c>
      <c r="O12" s="8" t="inlineStr">
        <is>
          <t>CorpStage CIL Registry v1.0</t>
        </is>
      </c>
      <c r="P12" s="8" t="inlineStr">
        <is>
          <t>Group only (single enterprise-wide fact, does not repeat per node)</t>
        </is>
      </c>
      <c r="Q12" s="8" t="inlineStr">
        <is>
          <t>Global</t>
        </is>
      </c>
      <c r="R12" s="8" t="inlineStr">
        <is>
          <t>Tier 1 (Standard) — available to all frameworks and all customers</t>
        </is>
      </c>
      <c r="S12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3" ht="15" customHeight="1" s="6">
      <c r="A13" s="8" t="inlineStr">
        <is>
          <t>CDE-L012</t>
        </is>
      </c>
      <c r="B13" s="8" t="inlineStr">
        <is>
          <t>Estimated Class Size or Plaintiff Count</t>
        </is>
      </c>
      <c r="C13" s="8" t="inlineStr">
        <is>
          <t>Numeric</t>
        </is>
      </c>
      <c r="D13" s="8" t="inlineStr">
        <is>
          <t>Supplemental</t>
        </is>
      </c>
      <c r="E13" s="8" t="inlineStr">
        <is>
          <t>Optional</t>
        </is>
      </c>
      <c r="F13" s="8" t="inlineStr">
        <is>
          <t>P3</t>
        </is>
      </c>
      <c r="G13" s="8" t="inlineStr">
        <is>
          <t>&gt;=0, integer</t>
        </is>
      </c>
      <c r="H13" s="8" t="inlineStr">
        <is>
          <t>TYPE:INTEGER|MIN:0</t>
        </is>
      </c>
      <c r="I13" s="8" t="inlineStr">
        <is>
          <t>Point-in-time</t>
        </is>
      </c>
      <c r="J13" s="8" t="inlineStr">
        <is>
          <t>One-to-one</t>
        </is>
      </c>
      <c r="K13" s="8" t="inlineStr">
        <is>
          <t>N/A — not a one-to-many numeric field</t>
        </is>
      </c>
      <c r="L13" s="8" t="inlineStr">
        <is>
          <t>User Validation</t>
        </is>
      </c>
      <c r="M13" s="8" t="inlineStr">
        <is>
          <t>CIL Architecture Team</t>
        </is>
      </c>
      <c r="N13" s="8" t="inlineStr">
        <is>
          <t>2026-06-28</t>
        </is>
      </c>
      <c r="O13" s="8" t="inlineStr">
        <is>
          <t>CorpStage CIL Registry v1.0</t>
        </is>
      </c>
      <c r="P13" s="8" t="inlineStr">
        <is>
          <t>Group only (single enterprise-wide fact, does not repeat per node)</t>
        </is>
      </c>
      <c r="Q13" s="8" t="inlineStr">
        <is>
          <t>Global</t>
        </is>
      </c>
      <c r="R13" s="8" t="inlineStr">
        <is>
          <t>Tier 1 (Standard) — available to all frameworks and all customers</t>
        </is>
      </c>
      <c r="S13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4" ht="15" customHeight="1" s="6">
      <c r="A14" s="8" t="inlineStr">
        <is>
          <t>CDE-L013</t>
        </is>
      </c>
      <c r="B14" s="8" t="inlineStr">
        <is>
          <t>Material Contract Inventory (Counterparty/Type/Value)</t>
        </is>
      </c>
      <c r="C14" s="8" t="inlineStr">
        <is>
          <t>Text</t>
        </is>
      </c>
      <c r="D14" s="8" t="inlineStr">
        <is>
          <t>Required</t>
        </is>
      </c>
      <c r="E14" s="8" t="inlineStr">
        <is>
          <t>Universal</t>
        </is>
      </c>
      <c r="F14" s="8" t="inlineStr">
        <is>
          <t>P1</t>
        </is>
      </c>
      <c r="G14" s="8" t="inlineStr">
        <is>
          <t>Non-empty text</t>
        </is>
      </c>
      <c r="H14" s="8" t="inlineStr">
        <is>
          <t>TYPE:TEXT</t>
        </is>
      </c>
      <c r="I14" s="8" t="inlineStr">
        <is>
          <t>Effective-dated</t>
        </is>
      </c>
      <c r="J14" s="8" t="inlineStr">
        <is>
          <t>One-to-many</t>
        </is>
      </c>
      <c r="K14" s="8" t="inlineStr">
        <is>
          <t>N/A — not a one-to-many numeric field</t>
        </is>
      </c>
      <c r="L14" s="8" t="inlineStr">
        <is>
          <t>User Validation</t>
        </is>
      </c>
      <c r="M14" s="8" t="inlineStr">
        <is>
          <t>CIL Architecture Team</t>
        </is>
      </c>
      <c r="N14" s="8" t="inlineStr">
        <is>
          <t>2026-06-28</t>
        </is>
      </c>
      <c r="O14" s="8" t="inlineStr">
        <is>
          <t>CorpStage CIL Registry v1.0</t>
        </is>
      </c>
      <c r="P14" s="8" t="inlineStr">
        <is>
          <t>Company, Group (collected per legal entity, not below Company level)</t>
        </is>
      </c>
      <c r="Q14" s="8" t="inlineStr">
        <is>
          <t>Global</t>
        </is>
      </c>
      <c r="R14" s="8" t="inlineStr">
        <is>
          <t>Tier 1 (Standard) — available to all frameworks and all customers</t>
        </is>
      </c>
      <c r="S14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5" ht="15" customHeight="1" s="6">
      <c r="A15" s="8" t="inlineStr">
        <is>
          <t>CDE-L014</t>
        </is>
      </c>
      <c r="B15" s="8" t="inlineStr">
        <is>
          <t>Contract Lifecycle Stage (Drafting/Negotiation/Execution/Active/Expired)</t>
        </is>
      </c>
      <c r="C15" s="8" t="inlineStr">
        <is>
          <t>Text</t>
        </is>
      </c>
      <c r="D15" s="8" t="inlineStr">
        <is>
          <t>Required</t>
        </is>
      </c>
      <c r="E15" s="8" t="inlineStr">
        <is>
          <t>Multi</t>
        </is>
      </c>
      <c r="F15" s="8" t="inlineStr">
        <is>
          <t>P1</t>
        </is>
      </c>
      <c r="G15" s="8" t="inlineStr">
        <is>
          <t>Non-empty text</t>
        </is>
      </c>
      <c r="H15" s="8" t="inlineStr">
        <is>
          <t>TYPE:TEXT</t>
        </is>
      </c>
      <c r="I15" s="8" t="inlineStr">
        <is>
          <t>Effective-dated</t>
        </is>
      </c>
      <c r="J15" s="8" t="inlineStr">
        <is>
          <t>One-to-many</t>
        </is>
      </c>
      <c r="K15" s="8" t="inlineStr">
        <is>
          <t>N/A — not a one-to-many numeric field</t>
        </is>
      </c>
      <c r="L15" s="8" t="inlineStr">
        <is>
          <t>User Validation</t>
        </is>
      </c>
      <c r="M15" s="8" t="inlineStr">
        <is>
          <t>CIL Architecture Team</t>
        </is>
      </c>
      <c r="N15" s="8" t="inlineStr">
        <is>
          <t>2026-06-28</t>
        </is>
      </c>
      <c r="O15" s="8" t="inlineStr">
        <is>
          <t>CorpStage CIL Registry v1.0</t>
        </is>
      </c>
      <c r="P15" s="8" t="inlineStr">
        <is>
          <t>Company, Group (collected per legal entity, not below Company level)</t>
        </is>
      </c>
      <c r="Q15" s="8" t="inlineStr">
        <is>
          <t>Global</t>
        </is>
      </c>
      <c r="R15" s="8" t="inlineStr">
        <is>
          <t>Tier 1 (Standard) — available to all frameworks and all customers</t>
        </is>
      </c>
      <c r="S15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6" ht="15" customHeight="1" s="6">
      <c r="A16" s="8" t="inlineStr">
        <is>
          <t>CDE-L015</t>
        </is>
      </c>
      <c r="B16" s="8" t="inlineStr">
        <is>
          <t>Material Contract Total Value</t>
        </is>
      </c>
      <c r="C16" s="8" t="inlineStr">
        <is>
          <t>Numeric</t>
        </is>
      </c>
      <c r="D16" s="8" t="inlineStr">
        <is>
          <t>Recommended</t>
        </is>
      </c>
      <c r="E16" s="8" t="inlineStr">
        <is>
          <t>Optional</t>
        </is>
      </c>
      <c r="F16" s="8" t="inlineStr">
        <is>
          <t>P2</t>
        </is>
      </c>
      <c r="G16" s="8" t="inlineStr">
        <is>
          <t>&gt;=0, numeric</t>
        </is>
      </c>
      <c r="H16" s="8" t="inlineStr">
        <is>
          <t>TYPE:NUMERIC|MIN:0</t>
        </is>
      </c>
      <c r="I16" s="8" t="inlineStr">
        <is>
          <t>Effective-dated</t>
        </is>
      </c>
      <c r="J16" s="8" t="inlineStr">
        <is>
          <t>One-to-many</t>
        </is>
      </c>
      <c r="K16" s="8" t="inlineStr">
        <is>
          <t>Independent per contract; SUM gives total contract value if reporting aggregate</t>
        </is>
      </c>
      <c r="L16" s="8" t="inlineStr">
        <is>
          <t>User Validation</t>
        </is>
      </c>
      <c r="M16" s="8" t="inlineStr">
        <is>
          <t>CIL Architecture Team</t>
        </is>
      </c>
      <c r="N16" s="8" t="inlineStr">
        <is>
          <t>2026-06-28</t>
        </is>
      </c>
      <c r="O16" s="8" t="inlineStr">
        <is>
          <t>CorpStage CIL Registry v1.0</t>
        </is>
      </c>
      <c r="P16" s="8" t="inlineStr">
        <is>
          <t>Company, Group (collected per legal entity, not below Company level)</t>
        </is>
      </c>
      <c r="Q16" s="8" t="inlineStr">
        <is>
          <t>Global</t>
        </is>
      </c>
      <c r="R16" s="8" t="inlineStr">
        <is>
          <t>Tier 1 (Standard) — available to all frameworks and all customers</t>
        </is>
      </c>
      <c r="S16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7" ht="15" customHeight="1" s="6">
      <c r="A17" s="8" t="inlineStr">
        <is>
          <t>CDE-L016</t>
        </is>
      </c>
      <c r="B17" s="8" t="inlineStr">
        <is>
          <t>Contract Renewal/Expiration Event Within 12 Months (Count)</t>
        </is>
      </c>
      <c r="C17" s="8" t="inlineStr">
        <is>
          <t>Numeric</t>
        </is>
      </c>
      <c r="D17" s="8" t="inlineStr">
        <is>
          <t>Required</t>
        </is>
      </c>
      <c r="E17" s="8" t="inlineStr">
        <is>
          <t>Optional</t>
        </is>
      </c>
      <c r="F17" s="8" t="inlineStr">
        <is>
          <t>P1</t>
        </is>
      </c>
      <c r="G17" s="8" t="inlineStr">
        <is>
          <t>&gt;=0, integer</t>
        </is>
      </c>
      <c r="H17" s="8" t="inlineStr">
        <is>
          <t>TYPE:INTEGER|MIN:0</t>
        </is>
      </c>
      <c r="I17" s="8" t="inlineStr">
        <is>
          <t>Effective-dated</t>
        </is>
      </c>
      <c r="J17" s="8" t="inlineStr">
        <is>
          <t>One-to-one</t>
        </is>
      </c>
      <c r="K17" s="8" t="inlineStr">
        <is>
          <t>N/A — not a one-to-many numeric field</t>
        </is>
      </c>
      <c r="L17" s="8" t="inlineStr">
        <is>
          <t>User Validation</t>
        </is>
      </c>
      <c r="M17" s="8" t="inlineStr">
        <is>
          <t>CIL Architecture Team</t>
        </is>
      </c>
      <c r="N17" s="8" t="inlineStr">
        <is>
          <t>2026-06-28</t>
        </is>
      </c>
      <c r="O17" s="8" t="inlineStr">
        <is>
          <t>CorpStage CIL Registry v1.0</t>
        </is>
      </c>
      <c r="P17" s="8" t="inlineStr">
        <is>
          <t>Group only (single enterprise-wide fact, does not repeat per node)</t>
        </is>
      </c>
      <c r="Q17" s="8" t="inlineStr">
        <is>
          <t>Global</t>
        </is>
      </c>
      <c r="R17" s="8" t="inlineStr">
        <is>
          <t>Tier 1 (Standard) — available to all frameworks and all customers</t>
        </is>
      </c>
      <c r="S17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8" ht="15" customHeight="1" s="6">
      <c r="A18" s="8" t="inlineStr">
        <is>
          <t>CDE-L017</t>
        </is>
      </c>
      <c r="B18" s="8" t="inlineStr">
        <is>
          <t>Contract Auto-Renewal Clause Present</t>
        </is>
      </c>
      <c r="C18" s="8" t="inlineStr">
        <is>
          <t>Boolean</t>
        </is>
      </c>
      <c r="D18" s="8" t="inlineStr">
        <is>
          <t>Recommended</t>
        </is>
      </c>
      <c r="E18" s="8" t="inlineStr">
        <is>
          <t>Optional</t>
        </is>
      </c>
      <c r="F18" s="8" t="inlineStr">
        <is>
          <t>P2</t>
        </is>
      </c>
      <c r="G18" s="8" t="inlineStr">
        <is>
          <t>True/False</t>
        </is>
      </c>
      <c r="H18" s="8" t="inlineStr">
        <is>
          <t>TYPE:BOOLEAN|ALLOWED:TRUE,FALSE</t>
        </is>
      </c>
      <c r="I18" s="8" t="inlineStr">
        <is>
          <t>Point-in-time</t>
        </is>
      </c>
      <c r="J18" s="8" t="inlineStr">
        <is>
          <t>One-to-many</t>
        </is>
      </c>
      <c r="K18" s="8" t="inlineStr">
        <is>
          <t>N/A — not a one-to-many numeric field</t>
        </is>
      </c>
      <c r="L18" s="8" t="inlineStr">
        <is>
          <t>User Validation</t>
        </is>
      </c>
      <c r="M18" s="8" t="inlineStr">
        <is>
          <t>CIL Architecture Team</t>
        </is>
      </c>
      <c r="N18" s="8" t="inlineStr">
        <is>
          <t>2026-06-28</t>
        </is>
      </c>
      <c r="O18" s="8" t="inlineStr">
        <is>
          <t>CorpStage CIL Registry v1.0</t>
        </is>
      </c>
      <c r="P18" s="8" t="inlineStr">
        <is>
          <t>Company, Group (collected per legal entity, not below Company level)</t>
        </is>
      </c>
      <c r="Q18" s="8" t="inlineStr">
        <is>
          <t>Global</t>
        </is>
      </c>
      <c r="R18" s="8" t="inlineStr">
        <is>
          <t>Tier 1 (Standard) — available to all frameworks and all customers</t>
        </is>
      </c>
      <c r="S18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9" ht="15" customHeight="1" s="6">
      <c r="A19" s="8" t="inlineStr">
        <is>
          <t>CDE-L018</t>
        </is>
      </c>
      <c r="B19" s="8" t="inlineStr">
        <is>
          <t>Contract Breach or Non-Performance Event Identified (Current Period)</t>
        </is>
      </c>
      <c r="C19" s="8" t="inlineStr">
        <is>
          <t>Numeric</t>
        </is>
      </c>
      <c r="D19" s="8" t="inlineStr">
        <is>
          <t>Required</t>
        </is>
      </c>
      <c r="E19" s="8" t="inlineStr">
        <is>
          <t>Multi</t>
        </is>
      </c>
      <c r="F19" s="8" t="inlineStr">
        <is>
          <t>P1</t>
        </is>
      </c>
      <c r="G19" s="8" t="inlineStr">
        <is>
          <t>&gt;=0, integer</t>
        </is>
      </c>
      <c r="H19" s="8" t="inlineStr">
        <is>
          <t>TYPE:INTEGER|MIN:0</t>
        </is>
      </c>
      <c r="I19" s="8" t="inlineStr">
        <is>
          <t>Effective-dated</t>
        </is>
      </c>
      <c r="J19" s="8" t="inlineStr">
        <is>
          <t>One-to-one</t>
        </is>
      </c>
      <c r="K19" s="8" t="inlineStr">
        <is>
          <t>N/A — not a one-to-many numeric field</t>
        </is>
      </c>
      <c r="L19" s="8" t="inlineStr">
        <is>
          <t>User Validation</t>
        </is>
      </c>
      <c r="M19" s="8" t="inlineStr">
        <is>
          <t>CIL Architecture Team</t>
        </is>
      </c>
      <c r="N19" s="8" t="inlineStr">
        <is>
          <t>2026-06-28</t>
        </is>
      </c>
      <c r="O19" s="8" t="inlineStr">
        <is>
          <t>CorpStage CIL Registry v1.0</t>
        </is>
      </c>
      <c r="P19" s="8" t="inlineStr">
        <is>
          <t>Group only (single enterprise-wide fact, does not repeat per node)</t>
        </is>
      </c>
      <c r="Q19" s="8" t="inlineStr">
        <is>
          <t>Global</t>
        </is>
      </c>
      <c r="R19" s="8" t="inlineStr">
        <is>
          <t>Tier 1 (Standard) — available to all frameworks and all customers</t>
        </is>
      </c>
      <c r="S19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20" ht="15" customHeight="1" s="6">
      <c r="A20" s="8" t="inlineStr">
        <is>
          <t>CDE-L019</t>
        </is>
      </c>
      <c r="B20" s="8" t="inlineStr">
        <is>
          <t>Contract Breach Remediation Status</t>
        </is>
      </c>
      <c r="C20" s="8" t="inlineStr">
        <is>
          <t>Text</t>
        </is>
      </c>
      <c r="D20" s="8" t="inlineStr">
        <is>
          <t>Recommended</t>
        </is>
      </c>
      <c r="E20" s="8" t="inlineStr">
        <is>
          <t>Optional</t>
        </is>
      </c>
      <c r="F20" s="8" t="inlineStr">
        <is>
          <t>P2</t>
        </is>
      </c>
      <c r="G20" s="8" t="inlineStr">
        <is>
          <t>Open/Cured/Litigated/Waived</t>
        </is>
      </c>
      <c r="H20" s="8" t="inlineStr">
        <is>
          <t>TYPE:ENUM|ALLOWED:OPEN,CURED,LITIGATED,WAIVED</t>
        </is>
      </c>
      <c r="I20" s="8" t="inlineStr">
        <is>
          <t>Point-in-time</t>
        </is>
      </c>
      <c r="J20" s="8" t="inlineStr">
        <is>
          <t>One-to-many</t>
        </is>
      </c>
      <c r="K20" s="8" t="inlineStr">
        <is>
          <t>N/A — not a one-to-many numeric field</t>
        </is>
      </c>
      <c r="L20" s="8" t="inlineStr">
        <is>
          <t>User Validation</t>
        </is>
      </c>
      <c r="M20" s="8" t="inlineStr">
        <is>
          <t>CIL Architecture Team</t>
        </is>
      </c>
      <c r="N20" s="8" t="inlineStr">
        <is>
          <t>2026-06-28</t>
        </is>
      </c>
      <c r="O20" s="8" t="inlineStr">
        <is>
          <t>CorpStage CIL Registry v1.0</t>
        </is>
      </c>
      <c r="P20" s="8" t="inlineStr">
        <is>
          <t>Company, Group (collected per legal entity, not below Company level)</t>
        </is>
      </c>
      <c r="Q20" s="8" t="inlineStr">
        <is>
          <t>Global</t>
        </is>
      </c>
      <c r="R20" s="8" t="inlineStr">
        <is>
          <t>Tier 1 (Standard) — available to all frameworks and all customers</t>
        </is>
      </c>
      <c r="S20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21" ht="15" customHeight="1" s="6">
      <c r="A21" s="8" t="inlineStr">
        <is>
          <t>CDE-L020</t>
        </is>
      </c>
      <c r="B21" s="8" t="inlineStr">
        <is>
          <t>Standard Contract Template Library Exists</t>
        </is>
      </c>
      <c r="C21" s="8" t="inlineStr">
        <is>
          <t>Boolean</t>
        </is>
      </c>
      <c r="D21" s="8" t="inlineStr">
        <is>
          <t>Recommended</t>
        </is>
      </c>
      <c r="E21" s="8" t="inlineStr">
        <is>
          <t>Optional</t>
        </is>
      </c>
      <c r="F21" s="8" t="inlineStr">
        <is>
          <t>P2</t>
        </is>
      </c>
      <c r="G21" s="8" t="inlineStr">
        <is>
          <t>True/False</t>
        </is>
      </c>
      <c r="H21" s="8" t="inlineStr">
        <is>
          <t>TYPE:BOOLEAN|ALLOWED:TRUE,FALSE</t>
        </is>
      </c>
      <c r="I21" s="8" t="inlineStr">
        <is>
          <t>Effective-dated</t>
        </is>
      </c>
      <c r="J21" s="8" t="inlineStr">
        <is>
          <t>One-to-one</t>
        </is>
      </c>
      <c r="K21" s="8" t="inlineStr">
        <is>
          <t>N/A — not a one-to-many numeric field</t>
        </is>
      </c>
      <c r="L21" s="8" t="inlineStr">
        <is>
          <t>User Validation</t>
        </is>
      </c>
      <c r="M21" s="8" t="inlineStr">
        <is>
          <t>CIL Architecture Team</t>
        </is>
      </c>
      <c r="N21" s="8" t="inlineStr">
        <is>
          <t>2026-06-28</t>
        </is>
      </c>
      <c r="O21" s="8" t="inlineStr">
        <is>
          <t>CorpStage CIL Registry v1.0</t>
        </is>
      </c>
      <c r="P21" s="8" t="inlineStr">
        <is>
          <t>Group only (single enterprise-wide fact, does not repeat per node)</t>
        </is>
      </c>
      <c r="Q21" s="8" t="inlineStr">
        <is>
          <t>Global</t>
        </is>
      </c>
      <c r="R21" s="8" t="inlineStr">
        <is>
          <t>Tier 1 (Standard) — available to all frameworks and all customers</t>
        </is>
      </c>
      <c r="S21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22" ht="15" customHeight="1" s="6">
      <c r="A22" s="8" t="inlineStr">
        <is>
          <t>CDE-L021</t>
        </is>
      </c>
      <c r="B22" s="8" t="inlineStr">
        <is>
          <t>Contract Approval Workflow Documented (Threshold-Based)</t>
        </is>
      </c>
      <c r="C22" s="8" t="inlineStr">
        <is>
          <t>Boolean</t>
        </is>
      </c>
      <c r="D22" s="8" t="inlineStr">
        <is>
          <t>Recommended</t>
        </is>
      </c>
      <c r="E22" s="8" t="inlineStr">
        <is>
          <t>Optional</t>
        </is>
      </c>
      <c r="F22" s="8" t="inlineStr">
        <is>
          <t>P2</t>
        </is>
      </c>
      <c r="G22" s="8" t="inlineStr">
        <is>
          <t>True/False</t>
        </is>
      </c>
      <c r="H22" s="8" t="inlineStr">
        <is>
          <t>TYPE:BOOLEAN|ALLOWED:TRUE,FALSE</t>
        </is>
      </c>
      <c r="I22" s="8" t="inlineStr">
        <is>
          <t>Effective-dated</t>
        </is>
      </c>
      <c r="J22" s="8" t="inlineStr">
        <is>
          <t>One-to-one</t>
        </is>
      </c>
      <c r="K22" s="8" t="inlineStr">
        <is>
          <t>N/A — not a one-to-many numeric field</t>
        </is>
      </c>
      <c r="L22" s="8" t="inlineStr">
        <is>
          <t>User Validation</t>
        </is>
      </c>
      <c r="M22" s="8" t="inlineStr">
        <is>
          <t>CIL Architecture Team</t>
        </is>
      </c>
      <c r="N22" s="8" t="inlineStr">
        <is>
          <t>2026-06-28</t>
        </is>
      </c>
      <c r="O22" s="8" t="inlineStr">
        <is>
          <t>CorpStage CIL Registry v1.0</t>
        </is>
      </c>
      <c r="P22" s="8" t="inlineStr">
        <is>
          <t>Group only (single enterprise-wide fact, does not repeat per node)</t>
        </is>
      </c>
      <c r="Q22" s="8" t="inlineStr">
        <is>
          <t>Global</t>
        </is>
      </c>
      <c r="R22" s="8" t="inlineStr">
        <is>
          <t>Tier 1 (Standard) — available to all frameworks and all customers</t>
        </is>
      </c>
      <c r="S22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23" ht="15" customHeight="1" s="6">
      <c r="A23" s="8" t="inlineStr">
        <is>
          <t>CDE-L022</t>
        </is>
      </c>
      <c r="B23" s="8" t="inlineStr">
        <is>
          <t>Contract Containing Elevated-Risk Clause Identified (Unlimited Liability/Exclusivity/Other)</t>
        </is>
      </c>
      <c r="C23" s="8" t="inlineStr">
        <is>
          <t>Numeric</t>
        </is>
      </c>
      <c r="D23" s="8" t="inlineStr">
        <is>
          <t>Recommended</t>
        </is>
      </c>
      <c r="E23" s="8" t="inlineStr">
        <is>
          <t>Optional</t>
        </is>
      </c>
      <c r="F23" s="8" t="inlineStr">
        <is>
          <t>P2</t>
        </is>
      </c>
      <c r="G23" s="8" t="inlineStr">
        <is>
          <t>&gt;=0, integer</t>
        </is>
      </c>
      <c r="H23" s="8" t="inlineStr">
        <is>
          <t>TYPE:INTEGER|MIN:0</t>
        </is>
      </c>
      <c r="I23" s="8" t="inlineStr">
        <is>
          <t>Effective-dated</t>
        </is>
      </c>
      <c r="J23" s="8" t="inlineStr">
        <is>
          <t>One-to-one</t>
        </is>
      </c>
      <c r="K23" s="8" t="inlineStr">
        <is>
          <t>N/A — not a one-to-many numeric field</t>
        </is>
      </c>
      <c r="L23" s="8" t="inlineStr">
        <is>
          <t>User Validation</t>
        </is>
      </c>
      <c r="M23" s="8" t="inlineStr">
        <is>
          <t>CIL Architecture Team</t>
        </is>
      </c>
      <c r="N23" s="8" t="inlineStr">
        <is>
          <t>2026-06-28</t>
        </is>
      </c>
      <c r="O23" s="8" t="inlineStr">
        <is>
          <t>CorpStage CIL Registry v1.0</t>
        </is>
      </c>
      <c r="P23" s="8" t="inlineStr">
        <is>
          <t>Group only (single enterprise-wide fact, does not repeat per node)</t>
        </is>
      </c>
      <c r="Q23" s="8" t="inlineStr">
        <is>
          <t>Global</t>
        </is>
      </c>
      <c r="R23" s="8" t="inlineStr">
        <is>
          <t>Tier 1 (Standard) — available to all frameworks and all customers</t>
        </is>
      </c>
      <c r="S23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24" ht="15" customHeight="1" s="6">
      <c r="A24" s="8" t="inlineStr">
        <is>
          <t>CDE-L023</t>
        </is>
      </c>
      <c r="B24" s="8" t="inlineStr">
        <is>
          <t>Elevated-Risk Clause Type Per Contract</t>
        </is>
      </c>
      <c r="C24" s="8" t="inlineStr">
        <is>
          <t>Text</t>
        </is>
      </c>
      <c r="D24" s="8" t="inlineStr">
        <is>
          <t>Supplemental</t>
        </is>
      </c>
      <c r="E24" s="8" t="inlineStr">
        <is>
          <t>Optional</t>
        </is>
      </c>
      <c r="F24" s="8" t="inlineStr">
        <is>
          <t>P3</t>
        </is>
      </c>
      <c r="G24" s="8" t="inlineStr">
        <is>
          <t>Non-empty text</t>
        </is>
      </c>
      <c r="H24" s="8" t="inlineStr">
        <is>
          <t>TYPE:TEXT</t>
        </is>
      </c>
      <c r="I24" s="8" t="inlineStr">
        <is>
          <t>Point-in-time</t>
        </is>
      </c>
      <c r="J24" s="8" t="inlineStr">
        <is>
          <t>One-to-many</t>
        </is>
      </c>
      <c r="K24" s="8" t="inlineStr">
        <is>
          <t>N/A — not a one-to-many numeric field</t>
        </is>
      </c>
      <c r="L24" s="8" t="inlineStr">
        <is>
          <t>User Validation</t>
        </is>
      </c>
      <c r="M24" s="8" t="inlineStr">
        <is>
          <t>CIL Architecture Team</t>
        </is>
      </c>
      <c r="N24" s="8" t="inlineStr">
        <is>
          <t>2026-06-28</t>
        </is>
      </c>
      <c r="O24" s="8" t="inlineStr">
        <is>
          <t>CorpStage CIL Registry v1.0</t>
        </is>
      </c>
      <c r="P24" s="8" t="inlineStr">
        <is>
          <t>Company, Group (collected per legal entity, not below Company level)</t>
        </is>
      </c>
      <c r="Q24" s="8" t="inlineStr">
        <is>
          <t>Global</t>
        </is>
      </c>
      <c r="R24" s="8" t="inlineStr">
        <is>
          <t>Tier 1 (Standard) — available to all frameworks and all customers</t>
        </is>
      </c>
      <c r="S24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25" ht="15" customHeight="1" s="6">
      <c r="A25" s="8" t="inlineStr">
        <is>
          <t>CDE-L024</t>
        </is>
      </c>
      <c r="B25" s="8" t="inlineStr">
        <is>
          <t>Patent Portfolio Inventory (Patent Number/Jurisdiction)</t>
        </is>
      </c>
      <c r="C25" s="8" t="inlineStr">
        <is>
          <t>Text</t>
        </is>
      </c>
      <c r="D25" s="8" t="inlineStr">
        <is>
          <t>Required</t>
        </is>
      </c>
      <c r="E25" s="8" t="inlineStr">
        <is>
          <t>Multi</t>
        </is>
      </c>
      <c r="F25" s="8" t="inlineStr">
        <is>
          <t>P1</t>
        </is>
      </c>
      <c r="G25" s="8" t="inlineStr">
        <is>
          <t>Non-empty text</t>
        </is>
      </c>
      <c r="H25" s="8" t="inlineStr">
        <is>
          <t>TYPE:TEXT</t>
        </is>
      </c>
      <c r="I25" s="8" t="inlineStr">
        <is>
          <t>Effective-dated</t>
        </is>
      </c>
      <c r="J25" s="8" t="inlineStr">
        <is>
          <t>One-to-many</t>
        </is>
      </c>
      <c r="K25" s="8" t="inlineStr">
        <is>
          <t>N/A — not a one-to-many numeric field</t>
        </is>
      </c>
      <c r="L25" s="8" t="inlineStr">
        <is>
          <t>Regulatory Filings (SEC EDGAR, Companies House, National Business Registry)</t>
        </is>
      </c>
      <c r="M25" s="8" t="inlineStr">
        <is>
          <t>CIL Architecture Team</t>
        </is>
      </c>
      <c r="N25" s="8" t="inlineStr">
        <is>
          <t>2026-06-28</t>
        </is>
      </c>
      <c r="O25" s="8" t="inlineStr">
        <is>
          <t>CorpStage CIL Registry v1.0</t>
        </is>
      </c>
      <c r="P25" s="8" t="inlineStr">
        <is>
          <t>Company, Group (collected per legal entity, not below Company level)</t>
        </is>
      </c>
      <c r="Q25" s="8" t="inlineStr">
        <is>
          <t>Global</t>
        </is>
      </c>
      <c r="R25" s="8" t="inlineStr">
        <is>
          <t>Tier 1 (Standard) — available to all frameworks and all customers</t>
        </is>
      </c>
      <c r="S25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26" ht="15" customHeight="1" s="6">
      <c r="A26" s="8" t="inlineStr">
        <is>
          <t>CDE-L025</t>
        </is>
      </c>
      <c r="B26" s="8" t="inlineStr">
        <is>
          <t>Total Active Patent Count</t>
        </is>
      </c>
      <c r="C26" s="8" t="inlineStr">
        <is>
          <t>Numeric</t>
        </is>
      </c>
      <c r="D26" s="8" t="inlineStr">
        <is>
          <t>Required</t>
        </is>
      </c>
      <c r="E26" s="8" t="inlineStr">
        <is>
          <t>Optional</t>
        </is>
      </c>
      <c r="F26" s="8" t="inlineStr">
        <is>
          <t>P1</t>
        </is>
      </c>
      <c r="G26" s="8" t="inlineStr">
        <is>
          <t>&gt;=0, integer</t>
        </is>
      </c>
      <c r="H26" s="8" t="inlineStr">
        <is>
          <t>TYPE:INTEGER|MIN:0</t>
        </is>
      </c>
      <c r="I26" s="8" t="inlineStr">
        <is>
          <t>Effective-dated</t>
        </is>
      </c>
      <c r="J26" s="8" t="inlineStr">
        <is>
          <t>One-to-one</t>
        </is>
      </c>
      <c r="K26" s="8" t="inlineStr">
        <is>
          <t>N/A — not a one-to-many numeric field</t>
        </is>
      </c>
      <c r="L26" s="8" t="inlineStr">
        <is>
          <t>Regulatory Filings (SEC EDGAR, Companies House, National Business Registry)</t>
        </is>
      </c>
      <c r="M26" s="8" t="inlineStr">
        <is>
          <t>CIL Architecture Team</t>
        </is>
      </c>
      <c r="N26" s="8" t="inlineStr">
        <is>
          <t>2026-06-28</t>
        </is>
      </c>
      <c r="O26" s="8" t="inlineStr">
        <is>
          <t>CorpStage CIL Registry v1.0</t>
        </is>
      </c>
      <c r="P26" s="8" t="inlineStr">
        <is>
          <t>Group only (single enterprise-wide fact, does not repeat per node)</t>
        </is>
      </c>
      <c r="Q26" s="8" t="inlineStr">
        <is>
          <t>Global</t>
        </is>
      </c>
      <c r="R26" s="8" t="inlineStr">
        <is>
          <t>Tier 1 (Standard) — available to all frameworks and all customers</t>
        </is>
      </c>
      <c r="S26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27" ht="15" customHeight="1" s="6">
      <c r="A27" s="8" t="inlineStr">
        <is>
          <t>CDE-L026</t>
        </is>
      </c>
      <c r="B27" s="8" t="inlineStr">
        <is>
          <t>Patent Status (Granted/Pending/Expired/Abandoned)</t>
        </is>
      </c>
      <c r="C27" s="8" t="inlineStr">
        <is>
          <t>Text</t>
        </is>
      </c>
      <c r="D27" s="8" t="inlineStr">
        <is>
          <t>Recommended</t>
        </is>
      </c>
      <c r="E27" s="8" t="inlineStr">
        <is>
          <t>Optional</t>
        </is>
      </c>
      <c r="F27" s="8" t="inlineStr">
        <is>
          <t>P2</t>
        </is>
      </c>
      <c r="G27" s="8" t="inlineStr">
        <is>
          <t>Non-empty text</t>
        </is>
      </c>
      <c r="H27" s="8" t="inlineStr">
        <is>
          <t>TYPE:TEXT</t>
        </is>
      </c>
      <c r="I27" s="8" t="inlineStr">
        <is>
          <t>Effective-dated</t>
        </is>
      </c>
      <c r="J27" s="8" t="inlineStr">
        <is>
          <t>One-to-many</t>
        </is>
      </c>
      <c r="K27" s="8" t="inlineStr">
        <is>
          <t>N/A — not a one-to-many numeric field</t>
        </is>
      </c>
      <c r="L27" s="8" t="inlineStr">
        <is>
          <t>Regulatory Filings (SEC EDGAR, Companies House, National Business Registry)</t>
        </is>
      </c>
      <c r="M27" s="8" t="inlineStr">
        <is>
          <t>CIL Architecture Team</t>
        </is>
      </c>
      <c r="N27" s="8" t="inlineStr">
        <is>
          <t>2026-06-28</t>
        </is>
      </c>
      <c r="O27" s="8" t="inlineStr">
        <is>
          <t>CorpStage CIL Registry v1.0</t>
        </is>
      </c>
      <c r="P27" s="8" t="inlineStr">
        <is>
          <t>Company, Group (collected per legal entity, not below Company level)</t>
        </is>
      </c>
      <c r="Q27" s="8" t="inlineStr">
        <is>
          <t>Global</t>
        </is>
      </c>
      <c r="R27" s="8" t="inlineStr">
        <is>
          <t>Tier 1 (Standard) — available to all frameworks and all customers</t>
        </is>
      </c>
      <c r="S27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28" ht="15" customHeight="1" s="6">
      <c r="A28" s="8" t="inlineStr">
        <is>
          <t>CDE-L027</t>
        </is>
      </c>
      <c r="B28" s="8" t="inlineStr">
        <is>
          <t>Trademark Portfolio Inventory (Mark/Jurisdiction/Class)</t>
        </is>
      </c>
      <c r="C28" s="8" t="inlineStr">
        <is>
          <t>Text</t>
        </is>
      </c>
      <c r="D28" s="8" t="inlineStr">
        <is>
          <t>Required</t>
        </is>
      </c>
      <c r="E28" s="8" t="inlineStr">
        <is>
          <t>Multi</t>
        </is>
      </c>
      <c r="F28" s="8" t="inlineStr">
        <is>
          <t>P1</t>
        </is>
      </c>
      <c r="G28" s="8" t="inlineStr">
        <is>
          <t>Non-empty text</t>
        </is>
      </c>
      <c r="H28" s="8" t="inlineStr">
        <is>
          <t>TYPE:TEXT</t>
        </is>
      </c>
      <c r="I28" s="8" t="inlineStr">
        <is>
          <t>Effective-dated</t>
        </is>
      </c>
      <c r="J28" s="8" t="inlineStr">
        <is>
          <t>One-to-many</t>
        </is>
      </c>
      <c r="K28" s="8" t="inlineStr">
        <is>
          <t>N/A — not a one-to-many numeric field</t>
        </is>
      </c>
      <c r="L28" s="8" t="inlineStr">
        <is>
          <t>Regulatory Filings (SEC EDGAR, Companies House, National Business Registry)</t>
        </is>
      </c>
      <c r="M28" s="8" t="inlineStr">
        <is>
          <t>CIL Architecture Team</t>
        </is>
      </c>
      <c r="N28" s="8" t="inlineStr">
        <is>
          <t>2026-06-28</t>
        </is>
      </c>
      <c r="O28" s="8" t="inlineStr">
        <is>
          <t>CorpStage CIL Registry v1.0</t>
        </is>
      </c>
      <c r="P28" s="8" t="inlineStr">
        <is>
          <t>Company, Group (collected per legal entity, not below Company level)</t>
        </is>
      </c>
      <c r="Q28" s="8" t="inlineStr">
        <is>
          <t>Global</t>
        </is>
      </c>
      <c r="R28" s="8" t="inlineStr">
        <is>
          <t>Tier 1 (Standard) — available to all frameworks and all customers</t>
        </is>
      </c>
      <c r="S28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29" ht="15" customHeight="1" s="6">
      <c r="A29" s="8" t="inlineStr">
        <is>
          <t>CDE-L028</t>
        </is>
      </c>
      <c r="B29" s="8" t="inlineStr">
        <is>
          <t>Total Active Trademark Count</t>
        </is>
      </c>
      <c r="C29" s="8" t="inlineStr">
        <is>
          <t>Numeric</t>
        </is>
      </c>
      <c r="D29" s="8" t="inlineStr">
        <is>
          <t>Recommended</t>
        </is>
      </c>
      <c r="E29" s="8" t="inlineStr">
        <is>
          <t>Optional</t>
        </is>
      </c>
      <c r="F29" s="8" t="inlineStr">
        <is>
          <t>P2</t>
        </is>
      </c>
      <c r="G29" s="8" t="inlineStr">
        <is>
          <t>&gt;=0, integer</t>
        </is>
      </c>
      <c r="H29" s="8" t="inlineStr">
        <is>
          <t>TYPE:INTEGER|MIN:0</t>
        </is>
      </c>
      <c r="I29" s="8" t="inlineStr">
        <is>
          <t>Effective-dated</t>
        </is>
      </c>
      <c r="J29" s="8" t="inlineStr">
        <is>
          <t>One-to-one</t>
        </is>
      </c>
      <c r="K29" s="8" t="inlineStr">
        <is>
          <t>N/A — not a one-to-many numeric field</t>
        </is>
      </c>
      <c r="L29" s="8" t="inlineStr">
        <is>
          <t>Regulatory Filings (SEC EDGAR, Companies House, National Business Registry)</t>
        </is>
      </c>
      <c r="M29" s="8" t="inlineStr">
        <is>
          <t>CIL Architecture Team</t>
        </is>
      </c>
      <c r="N29" s="8" t="inlineStr">
        <is>
          <t>2026-06-28</t>
        </is>
      </c>
      <c r="O29" s="8" t="inlineStr">
        <is>
          <t>CorpStage CIL Registry v1.0</t>
        </is>
      </c>
      <c r="P29" s="8" t="inlineStr">
        <is>
          <t>Group only (single enterprise-wide fact, does not repeat per node)</t>
        </is>
      </c>
      <c r="Q29" s="8" t="inlineStr">
        <is>
          <t>Global</t>
        </is>
      </c>
      <c r="R29" s="8" t="inlineStr">
        <is>
          <t>Tier 1 (Standard) — available to all frameworks and all customers</t>
        </is>
      </c>
      <c r="S29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30" ht="15" customHeight="1" s="6">
      <c r="A30" s="8" t="inlineStr">
        <is>
          <t>CDE-L029</t>
        </is>
      </c>
      <c r="B30" s="8" t="inlineStr">
        <is>
          <t>Trade Secret Inventory/Register Exists</t>
        </is>
      </c>
      <c r="C30" s="8" t="inlineStr">
        <is>
          <t>Boolean</t>
        </is>
      </c>
      <c r="D30" s="8" t="inlineStr">
        <is>
          <t>Recommended</t>
        </is>
      </c>
      <c r="E30" s="8" t="inlineStr">
        <is>
          <t>Optional</t>
        </is>
      </c>
      <c r="F30" s="8" t="inlineStr">
        <is>
          <t>P2</t>
        </is>
      </c>
      <c r="G30" s="8" t="inlineStr">
        <is>
          <t>True/False</t>
        </is>
      </c>
      <c r="H30" s="8" t="inlineStr">
        <is>
          <t>TYPE:BOOLEAN|ALLOWED:TRUE,FALSE</t>
        </is>
      </c>
      <c r="I30" s="8" t="inlineStr">
        <is>
          <t>Effective-dated</t>
        </is>
      </c>
      <c r="J30" s="8" t="inlineStr">
        <is>
          <t>One-to-one</t>
        </is>
      </c>
      <c r="K30" s="8" t="inlineStr">
        <is>
          <t>N/A — not a one-to-many numeric field</t>
        </is>
      </c>
      <c r="L30" s="8" t="inlineStr">
        <is>
          <t>User Validation</t>
        </is>
      </c>
      <c r="M30" s="8" t="inlineStr">
        <is>
          <t>CIL Architecture Team</t>
        </is>
      </c>
      <c r="N30" s="8" t="inlineStr">
        <is>
          <t>2026-06-28</t>
        </is>
      </c>
      <c r="O30" s="8" t="inlineStr">
        <is>
          <t>CorpStage CIL Registry v1.0</t>
        </is>
      </c>
      <c r="P30" s="8" t="inlineStr">
        <is>
          <t>Group only (single enterprise-wide fact, does not repeat per node)</t>
        </is>
      </c>
      <c r="Q30" s="8" t="inlineStr">
        <is>
          <t>Global</t>
        </is>
      </c>
      <c r="R30" s="8" t="inlineStr">
        <is>
          <t>Tier 1 (Standard) — available to all frameworks and all customers</t>
        </is>
      </c>
      <c r="S30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31" ht="15" customHeight="1" s="6">
      <c r="A31" s="8" t="inlineStr">
        <is>
          <t>CDE-L030</t>
        </is>
      </c>
      <c r="B31" s="8" t="inlineStr">
        <is>
          <t>Copyright Registration Inventory (Where Applicable)</t>
        </is>
      </c>
      <c r="C31" s="8" t="inlineStr">
        <is>
          <t>Text</t>
        </is>
      </c>
      <c r="D31" s="8" t="inlineStr">
        <is>
          <t>Supplemental</t>
        </is>
      </c>
      <c r="E31" s="8" t="inlineStr">
        <is>
          <t>Optional</t>
        </is>
      </c>
      <c r="F31" s="8" t="inlineStr">
        <is>
          <t>P3</t>
        </is>
      </c>
      <c r="G31" s="8" t="inlineStr">
        <is>
          <t>Non-empty text</t>
        </is>
      </c>
      <c r="H31" s="8" t="inlineStr">
        <is>
          <t>TYPE:TEXT</t>
        </is>
      </c>
      <c r="I31" s="8" t="inlineStr">
        <is>
          <t>Point-in-time</t>
        </is>
      </c>
      <c r="J31" s="8" t="inlineStr">
        <is>
          <t>One-to-many</t>
        </is>
      </c>
      <c r="K31" s="8" t="inlineStr">
        <is>
          <t>N/A — not a one-to-many numeric field</t>
        </is>
      </c>
      <c r="L31" s="8" t="inlineStr">
        <is>
          <t>Regulatory Filings (SEC EDGAR, Companies House, National Business Registry)</t>
        </is>
      </c>
      <c r="M31" s="8" t="inlineStr">
        <is>
          <t>CIL Architecture Team</t>
        </is>
      </c>
      <c r="N31" s="8" t="inlineStr">
        <is>
          <t>2026-06-28</t>
        </is>
      </c>
      <c r="O31" s="8" t="inlineStr">
        <is>
          <t>CorpStage CIL Registry v1.0</t>
        </is>
      </c>
      <c r="P31" s="8" t="inlineStr">
        <is>
          <t>Company, Group (collected per legal entity, not below Company level)</t>
        </is>
      </c>
      <c r="Q31" s="8" t="inlineStr">
        <is>
          <t>Global</t>
        </is>
      </c>
      <c r="R31" s="8" t="inlineStr">
        <is>
          <t>Tier 1 (Standard) — available to all frameworks and all customers</t>
        </is>
      </c>
      <c r="S31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32" ht="15" customHeight="1" s="6">
      <c r="A32" s="8" t="inlineStr">
        <is>
          <t>CDE-L031</t>
        </is>
      </c>
      <c r="B32" s="8" t="inlineStr">
        <is>
          <t>IP Infringement Claim Made or Faced (Current Period, Count)</t>
        </is>
      </c>
      <c r="C32" s="8" t="inlineStr">
        <is>
          <t>Numeric</t>
        </is>
      </c>
      <c r="D32" s="8" t="inlineStr">
        <is>
          <t>Required</t>
        </is>
      </c>
      <c r="E32" s="8" t="inlineStr">
        <is>
          <t>Multi</t>
        </is>
      </c>
      <c r="F32" s="8" t="inlineStr">
        <is>
          <t>P1</t>
        </is>
      </c>
      <c r="G32" s="8" t="inlineStr">
        <is>
          <t>&gt;=0, integer</t>
        </is>
      </c>
      <c r="H32" s="8" t="inlineStr">
        <is>
          <t>TYPE:INTEGER|MIN:0</t>
        </is>
      </c>
      <c r="I32" s="8" t="inlineStr">
        <is>
          <t>Effective-dated</t>
        </is>
      </c>
      <c r="J32" s="8" t="inlineStr">
        <is>
          <t>One-to-one</t>
        </is>
      </c>
      <c r="K32" s="8" t="inlineStr">
        <is>
          <t>N/A — not a one-to-many numeric field</t>
        </is>
      </c>
      <c r="L32" s="8" t="inlineStr">
        <is>
          <t>Regulatory Filings (SEC EDGAR, Companies House, National Business Registry)</t>
        </is>
      </c>
      <c r="M32" s="8" t="inlineStr">
        <is>
          <t>CIL Architecture Team</t>
        </is>
      </c>
      <c r="N32" s="8" t="inlineStr">
        <is>
          <t>2026-06-28</t>
        </is>
      </c>
      <c r="O32" s="8" t="inlineStr">
        <is>
          <t>CorpStage CIL Registry v1.0</t>
        </is>
      </c>
      <c r="P32" s="8" t="inlineStr">
        <is>
          <t>Group only (single enterprise-wide fact, does not repeat per node)</t>
        </is>
      </c>
      <c r="Q32" s="8" t="inlineStr">
        <is>
          <t>Global</t>
        </is>
      </c>
      <c r="R32" s="8" t="inlineStr">
        <is>
          <t>Tier 1 (Standard) — available to all frameworks and all customers</t>
        </is>
      </c>
      <c r="S32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33" ht="15" customHeight="1" s="6">
      <c r="A33" s="8" t="inlineStr">
        <is>
          <t>CDE-L032</t>
        </is>
      </c>
      <c r="B33" s="8" t="inlineStr">
        <is>
          <t>IP Infringement Claim Direction (Made by Enterprise/Against Enterprise)</t>
        </is>
      </c>
      <c r="C33" s="8" t="inlineStr">
        <is>
          <t>Text</t>
        </is>
      </c>
      <c r="D33" s="8" t="inlineStr">
        <is>
          <t>Recommended</t>
        </is>
      </c>
      <c r="E33" s="8" t="inlineStr">
        <is>
          <t>Optional</t>
        </is>
      </c>
      <c r="F33" s="8" t="inlineStr">
        <is>
          <t>P2</t>
        </is>
      </c>
      <c r="G33" s="8" t="inlineStr">
        <is>
          <t>Made/Against</t>
        </is>
      </c>
      <c r="H33" s="8" t="inlineStr">
        <is>
          <t>TYPE:ENUM|ALLOWED:MADE,AGAINST</t>
        </is>
      </c>
      <c r="I33" s="8" t="inlineStr">
        <is>
          <t>Point-in-time</t>
        </is>
      </c>
      <c r="J33" s="8" t="inlineStr">
        <is>
          <t>One-to-many</t>
        </is>
      </c>
      <c r="K33" s="8" t="inlineStr">
        <is>
          <t>N/A — not a one-to-many numeric field</t>
        </is>
      </c>
      <c r="L33" s="8" t="inlineStr">
        <is>
          <t>User Validation</t>
        </is>
      </c>
      <c r="M33" s="8" t="inlineStr">
        <is>
          <t>CIL Architecture Team</t>
        </is>
      </c>
      <c r="N33" s="8" t="inlineStr">
        <is>
          <t>2026-06-28</t>
        </is>
      </c>
      <c r="O33" s="8" t="inlineStr">
        <is>
          <t>CorpStage CIL Registry v1.0</t>
        </is>
      </c>
      <c r="P33" s="8" t="inlineStr">
        <is>
          <t>Company, Group (collected per legal entity, not below Company level)</t>
        </is>
      </c>
      <c r="Q33" s="8" t="inlineStr">
        <is>
          <t>Global</t>
        </is>
      </c>
      <c r="R33" s="8" t="inlineStr">
        <is>
          <t>Tier 1 (Standard) — available to all frameworks and all customers</t>
        </is>
      </c>
      <c r="S33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34" ht="15" customHeight="1" s="6">
      <c r="A34" s="8" t="inlineStr">
        <is>
          <t>CDE-L033</t>
        </is>
      </c>
      <c r="B34" s="8" t="inlineStr">
        <is>
          <t>IP Licensing Agreement Inventory (In-Bound/Out-Bound)</t>
        </is>
      </c>
      <c r="C34" s="8" t="inlineStr">
        <is>
          <t>Text</t>
        </is>
      </c>
      <c r="D34" s="8" t="inlineStr">
        <is>
          <t>Recommended</t>
        </is>
      </c>
      <c r="E34" s="8" t="inlineStr">
        <is>
          <t>Optional</t>
        </is>
      </c>
      <c r="F34" s="8" t="inlineStr">
        <is>
          <t>P2</t>
        </is>
      </c>
      <c r="G34" s="8" t="inlineStr">
        <is>
          <t>Non-empty text</t>
        </is>
      </c>
      <c r="H34" s="8" t="inlineStr">
        <is>
          <t>TYPE:TEXT</t>
        </is>
      </c>
      <c r="I34" s="8" t="inlineStr">
        <is>
          <t>Effective-dated</t>
        </is>
      </c>
      <c r="J34" s="8" t="inlineStr">
        <is>
          <t>One-to-many</t>
        </is>
      </c>
      <c r="K34" s="8" t="inlineStr">
        <is>
          <t>N/A — not a one-to-many numeric field</t>
        </is>
      </c>
      <c r="L34" s="8" t="inlineStr">
        <is>
          <t>User Validation</t>
        </is>
      </c>
      <c r="M34" s="8" t="inlineStr">
        <is>
          <t>CIL Architecture Team</t>
        </is>
      </c>
      <c r="N34" s="8" t="inlineStr">
        <is>
          <t>2026-06-28</t>
        </is>
      </c>
      <c r="O34" s="8" t="inlineStr">
        <is>
          <t>CorpStage CIL Registry v1.0</t>
        </is>
      </c>
      <c r="P34" s="8" t="inlineStr">
        <is>
          <t>Company, Group (collected per legal entity, not below Company level)</t>
        </is>
      </c>
      <c r="Q34" s="8" t="inlineStr">
        <is>
          <t>Global</t>
        </is>
      </c>
      <c r="R34" s="8" t="inlineStr">
        <is>
          <t>Tier 1 (Standard) — available to all frameworks and all customers</t>
        </is>
      </c>
      <c r="S34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35" ht="15" customHeight="1" s="6">
      <c r="A35" s="8" t="inlineStr">
        <is>
          <t>CDE-L034</t>
        </is>
      </c>
      <c r="B35" s="8" t="inlineStr">
        <is>
          <t>IP Licensing Revenue (Out-Bound, Current Period)</t>
        </is>
      </c>
      <c r="C35" s="8" t="inlineStr">
        <is>
          <t>Numeric</t>
        </is>
      </c>
      <c r="D35" s="8" t="inlineStr">
        <is>
          <t>Supplemental</t>
        </is>
      </c>
      <c r="E35" s="8" t="inlineStr">
        <is>
          <t>Optional</t>
        </is>
      </c>
      <c r="F35" s="8" t="inlineStr">
        <is>
          <t>P3</t>
        </is>
      </c>
      <c r="G35" s="8" t="inlineStr">
        <is>
          <t>&gt;=0, numeric</t>
        </is>
      </c>
      <c r="H35" s="8" t="inlineStr">
        <is>
          <t>TYPE:NUMERIC|MIN:0</t>
        </is>
      </c>
      <c r="I35" s="8" t="inlineStr">
        <is>
          <t>Effective-dated</t>
        </is>
      </c>
      <c r="J35" s="8" t="inlineStr">
        <is>
          <t>One-to-one</t>
        </is>
      </c>
      <c r="K35" s="8" t="inlineStr">
        <is>
          <t>N/A — not a one-to-many numeric field</t>
        </is>
      </c>
      <c r="L35" s="8" t="inlineStr">
        <is>
          <t>Finance / ERP System (SAP S/4HANA, Oracle Fusion, NetSuite)</t>
        </is>
      </c>
      <c r="M35" s="8" t="inlineStr">
        <is>
          <t>CIL Architecture Team</t>
        </is>
      </c>
      <c r="N35" s="8" t="inlineStr">
        <is>
          <t>2026-06-28</t>
        </is>
      </c>
      <c r="O35" s="8" t="inlineStr">
        <is>
          <t>CorpStage CIL Registry v1.0</t>
        </is>
      </c>
      <c r="P35" s="8" t="inlineStr">
        <is>
          <t>Group only (single enterprise-wide fact, does not repeat per node)</t>
        </is>
      </c>
      <c r="Q35" s="8" t="inlineStr">
        <is>
          <t>Global</t>
        </is>
      </c>
      <c r="R35" s="8" t="inlineStr">
        <is>
          <t>Tier 1 (Standard) — available to all frameworks and all customers</t>
        </is>
      </c>
      <c r="S35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36" ht="15" customHeight="1" s="6">
      <c r="A36" s="8" t="inlineStr">
        <is>
          <t>CDE-L035</t>
        </is>
      </c>
      <c r="B36" s="8" t="inlineStr">
        <is>
          <t>Legal Entity Count in Group Structure</t>
        </is>
      </c>
      <c r="C36" s="8" t="inlineStr">
        <is>
          <t>Numeric</t>
        </is>
      </c>
      <c r="D36" s="8" t="inlineStr">
        <is>
          <t>Required</t>
        </is>
      </c>
      <c r="E36" s="8" t="inlineStr">
        <is>
          <t>Universal</t>
        </is>
      </c>
      <c r="F36" s="8" t="inlineStr">
        <is>
          <t>P1</t>
        </is>
      </c>
      <c r="G36" s="8" t="inlineStr">
        <is>
          <t>&gt;=1, integer</t>
        </is>
      </c>
      <c r="H36" s="8" t="inlineStr">
        <is>
          <t>TYPE:INTEGER|MIN:1</t>
        </is>
      </c>
      <c r="I36" s="8" t="inlineStr">
        <is>
          <t>Effective-dated</t>
        </is>
      </c>
      <c r="J36" s="8" t="inlineStr">
        <is>
          <t>One-to-one</t>
        </is>
      </c>
      <c r="K36" s="8" t="inlineStr">
        <is>
          <t>N/A — not a one-to-many numeric field</t>
        </is>
      </c>
      <c r="L36" s="8" t="inlineStr">
        <is>
          <t>Annual Report / 10-K Filing (SEC EDGAR, Company IR Site)</t>
        </is>
      </c>
      <c r="M36" s="8" t="inlineStr">
        <is>
          <t>CIL Architecture Team</t>
        </is>
      </c>
      <c r="N36" s="8" t="inlineStr">
        <is>
          <t>2026-06-28</t>
        </is>
      </c>
      <c r="O36" s="8" t="inlineStr">
        <is>
          <t>CorpStage CIL Registry v1.0</t>
        </is>
      </c>
      <c r="P36" s="8" t="inlineStr">
        <is>
          <t>Group only (single enterprise-wide fact, does not repeat per node)</t>
        </is>
      </c>
      <c r="Q36" s="8" t="inlineStr">
        <is>
          <t>Global</t>
        </is>
      </c>
      <c r="R36" s="8" t="inlineStr">
        <is>
          <t>Tier 1 (Standard) — available to all frameworks and all customers</t>
        </is>
      </c>
      <c r="S36" s="8" t="inlineStr">
        <is>
          <t>Owned by Legal Intelligence per Binding 6(a) — distinct from Domain 1 Enterprise Intelligence's CDE-001/008/059/061/066/067/074/075/076 (Legal Entity Name/Type/Jurisdiction/Incorporation Date/Registration Number — the IDENTITY registry). This domain owns the LEGAL-PROCESS/MAINTENANCE view (statutory filing currency, board resolution tracking, rationalization activity) layered on top of that registry — must reference Domain 1's entity registry, not duplicate the identity facts.</t>
        </is>
      </c>
    </row>
    <row r="37" ht="15" customHeight="1" s="6">
      <c r="A37" s="8" t="inlineStr">
        <is>
          <t>CDE-L036</t>
        </is>
      </c>
      <c r="B37" s="8" t="inlineStr">
        <is>
          <t>Group Structure Chart Last Updated Date</t>
        </is>
      </c>
      <c r="C37" s="8" t="inlineStr">
        <is>
          <t>Date</t>
        </is>
      </c>
      <c r="D37" s="8" t="inlineStr">
        <is>
          <t>Recommended</t>
        </is>
      </c>
      <c r="E37" s="8" t="inlineStr">
        <is>
          <t>Optional</t>
        </is>
      </c>
      <c r="F37" s="8" t="inlineStr">
        <is>
          <t>P2</t>
        </is>
      </c>
      <c r="G37" s="8" t="inlineStr">
        <is>
          <t>Valid date</t>
        </is>
      </c>
      <c r="H37" s="8" t="inlineStr">
        <is>
          <t>TYPE:DATE</t>
        </is>
      </c>
      <c r="I37" s="8" t="inlineStr">
        <is>
          <t>Point-in-time</t>
        </is>
      </c>
      <c r="J37" s="8" t="inlineStr">
        <is>
          <t>One-to-one</t>
        </is>
      </c>
      <c r="K37" s="8" t="inlineStr">
        <is>
          <t>N/A — not a one-to-many numeric field</t>
        </is>
      </c>
      <c r="L37" s="8" t="inlineStr">
        <is>
          <t>User Validation</t>
        </is>
      </c>
      <c r="M37" s="8" t="inlineStr">
        <is>
          <t>CIL Architecture Team</t>
        </is>
      </c>
      <c r="N37" s="8" t="inlineStr">
        <is>
          <t>2026-06-28</t>
        </is>
      </c>
      <c r="O37" s="8" t="inlineStr">
        <is>
          <t>CorpStage CIL Registry v1.0</t>
        </is>
      </c>
      <c r="P37" s="8" t="inlineStr">
        <is>
          <t>Group only (single enterprise-wide fact, does not repeat per node)</t>
        </is>
      </c>
      <c r="Q37" s="8" t="inlineStr">
        <is>
          <t>Global</t>
        </is>
      </c>
      <c r="R37" s="8" t="inlineStr">
        <is>
          <t>Tier 1 (Standard) — available to all frameworks and all customers</t>
        </is>
      </c>
      <c r="S37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38" ht="15" customHeight="1" s="6">
      <c r="A38" s="8" t="inlineStr">
        <is>
          <t>CDE-L037</t>
        </is>
      </c>
      <c r="B38" s="8" t="inlineStr">
        <is>
          <t>Statutory Filing Currency Status (Per Entity, Up-to-Date/Lapsed)</t>
        </is>
      </c>
      <c r="C38" s="8" t="inlineStr">
        <is>
          <t>Text</t>
        </is>
      </c>
      <c r="D38" s="8" t="inlineStr">
        <is>
          <t>Required</t>
        </is>
      </c>
      <c r="E38" s="8" t="inlineStr">
        <is>
          <t>Multi</t>
        </is>
      </c>
      <c r="F38" s="8" t="inlineStr">
        <is>
          <t>P1</t>
        </is>
      </c>
      <c r="G38" s="8" t="inlineStr">
        <is>
          <t>Up-to-Date/Lapsed/Unknown</t>
        </is>
      </c>
      <c r="H38" s="8" t="inlineStr">
        <is>
          <t>TYPE:ENUM|ALLOWED:UP_TO_DATE,LAPSED,UNKNOWN</t>
        </is>
      </c>
      <c r="I38" s="8" t="inlineStr">
        <is>
          <t>Effective-dated</t>
        </is>
      </c>
      <c r="J38" s="8" t="inlineStr">
        <is>
          <t>One-to-many</t>
        </is>
      </c>
      <c r="K38" s="8" t="inlineStr">
        <is>
          <t>N/A — not a one-to-many numeric field</t>
        </is>
      </c>
      <c r="L38" s="8" t="inlineStr">
        <is>
          <t>Regulatory Filings (SEC EDGAR, Companies House, National Business Registry)</t>
        </is>
      </c>
      <c r="M38" s="8" t="inlineStr">
        <is>
          <t>CIL Architecture Team</t>
        </is>
      </c>
      <c r="N38" s="8" t="inlineStr">
        <is>
          <t>2026-06-28</t>
        </is>
      </c>
      <c r="O38" s="8" t="inlineStr">
        <is>
          <t>CorpStage CIL Registry v1.0</t>
        </is>
      </c>
      <c r="P38" s="8" t="inlineStr">
        <is>
          <t>Company, Group (collected per legal entity, not below Company level)</t>
        </is>
      </c>
      <c r="Q38" s="8" t="inlineStr">
        <is>
          <t>Global</t>
        </is>
      </c>
      <c r="R38" s="8" t="inlineStr">
        <is>
          <t>Tier 1 (Standard) — available to all frameworks and all customers</t>
        </is>
      </c>
      <c r="S38" s="8" t="inlineStr">
        <is>
          <t>Owned by Legal Intelligence per Binding 6(a) — distinct from Domain 1 Enterprise Intelligence's CDE-001/008/059/061/066/067/074/075/076 (Legal Entity Name/Type/Jurisdiction/Incorporation Date/Registration Number — the IDENTITY registry). This domain owns the LEGAL-PROCESS/MAINTENANCE view (statutory filing currency, board resolution tracking, rationalization activity) layered on top of that registry — must reference Domain 1's entity registry, not duplicate the identity facts.</t>
        </is>
      </c>
    </row>
    <row r="39" ht="15" customHeight="1" s="6">
      <c r="A39" s="8" t="inlineStr">
        <is>
          <t>CDE-L038</t>
        </is>
      </c>
      <c r="B39" s="8" t="inlineStr">
        <is>
          <t>Board Resolution Tracking System Exists</t>
        </is>
      </c>
      <c r="C39" s="8" t="inlineStr">
        <is>
          <t>Boolean</t>
        </is>
      </c>
      <c r="D39" s="8" t="inlineStr">
        <is>
          <t>Recommended</t>
        </is>
      </c>
      <c r="E39" s="8" t="inlineStr">
        <is>
          <t>Optional</t>
        </is>
      </c>
      <c r="F39" s="8" t="inlineStr">
        <is>
          <t>P2</t>
        </is>
      </c>
      <c r="G39" s="8" t="inlineStr">
        <is>
          <t>True/False</t>
        </is>
      </c>
      <c r="H39" s="8" t="inlineStr">
        <is>
          <t>TYPE:BOOLEAN|ALLOWED:TRUE,FALSE</t>
        </is>
      </c>
      <c r="I39" s="8" t="inlineStr">
        <is>
          <t>Effective-dated</t>
        </is>
      </c>
      <c r="J39" s="8" t="inlineStr">
        <is>
          <t>One-to-one</t>
        </is>
      </c>
      <c r="K39" s="8" t="inlineStr">
        <is>
          <t>N/A — not a one-to-many numeric field</t>
        </is>
      </c>
      <c r="L39" s="8" t="inlineStr">
        <is>
          <t>User Validation</t>
        </is>
      </c>
      <c r="M39" s="8" t="inlineStr">
        <is>
          <t>CIL Architecture Team</t>
        </is>
      </c>
      <c r="N39" s="8" t="inlineStr">
        <is>
          <t>2026-06-28</t>
        </is>
      </c>
      <c r="O39" s="8" t="inlineStr">
        <is>
          <t>CorpStage CIL Registry v1.0</t>
        </is>
      </c>
      <c r="P39" s="8" t="inlineStr">
        <is>
          <t>Group only (single enterprise-wide fact, does not repeat per node)</t>
        </is>
      </c>
      <c r="Q39" s="8" t="inlineStr">
        <is>
          <t>Global</t>
        </is>
      </c>
      <c r="R39" s="8" t="inlineStr">
        <is>
          <t>Tier 1 (Standard) — available to all frameworks and all customers</t>
        </is>
      </c>
      <c r="S39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40" ht="15" customHeight="1" s="6">
      <c r="A40" s="8" t="inlineStr">
        <is>
          <t>CDE-L039</t>
        </is>
      </c>
      <c r="B40" s="8" t="inlineStr">
        <is>
          <t>Legal Entity Rationalization or Restructuring Activity Underway</t>
        </is>
      </c>
      <c r="C40" s="8" t="inlineStr">
        <is>
          <t>Boolean</t>
        </is>
      </c>
      <c r="D40" s="8" t="inlineStr">
        <is>
          <t>Recommended</t>
        </is>
      </c>
      <c r="E40" s="8" t="inlineStr">
        <is>
          <t>Optional</t>
        </is>
      </c>
      <c r="F40" s="8" t="inlineStr">
        <is>
          <t>P2</t>
        </is>
      </c>
      <c r="G40" s="8" t="inlineStr">
        <is>
          <t>True/False/Unknown (tri-state)</t>
        </is>
      </c>
      <c r="H40" s="8" t="inlineStr">
        <is>
          <t>TYPE:BOOLEAN|ALLOWED:TRUE,FALSE,UNKNOWN</t>
        </is>
      </c>
      <c r="I40" s="8" t="inlineStr">
        <is>
          <t>Effective-dated</t>
        </is>
      </c>
      <c r="J40" s="8" t="inlineStr">
        <is>
          <t>One-to-one</t>
        </is>
      </c>
      <c r="K40" s="8" t="inlineStr">
        <is>
          <t>N/A — not a one-to-many numeric field</t>
        </is>
      </c>
      <c r="L40" s="8" t="inlineStr">
        <is>
          <t>User Validation</t>
        </is>
      </c>
      <c r="M40" s="8" t="inlineStr">
        <is>
          <t>CIL Architecture Team</t>
        </is>
      </c>
      <c r="N40" s="8" t="inlineStr">
        <is>
          <t>2026-06-28</t>
        </is>
      </c>
      <c r="O40" s="8" t="inlineStr">
        <is>
          <t>CorpStage CIL Registry v1.0</t>
        </is>
      </c>
      <c r="P40" s="8" t="inlineStr">
        <is>
          <t>Group only (single enterprise-wide fact, does not repeat per node)</t>
        </is>
      </c>
      <c r="Q40" s="8" t="inlineStr">
        <is>
          <t>Global</t>
        </is>
      </c>
      <c r="R40" s="8" t="inlineStr">
        <is>
          <t>Tier 1 (Standard) — available to all frameworks and all customers</t>
        </is>
      </c>
      <c r="S40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41" ht="15" customHeight="1" s="6">
      <c r="A41" s="8" t="inlineStr">
        <is>
          <t>CDE-L040</t>
        </is>
      </c>
      <c r="B41" s="8" t="inlineStr">
        <is>
          <t>Entities Planned for Dissolution/Merger (Count)</t>
        </is>
      </c>
      <c r="C41" s="8" t="inlineStr">
        <is>
          <t>Numeric</t>
        </is>
      </c>
      <c r="D41" s="8" t="inlineStr">
        <is>
          <t>Supplemental</t>
        </is>
      </c>
      <c r="E41" s="8" t="inlineStr">
        <is>
          <t>Optional</t>
        </is>
      </c>
      <c r="F41" s="8" t="inlineStr">
        <is>
          <t>P3</t>
        </is>
      </c>
      <c r="G41" s="8" t="inlineStr">
        <is>
          <t>&gt;=0, integer</t>
        </is>
      </c>
      <c r="H41" s="8" t="inlineStr">
        <is>
          <t>TYPE:INTEGER|MIN:0</t>
        </is>
      </c>
      <c r="I41" s="8" t="inlineStr">
        <is>
          <t>Point-in-time</t>
        </is>
      </c>
      <c r="J41" s="8" t="inlineStr">
        <is>
          <t>One-to-one</t>
        </is>
      </c>
      <c r="K41" s="8" t="inlineStr">
        <is>
          <t>N/A — not a one-to-many numeric field</t>
        </is>
      </c>
      <c r="L41" s="8" t="inlineStr">
        <is>
          <t>User Validation</t>
        </is>
      </c>
      <c r="M41" s="8" t="inlineStr">
        <is>
          <t>CIL Architecture Team</t>
        </is>
      </c>
      <c r="N41" s="8" t="inlineStr">
        <is>
          <t>2026-06-28</t>
        </is>
      </c>
      <c r="O41" s="8" t="inlineStr">
        <is>
          <t>CorpStage CIL Registry v1.0</t>
        </is>
      </c>
      <c r="P41" s="8" t="inlineStr">
        <is>
          <t>Group only (single enterprise-wide fact, does not repeat per node)</t>
        </is>
      </c>
      <c r="Q41" s="8" t="inlineStr">
        <is>
          <t>Global</t>
        </is>
      </c>
      <c r="R41" s="8" t="inlineStr">
        <is>
          <t>Tier 1 (Standard) — available to all frameworks and all customers</t>
        </is>
      </c>
      <c r="S41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42" ht="15" customHeight="1" s="6">
      <c r="A42" s="8" t="inlineStr">
        <is>
          <t>CDE-L041</t>
        </is>
      </c>
      <c r="B42" s="8" t="inlineStr">
        <is>
          <t>License/Permit Compliance Lapse Identified (Current Period, Count)</t>
        </is>
      </c>
      <c r="C42" s="8" t="inlineStr">
        <is>
          <t>Numeric</t>
        </is>
      </c>
      <c r="D42" s="8" t="inlineStr">
        <is>
          <t>Required</t>
        </is>
      </c>
      <c r="E42" s="8" t="inlineStr">
        <is>
          <t>Multi</t>
        </is>
      </c>
      <c r="F42" s="8" t="inlineStr">
        <is>
          <t>P1</t>
        </is>
      </c>
      <c r="G42" s="8" t="inlineStr">
        <is>
          <t>&gt;=0, integer</t>
        </is>
      </c>
      <c r="H42" s="8" t="inlineStr">
        <is>
          <t>TYPE:INTEGER|MIN:0</t>
        </is>
      </c>
      <c r="I42" s="8" t="inlineStr">
        <is>
          <t>Effective-dated</t>
        </is>
      </c>
      <c r="J42" s="8" t="inlineStr">
        <is>
          <t>One-to-one</t>
        </is>
      </c>
      <c r="K42" s="8" t="inlineStr">
        <is>
          <t>N/A — not a one-to-many numeric field</t>
        </is>
      </c>
      <c r="L42" s="8" t="inlineStr">
        <is>
          <t>Regulatory Filings (SEC EDGAR, Companies House, National Business Registry)</t>
        </is>
      </c>
      <c r="M42" s="8" t="inlineStr">
        <is>
          <t>CIL Architecture Team</t>
        </is>
      </c>
      <c r="N42" s="8" t="inlineStr">
        <is>
          <t>2026-06-28</t>
        </is>
      </c>
      <c r="O42" s="8" t="inlineStr">
        <is>
          <t>CorpStage CIL Registry v1.0</t>
        </is>
      </c>
      <c r="P42" s="8" t="inlineStr">
        <is>
          <t>Group only (single enterprise-wide fact, does not repeat per node)</t>
        </is>
      </c>
      <c r="Q42" s="8" t="inlineStr">
        <is>
          <t>Global</t>
        </is>
      </c>
      <c r="R42" s="8" t="inlineStr">
        <is>
          <t>Tier 1 (Standard) — available to all frameworks and all customers</t>
        </is>
      </c>
      <c r="S42" s="8" t="inlineStr">
        <is>
          <t>Distinct from Domain 1 Enterprise Intelligence's CDE-189/190/191/306 (Jurisdiction Requiring Local License/License Type/Expiry/Renewal Notice Period — the license REGISTRY). This domain owns the LEGAL COMPLIANCE-STATUS view (is the license current, any lapse identified) — must reference Domain 1's license registry, not duplicate license identity facts.</t>
        </is>
      </c>
    </row>
    <row r="43" ht="15" customHeight="1" s="6">
      <c r="A43" s="8" t="inlineStr">
        <is>
          <t>CDE-L042</t>
        </is>
      </c>
      <c r="B43" s="8" t="inlineStr">
        <is>
          <t>License Renewal in Progress (Count)</t>
        </is>
      </c>
      <c r="C43" s="8" t="inlineStr">
        <is>
          <t>Numeric</t>
        </is>
      </c>
      <c r="D43" s="8" t="inlineStr">
        <is>
          <t>Recommended</t>
        </is>
      </c>
      <c r="E43" s="8" t="inlineStr">
        <is>
          <t>Optional</t>
        </is>
      </c>
      <c r="F43" s="8" t="inlineStr">
        <is>
          <t>P2</t>
        </is>
      </c>
      <c r="G43" s="8" t="inlineStr">
        <is>
          <t>&gt;=0, integer</t>
        </is>
      </c>
      <c r="H43" s="8" t="inlineStr">
        <is>
          <t>TYPE:INTEGER|MIN:0</t>
        </is>
      </c>
      <c r="I43" s="8" t="inlineStr">
        <is>
          <t>Effective-dated</t>
        </is>
      </c>
      <c r="J43" s="8" t="inlineStr">
        <is>
          <t>One-to-one</t>
        </is>
      </c>
      <c r="K43" s="8" t="inlineStr">
        <is>
          <t>N/A — not a one-to-many numeric field</t>
        </is>
      </c>
      <c r="L43" s="8" t="inlineStr">
        <is>
          <t>User Validation</t>
        </is>
      </c>
      <c r="M43" s="8" t="inlineStr">
        <is>
          <t>CIL Architecture Team</t>
        </is>
      </c>
      <c r="N43" s="8" t="inlineStr">
        <is>
          <t>2026-06-28</t>
        </is>
      </c>
      <c r="O43" s="8" t="inlineStr">
        <is>
          <t>CorpStage CIL Registry v1.0</t>
        </is>
      </c>
      <c r="P43" s="8" t="inlineStr">
        <is>
          <t>Group only (single enterprise-wide fact, does not repeat per node)</t>
        </is>
      </c>
      <c r="Q43" s="8" t="inlineStr">
        <is>
          <t>Global</t>
        </is>
      </c>
      <c r="R43" s="8" t="inlineStr">
        <is>
          <t>Tier 1 (Standard) — available to all frameworks and all customers</t>
        </is>
      </c>
      <c r="S43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44" ht="15" customHeight="1" s="6">
      <c r="A44" s="8" t="inlineStr">
        <is>
          <t>CDE-L043</t>
        </is>
      </c>
      <c r="B44" s="8" t="inlineStr">
        <is>
          <t>Outside Counsel Firm Inventory (Firm Name/Matter Type)</t>
        </is>
      </c>
      <c r="C44" s="8" t="inlineStr">
        <is>
          <t>Text</t>
        </is>
      </c>
      <c r="D44" s="8" t="inlineStr">
        <is>
          <t>Required</t>
        </is>
      </c>
      <c r="E44" s="8" t="inlineStr">
        <is>
          <t>Multi</t>
        </is>
      </c>
      <c r="F44" s="8" t="inlineStr">
        <is>
          <t>P1</t>
        </is>
      </c>
      <c r="G44" s="8" t="inlineStr">
        <is>
          <t>Non-empty text</t>
        </is>
      </c>
      <c r="H44" s="8" t="inlineStr">
        <is>
          <t>TYPE:TEXT</t>
        </is>
      </c>
      <c r="I44" s="8" t="inlineStr">
        <is>
          <t>Effective-dated</t>
        </is>
      </c>
      <c r="J44" s="8" t="inlineStr">
        <is>
          <t>One-to-many</t>
        </is>
      </c>
      <c r="K44" s="8" t="inlineStr">
        <is>
          <t>N/A — not a one-to-many numeric field</t>
        </is>
      </c>
      <c r="L44" s="8" t="inlineStr">
        <is>
          <t>Finance / ERP System (SAP S/4HANA, Oracle Fusion, NetSuite)</t>
        </is>
      </c>
      <c r="M44" s="8" t="inlineStr">
        <is>
          <t>CIL Architecture Team</t>
        </is>
      </c>
      <c r="N44" s="8" t="inlineStr">
        <is>
          <t>2026-06-28</t>
        </is>
      </c>
      <c r="O44" s="8" t="inlineStr">
        <is>
          <t>CorpStage CIL Registry v1.0</t>
        </is>
      </c>
      <c r="P44" s="8" t="inlineStr">
        <is>
          <t>Company, Group (collected per legal entity, not below Company level)</t>
        </is>
      </c>
      <c r="Q44" s="8" t="inlineStr">
        <is>
          <t>Global</t>
        </is>
      </c>
      <c r="R44" s="8" t="inlineStr">
        <is>
          <t>Tier 1 (Standard) — available to all frameworks and all customers</t>
        </is>
      </c>
      <c r="S44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45" ht="15" customHeight="1" s="6">
      <c r="A45" s="8" t="inlineStr">
        <is>
          <t>CDE-L044</t>
        </is>
      </c>
      <c r="B45" s="8" t="inlineStr">
        <is>
          <t>Primary/Panel Counsel Firm Designated</t>
        </is>
      </c>
      <c r="C45" s="8" t="inlineStr">
        <is>
          <t>Boolean</t>
        </is>
      </c>
      <c r="D45" s="8" t="inlineStr">
        <is>
          <t>Recommended</t>
        </is>
      </c>
      <c r="E45" s="8" t="inlineStr">
        <is>
          <t>Optional</t>
        </is>
      </c>
      <c r="F45" s="8" t="inlineStr">
        <is>
          <t>P2</t>
        </is>
      </c>
      <c r="G45" s="8" t="inlineStr">
        <is>
          <t>True/False</t>
        </is>
      </c>
      <c r="H45" s="8" t="inlineStr">
        <is>
          <t>TYPE:BOOLEAN|ALLOWED:TRUE,FALSE</t>
        </is>
      </c>
      <c r="I45" s="8" t="inlineStr">
        <is>
          <t>Effective-dated</t>
        </is>
      </c>
      <c r="J45" s="8" t="inlineStr">
        <is>
          <t>One-to-one</t>
        </is>
      </c>
      <c r="K45" s="8" t="inlineStr">
        <is>
          <t>N/A — not a one-to-many numeric field</t>
        </is>
      </c>
      <c r="L45" s="8" t="inlineStr">
        <is>
          <t>User Validation</t>
        </is>
      </c>
      <c r="M45" s="8" t="inlineStr">
        <is>
          <t>CIL Architecture Team</t>
        </is>
      </c>
      <c r="N45" s="8" t="inlineStr">
        <is>
          <t>2026-06-28</t>
        </is>
      </c>
      <c r="O45" s="8" t="inlineStr">
        <is>
          <t>CorpStage CIL Registry v1.0</t>
        </is>
      </c>
      <c r="P45" s="8" t="inlineStr">
        <is>
          <t>Group only (single enterprise-wide fact, does not repeat per node)</t>
        </is>
      </c>
      <c r="Q45" s="8" t="inlineStr">
        <is>
          <t>Global</t>
        </is>
      </c>
      <c r="R45" s="8" t="inlineStr">
        <is>
          <t>Tier 1 (Standard) — available to all frameworks and all customers</t>
        </is>
      </c>
      <c r="S45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46" ht="15" customHeight="1" s="6">
      <c r="A46" s="8" t="inlineStr">
        <is>
          <t>CDE-L045</t>
        </is>
      </c>
      <c r="B46" s="8" t="inlineStr">
        <is>
          <t>Total Legal Spend (Current Period)</t>
        </is>
      </c>
      <c r="C46" s="8" t="inlineStr">
        <is>
          <t>Numeric</t>
        </is>
      </c>
      <c r="D46" s="8" t="inlineStr">
        <is>
          <t>Required</t>
        </is>
      </c>
      <c r="E46" s="8" t="inlineStr">
        <is>
          <t>Universal</t>
        </is>
      </c>
      <c r="F46" s="8" t="inlineStr">
        <is>
          <t>P1</t>
        </is>
      </c>
      <c r="G46" s="8" t="inlineStr">
        <is>
          <t>&gt;=0, numeric</t>
        </is>
      </c>
      <c r="H46" s="8" t="inlineStr">
        <is>
          <t>TYPE:NUMERIC|MIN:0</t>
        </is>
      </c>
      <c r="I46" s="8" t="inlineStr">
        <is>
          <t>Effective-dated</t>
        </is>
      </c>
      <c r="J46" s="8" t="inlineStr">
        <is>
          <t>One-to-one</t>
        </is>
      </c>
      <c r="K46" s="8" t="inlineStr">
        <is>
          <t>N/A — not a one-to-many numeric field</t>
        </is>
      </c>
      <c r="L46" s="8" t="inlineStr">
        <is>
          <t>Finance / ERP System (SAP S/4HANA, Oracle Fusion, NetSuite)</t>
        </is>
      </c>
      <c r="M46" s="8" t="inlineStr">
        <is>
          <t>CIL Architecture Team</t>
        </is>
      </c>
      <c r="N46" s="8" t="inlineStr">
        <is>
          <t>2026-06-28</t>
        </is>
      </c>
      <c r="O46" s="8" t="inlineStr">
        <is>
          <t>CorpStage CIL Registry v1.0</t>
        </is>
      </c>
      <c r="P46" s="8" t="inlineStr">
        <is>
          <t>Group only (single enterprise-wide fact, does not repeat per node)</t>
        </is>
      </c>
      <c r="Q46" s="8" t="inlineStr">
        <is>
          <t>Global</t>
        </is>
      </c>
      <c r="R46" s="8" t="inlineStr">
        <is>
          <t>Tier 1 (Standard) — available to all frameworks and all customers</t>
        </is>
      </c>
      <c r="S46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47" ht="15" customHeight="1" s="6">
      <c r="A47" s="8" t="inlineStr">
        <is>
          <t>CDE-L046</t>
        </is>
      </c>
      <c r="B47" s="8" t="inlineStr">
        <is>
          <t>Legal Spend Prior Period (For Trend)</t>
        </is>
      </c>
      <c r="C47" s="8" t="inlineStr">
        <is>
          <t>Numeric</t>
        </is>
      </c>
      <c r="D47" s="8" t="inlineStr">
        <is>
          <t>Recommended</t>
        </is>
      </c>
      <c r="E47" s="8" t="inlineStr">
        <is>
          <t>Optional</t>
        </is>
      </c>
      <c r="F47" s="8" t="inlineStr">
        <is>
          <t>P2</t>
        </is>
      </c>
      <c r="G47" s="8" t="inlineStr">
        <is>
          <t>&gt;=0, numeric</t>
        </is>
      </c>
      <c r="H47" s="8" t="inlineStr">
        <is>
          <t>TYPE:NUMERIC|MIN:0</t>
        </is>
      </c>
      <c r="I47" s="8" t="inlineStr">
        <is>
          <t>Point-in-time</t>
        </is>
      </c>
      <c r="J47" s="8" t="inlineStr">
        <is>
          <t>One-to-one</t>
        </is>
      </c>
      <c r="K47" s="8" t="inlineStr">
        <is>
          <t>N/A — not a one-to-many numeric field</t>
        </is>
      </c>
      <c r="L47" s="8" t="inlineStr">
        <is>
          <t>Finance / ERP System (SAP S/4HANA, Oracle Fusion, NetSuite)</t>
        </is>
      </c>
      <c r="M47" s="8" t="inlineStr">
        <is>
          <t>CIL Architecture Team</t>
        </is>
      </c>
      <c r="N47" s="8" t="inlineStr">
        <is>
          <t>2026-06-28</t>
        </is>
      </c>
      <c r="O47" s="8" t="inlineStr">
        <is>
          <t>CorpStage CIL Registry v1.0</t>
        </is>
      </c>
      <c r="P47" s="8" t="inlineStr">
        <is>
          <t>Group only (single enterprise-wide fact, does not repeat per node)</t>
        </is>
      </c>
      <c r="Q47" s="8" t="inlineStr">
        <is>
          <t>Global</t>
        </is>
      </c>
      <c r="R47" s="8" t="inlineStr">
        <is>
          <t>Tier 1 (Standard) — available to all frameworks and all customers</t>
        </is>
      </c>
      <c r="S47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48" ht="15" customHeight="1" s="6">
      <c r="A48" s="8" t="inlineStr">
        <is>
          <t>CDE-L047</t>
        </is>
      </c>
      <c r="B48" s="8" t="inlineStr">
        <is>
          <t>Legal Spend as % of Revenue</t>
        </is>
      </c>
      <c r="C48" s="8" t="inlineStr">
        <is>
          <t>Numeric</t>
        </is>
      </c>
      <c r="D48" s="8" t="inlineStr">
        <is>
          <t>Supplemental</t>
        </is>
      </c>
      <c r="E48" s="8" t="inlineStr">
        <is>
          <t>Optional</t>
        </is>
      </c>
      <c r="F48" s="8" t="inlineStr">
        <is>
          <t>P3</t>
        </is>
      </c>
      <c r="G48" s="8" t="inlineStr">
        <is>
          <t>0-100, numeric</t>
        </is>
      </c>
      <c r="H48" s="8" t="inlineStr">
        <is>
          <t>TYPE:NUMERIC|MIN:0|MAX:100</t>
        </is>
      </c>
      <c r="I48" s="8" t="inlineStr">
        <is>
          <t>Effective-dated</t>
        </is>
      </c>
      <c r="J48" s="8" t="inlineStr">
        <is>
          <t>One-to-one</t>
        </is>
      </c>
      <c r="K48" s="8" t="inlineStr">
        <is>
          <t>N/A — not a one-to-many numeric field</t>
        </is>
      </c>
      <c r="L48" s="8" t="inlineStr">
        <is>
          <t>Finance / ERP System (SAP S/4HANA, Oracle Fusion, NetSuite)</t>
        </is>
      </c>
      <c r="M48" s="8" t="inlineStr">
        <is>
          <t>CIL Architecture Team</t>
        </is>
      </c>
      <c r="N48" s="8" t="inlineStr">
        <is>
          <t>2026-06-28</t>
        </is>
      </c>
      <c r="O48" s="8" t="inlineStr">
        <is>
          <t>CorpStage CIL Registry v1.0</t>
        </is>
      </c>
      <c r="P48" s="8" t="inlineStr">
        <is>
          <t>Group only (single enterprise-wide fact, does not repeat per node)</t>
        </is>
      </c>
      <c r="Q48" s="8" t="inlineStr">
        <is>
          <t>Global</t>
        </is>
      </c>
      <c r="R48" s="8" t="inlineStr">
        <is>
          <t>Tier 1 (Standard) — available to all frameworks and all customers</t>
        </is>
      </c>
      <c r="S48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49" ht="15" customHeight="1" s="6">
      <c r="A49" s="8" t="inlineStr">
        <is>
          <t>CDE-L048</t>
        </is>
      </c>
      <c r="B49" s="8" t="inlineStr">
        <is>
          <t>Fee Arrangement Structure Used (Hourly/Fixed/Contingency/Hybrid)</t>
        </is>
      </c>
      <c r="C49" s="8" t="inlineStr">
        <is>
          <t>Text</t>
        </is>
      </c>
      <c r="D49" s="8" t="inlineStr">
        <is>
          <t>Recommended</t>
        </is>
      </c>
      <c r="E49" s="8" t="inlineStr">
        <is>
          <t>Optional</t>
        </is>
      </c>
      <c r="F49" s="8" t="inlineStr">
        <is>
          <t>P2</t>
        </is>
      </c>
      <c r="G49" s="8" t="inlineStr">
        <is>
          <t>Non-empty text</t>
        </is>
      </c>
      <c r="H49" s="8" t="inlineStr">
        <is>
          <t>TYPE:TEXT</t>
        </is>
      </c>
      <c r="I49" s="8" t="inlineStr">
        <is>
          <t>Effective-dated</t>
        </is>
      </c>
      <c r="J49" s="8" t="inlineStr">
        <is>
          <t>One-to-many</t>
        </is>
      </c>
      <c r="K49" s="8" t="inlineStr">
        <is>
          <t>N/A — not a one-to-many numeric field</t>
        </is>
      </c>
      <c r="L49" s="8" t="inlineStr">
        <is>
          <t>Finance / ERP System (SAP S/4HANA, Oracle Fusion, NetSuite)</t>
        </is>
      </c>
      <c r="M49" s="8" t="inlineStr">
        <is>
          <t>CIL Architecture Team</t>
        </is>
      </c>
      <c r="N49" s="8" t="inlineStr">
        <is>
          <t>2026-06-28</t>
        </is>
      </c>
      <c r="O49" s="8" t="inlineStr">
        <is>
          <t>CorpStage CIL Registry v1.0</t>
        </is>
      </c>
      <c r="P49" s="8" t="inlineStr">
        <is>
          <t>Company, Group (collected per legal entity, not below Company level)</t>
        </is>
      </c>
      <c r="Q49" s="8" t="inlineStr">
        <is>
          <t>Global</t>
        </is>
      </c>
      <c r="R49" s="8" t="inlineStr">
        <is>
          <t>Tier 1 (Standard) — available to all frameworks and all customers</t>
        </is>
      </c>
      <c r="S49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50" ht="15" customHeight="1" s="6">
      <c r="A50" s="8" t="inlineStr">
        <is>
          <t>CDE-L049</t>
        </is>
      </c>
      <c r="B50" s="8" t="inlineStr">
        <is>
          <t>In-House Legal Function Headcount</t>
        </is>
      </c>
      <c r="C50" s="8" t="inlineStr">
        <is>
          <t>Numeric</t>
        </is>
      </c>
      <c r="D50" s="8" t="inlineStr">
        <is>
          <t>Required</t>
        </is>
      </c>
      <c r="E50" s="8" t="inlineStr">
        <is>
          <t>Optional</t>
        </is>
      </c>
      <c r="F50" s="8" t="inlineStr">
        <is>
          <t>P1</t>
        </is>
      </c>
      <c r="G50" s="8" t="inlineStr">
        <is>
          <t>&gt;=0, integer</t>
        </is>
      </c>
      <c r="H50" s="8" t="inlineStr">
        <is>
          <t>TYPE:INTEGER|MIN:0</t>
        </is>
      </c>
      <c r="I50" s="8" t="inlineStr">
        <is>
          <t>Effective-dated</t>
        </is>
      </c>
      <c r="J50" s="8" t="inlineStr">
        <is>
          <t>One-to-one</t>
        </is>
      </c>
      <c r="K50" s="8" t="inlineStr">
        <is>
          <t>N/A — not a one-to-many numeric field</t>
        </is>
      </c>
      <c r="L50" s="8" t="inlineStr">
        <is>
          <t>Internal System of Record / Finance-Verified Source</t>
        </is>
      </c>
      <c r="M50" s="8" t="inlineStr">
        <is>
          <t>CIL Architecture Team</t>
        </is>
      </c>
      <c r="N50" s="8" t="inlineStr">
        <is>
          <t>2026-06-28</t>
        </is>
      </c>
      <c r="O50" s="8" t="inlineStr">
        <is>
          <t>CorpStage CIL Registry v1.0</t>
        </is>
      </c>
      <c r="P50" s="8" t="inlineStr">
        <is>
          <t>Group only (single enterprise-wide fact, does not repeat per node)</t>
        </is>
      </c>
      <c r="Q50" s="8" t="inlineStr">
        <is>
          <t>Global</t>
        </is>
      </c>
      <c r="R50" s="8" t="inlineStr">
        <is>
          <t>Tier 1 (Standard) — available to all frameworks and all customers</t>
        </is>
      </c>
      <c r="S50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51" ht="15" customHeight="1" s="6">
      <c r="A51" s="8" t="inlineStr">
        <is>
          <t>CDE-L050</t>
        </is>
      </c>
      <c r="B51" s="8" t="inlineStr">
        <is>
          <t>General Counsel Role Exists and Reports to (CEO/Board)</t>
        </is>
      </c>
      <c r="C51" s="8" t="inlineStr">
        <is>
          <t>Text</t>
        </is>
      </c>
      <c r="D51" s="8" t="inlineStr">
        <is>
          <t>Recommended</t>
        </is>
      </c>
      <c r="E51" s="8" t="inlineStr">
        <is>
          <t>Optional</t>
        </is>
      </c>
      <c r="F51" s="8" t="inlineStr">
        <is>
          <t>P2</t>
        </is>
      </c>
      <c r="G51" s="8" t="inlineStr">
        <is>
          <t>Non-empty text</t>
        </is>
      </c>
      <c r="H51" s="8" t="inlineStr">
        <is>
          <t>TYPE:TEXT</t>
        </is>
      </c>
      <c r="I51" s="8" t="inlineStr">
        <is>
          <t>Effective-dated</t>
        </is>
      </c>
      <c r="J51" s="8" t="inlineStr">
        <is>
          <t>One-to-one</t>
        </is>
      </c>
      <c r="K51" s="8" t="inlineStr">
        <is>
          <t>N/A — not a one-to-many numeric field</t>
        </is>
      </c>
      <c r="L51" s="8" t="inlineStr">
        <is>
          <t>Annual Report / 10-K Filing (SEC EDGAR, Company IR Site)</t>
        </is>
      </c>
      <c r="M51" s="8" t="inlineStr">
        <is>
          <t>CIL Architecture Team</t>
        </is>
      </c>
      <c r="N51" s="8" t="inlineStr">
        <is>
          <t>2026-06-28</t>
        </is>
      </c>
      <c r="O51" s="8" t="inlineStr">
        <is>
          <t>CorpStage CIL Registry v1.0</t>
        </is>
      </c>
      <c r="P51" s="8" t="inlineStr">
        <is>
          <t>Group only (single enterprise-wide fact, does not repeat per node)</t>
        </is>
      </c>
      <c r="Q51" s="8" t="inlineStr">
        <is>
          <t>Global</t>
        </is>
      </c>
      <c r="R51" s="8" t="inlineStr">
        <is>
          <t>Tier 1 (Standard) — available to all frameworks and all customers</t>
        </is>
      </c>
      <c r="S51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52" ht="15" customHeight="1" s="6">
      <c r="A52" s="8" t="inlineStr">
        <is>
          <t>CDE-L051</t>
        </is>
      </c>
      <c r="B52" s="8" t="inlineStr">
        <is>
          <t>Emerging Legal Risk Identified by Legal Function (Pre-Matter, Count)</t>
        </is>
      </c>
      <c r="C52" s="8" t="inlineStr">
        <is>
          <t>Numeric</t>
        </is>
      </c>
      <c r="D52" s="8" t="inlineStr">
        <is>
          <t>Required</t>
        </is>
      </c>
      <c r="E52" s="8" t="inlineStr">
        <is>
          <t>Optional</t>
        </is>
      </c>
      <c r="F52" s="8" t="inlineStr">
        <is>
          <t>P1</t>
        </is>
      </c>
      <c r="G52" s="8" t="inlineStr">
        <is>
          <t>&gt;=0, integer</t>
        </is>
      </c>
      <c r="H52" s="8" t="inlineStr">
        <is>
          <t>TYPE:INTEGER|MIN:0</t>
        </is>
      </c>
      <c r="I52" s="8" t="inlineStr">
        <is>
          <t>Effective-dated</t>
        </is>
      </c>
      <c r="J52" s="8" t="inlineStr">
        <is>
          <t>One-to-one</t>
        </is>
      </c>
      <c r="K52" s="8" t="inlineStr">
        <is>
          <t>N/A — not a one-to-many numeric field</t>
        </is>
      </c>
      <c r="L52" s="8" t="inlineStr">
        <is>
          <t>User Validation</t>
        </is>
      </c>
      <c r="M52" s="8" t="inlineStr">
        <is>
          <t>CIL Architecture Team</t>
        </is>
      </c>
      <c r="N52" s="8" t="inlineStr">
        <is>
          <t>2026-06-28</t>
        </is>
      </c>
      <c r="O52" s="8" t="inlineStr">
        <is>
          <t>CorpStage CIL Registry v1.0</t>
        </is>
      </c>
      <c r="P52" s="8" t="inlineStr">
        <is>
          <t>Group only (single enterprise-wide fact, does not repeat per node)</t>
        </is>
      </c>
      <c r="Q52" s="8" t="inlineStr">
        <is>
          <t>Global</t>
        </is>
      </c>
      <c r="R52" s="8" t="inlineStr">
        <is>
          <t>Tier 1 (Standard) — available to all frameworks and all customers</t>
        </is>
      </c>
      <c r="S52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53" ht="15" customHeight="1" s="6">
      <c r="A53" s="8" t="inlineStr">
        <is>
          <t>CDE-L052</t>
        </is>
      </c>
      <c r="B53" s="8" t="inlineStr">
        <is>
          <t>Emerging Legal Risk Category Description</t>
        </is>
      </c>
      <c r="C53" s="8" t="inlineStr">
        <is>
          <t>Text</t>
        </is>
      </c>
      <c r="D53" s="8" t="inlineStr">
        <is>
          <t>Recommended</t>
        </is>
      </c>
      <c r="E53" s="8" t="inlineStr">
        <is>
          <t>Optional</t>
        </is>
      </c>
      <c r="F53" s="8" t="inlineStr">
        <is>
          <t>P2</t>
        </is>
      </c>
      <c r="G53" s="8" t="inlineStr">
        <is>
          <t>Non-empty text</t>
        </is>
      </c>
      <c r="H53" s="8" t="inlineStr">
        <is>
          <t>TYPE:TEXT</t>
        </is>
      </c>
      <c r="I53" s="8" t="inlineStr">
        <is>
          <t>Point-in-time</t>
        </is>
      </c>
      <c r="J53" s="8" t="inlineStr">
        <is>
          <t>One-to-many</t>
        </is>
      </c>
      <c r="K53" s="8" t="inlineStr">
        <is>
          <t>N/A — not a one-to-many numeric field</t>
        </is>
      </c>
      <c r="L53" s="8" t="inlineStr">
        <is>
          <t>User Validation</t>
        </is>
      </c>
      <c r="M53" s="8" t="inlineStr">
        <is>
          <t>CIL Architecture Team</t>
        </is>
      </c>
      <c r="N53" s="8" t="inlineStr">
        <is>
          <t>2026-06-28</t>
        </is>
      </c>
      <c r="O53" s="8" t="inlineStr">
        <is>
          <t>CorpStage CIL Registry v1.0</t>
        </is>
      </c>
      <c r="P53" s="8" t="inlineStr">
        <is>
          <t>Company, Group (collected per legal entity, not below Company level)</t>
        </is>
      </c>
      <c r="Q53" s="8" t="inlineStr">
        <is>
          <t>Global</t>
        </is>
      </c>
      <c r="R53" s="8" t="inlineStr">
        <is>
          <t>Tier 1 (Standard) — available to all frameworks and all customers</t>
        </is>
      </c>
      <c r="S53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54" ht="15" customHeight="1" s="6">
      <c r="A54" s="8" t="inlineStr">
        <is>
          <t>CDE-L053</t>
        </is>
      </c>
      <c r="B54" s="8" t="inlineStr">
        <is>
          <t>Legal Risk Escalation Process to Senior Management/Board Documented</t>
        </is>
      </c>
      <c r="C54" s="8" t="inlineStr">
        <is>
          <t>Boolean</t>
        </is>
      </c>
      <c r="D54" s="8" t="inlineStr">
        <is>
          <t>Required</t>
        </is>
      </c>
      <c r="E54" s="8" t="inlineStr">
        <is>
          <t>Multi</t>
        </is>
      </c>
      <c r="F54" s="8" t="inlineStr">
        <is>
          <t>P1</t>
        </is>
      </c>
      <c r="G54" s="8" t="inlineStr">
        <is>
          <t>True/False</t>
        </is>
      </c>
      <c r="H54" s="8" t="inlineStr">
        <is>
          <t>TYPE:BOOLEAN|ALLOWED:TRUE,FALSE</t>
        </is>
      </c>
      <c r="I54" s="8" t="inlineStr">
        <is>
          <t>Effective-dated</t>
        </is>
      </c>
      <c r="J54" s="8" t="inlineStr">
        <is>
          <t>One-to-one</t>
        </is>
      </c>
      <c r="K54" s="8" t="inlineStr">
        <is>
          <t>N/A — not a one-to-many numeric field</t>
        </is>
      </c>
      <c r="L54" s="8" t="inlineStr">
        <is>
          <t>User Validation</t>
        </is>
      </c>
      <c r="M54" s="8" t="inlineStr">
        <is>
          <t>CIL Architecture Team</t>
        </is>
      </c>
      <c r="N54" s="8" t="inlineStr">
        <is>
          <t>2026-06-28</t>
        </is>
      </c>
      <c r="O54" s="8" t="inlineStr">
        <is>
          <t>CorpStage CIL Registry v1.0</t>
        </is>
      </c>
      <c r="P54" s="8" t="inlineStr">
        <is>
          <t>Group only (single enterprise-wide fact, does not repeat per node)</t>
        </is>
      </c>
      <c r="Q54" s="8" t="inlineStr">
        <is>
          <t>Global</t>
        </is>
      </c>
      <c r="R54" s="8" t="inlineStr">
        <is>
          <t>Tier 1 (Standard) — available to all frameworks and all customers</t>
        </is>
      </c>
      <c r="S54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55" ht="15" customHeight="1" s="6">
      <c r="A55" s="8" t="inlineStr">
        <is>
          <t>CDE-L054</t>
        </is>
      </c>
      <c r="B55" s="8" t="inlineStr">
        <is>
          <t>Legal Risk Escalation Threshold Defined</t>
        </is>
      </c>
      <c r="C55" s="8" t="inlineStr">
        <is>
          <t>Boolean</t>
        </is>
      </c>
      <c r="D55" s="8" t="inlineStr">
        <is>
          <t>Recommended</t>
        </is>
      </c>
      <c r="E55" s="8" t="inlineStr">
        <is>
          <t>Optional</t>
        </is>
      </c>
      <c r="F55" s="8" t="inlineStr">
        <is>
          <t>P2</t>
        </is>
      </c>
      <c r="G55" s="8" t="inlineStr">
        <is>
          <t>True/False</t>
        </is>
      </c>
      <c r="H55" s="8" t="inlineStr">
        <is>
          <t>TYPE:BOOLEAN|ALLOWED:TRUE,FALSE</t>
        </is>
      </c>
      <c r="I55" s="8" t="inlineStr">
        <is>
          <t>Effective-dated</t>
        </is>
      </c>
      <c r="J55" s="8" t="inlineStr">
        <is>
          <t>One-to-one</t>
        </is>
      </c>
      <c r="K55" s="8" t="inlineStr">
        <is>
          <t>N/A — not a one-to-many numeric field</t>
        </is>
      </c>
      <c r="L55" s="8" t="inlineStr">
        <is>
          <t>User Validation</t>
        </is>
      </c>
      <c r="M55" s="8" t="inlineStr">
        <is>
          <t>CIL Architecture Team</t>
        </is>
      </c>
      <c r="N55" s="8" t="inlineStr">
        <is>
          <t>2026-06-28</t>
        </is>
      </c>
      <c r="O55" s="8" t="inlineStr">
        <is>
          <t>CorpStage CIL Registry v1.0</t>
        </is>
      </c>
      <c r="P55" s="8" t="inlineStr">
        <is>
          <t>Group only (single enterprise-wide fact, does not repeat per node)</t>
        </is>
      </c>
      <c r="Q55" s="8" t="inlineStr">
        <is>
          <t>Global</t>
        </is>
      </c>
      <c r="R55" s="8" t="inlineStr">
        <is>
          <t>Tier 1 (Standard) — available to all frameworks and all customers</t>
        </is>
      </c>
      <c r="S55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56" ht="15" customHeight="1" s="6">
      <c r="A56" s="8" t="inlineStr">
        <is>
          <t>CDE-L055</t>
        </is>
      </c>
      <c r="B56" s="8" t="inlineStr">
        <is>
          <t>External Legal Opinion Sought on Material Matter (Current Period, Count)</t>
        </is>
      </c>
      <c r="C56" s="8" t="inlineStr">
        <is>
          <t>Numeric</t>
        </is>
      </c>
      <c r="D56" s="8" t="inlineStr">
        <is>
          <t>Recommended</t>
        </is>
      </c>
      <c r="E56" s="8" t="inlineStr">
        <is>
          <t>Optional</t>
        </is>
      </c>
      <c r="F56" s="8" t="inlineStr">
        <is>
          <t>P2</t>
        </is>
      </c>
      <c r="G56" s="8" t="inlineStr">
        <is>
          <t>&gt;=0, integer</t>
        </is>
      </c>
      <c r="H56" s="8" t="inlineStr">
        <is>
          <t>TYPE:INTEGER|MIN:0</t>
        </is>
      </c>
      <c r="I56" s="8" t="inlineStr">
        <is>
          <t>Effective-dated</t>
        </is>
      </c>
      <c r="J56" s="8" t="inlineStr">
        <is>
          <t>One-to-one</t>
        </is>
      </c>
      <c r="K56" s="8" t="inlineStr">
        <is>
          <t>N/A — not a one-to-many numeric field</t>
        </is>
      </c>
      <c r="L56" s="8" t="inlineStr">
        <is>
          <t>User Validation</t>
        </is>
      </c>
      <c r="M56" s="8" t="inlineStr">
        <is>
          <t>CIL Architecture Team</t>
        </is>
      </c>
      <c r="N56" s="8" t="inlineStr">
        <is>
          <t>2026-06-28</t>
        </is>
      </c>
      <c r="O56" s="8" t="inlineStr">
        <is>
          <t>CorpStage CIL Registry v1.0</t>
        </is>
      </c>
      <c r="P56" s="8" t="inlineStr">
        <is>
          <t>Group only (single enterprise-wide fact, does not repeat per node)</t>
        </is>
      </c>
      <c r="Q56" s="8" t="inlineStr">
        <is>
          <t>Global</t>
        </is>
      </c>
      <c r="R56" s="8" t="inlineStr">
        <is>
          <t>Tier 1 (Standard) — available to all frameworks and all customers</t>
        </is>
      </c>
      <c r="S56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57" ht="15" customHeight="1" s="6">
      <c r="A57" s="8" t="inlineStr">
        <is>
          <t>CDE-L056</t>
        </is>
      </c>
      <c r="B57" s="8" t="inlineStr">
        <is>
          <t>Legal Opinion Outcome Documented (Favorable/Unfavorable/Mixed)</t>
        </is>
      </c>
      <c r="C57" s="8" t="inlineStr">
        <is>
          <t>Text</t>
        </is>
      </c>
      <c r="D57" s="8" t="inlineStr">
        <is>
          <t>Supplemental</t>
        </is>
      </c>
      <c r="E57" s="8" t="inlineStr">
        <is>
          <t>Optional</t>
        </is>
      </c>
      <c r="F57" s="8" t="inlineStr">
        <is>
          <t>P3</t>
        </is>
      </c>
      <c r="G57" s="8" t="inlineStr">
        <is>
          <t>Favorable/Unfavorable/Mixed</t>
        </is>
      </c>
      <c r="H57" s="8" t="inlineStr">
        <is>
          <t>TYPE:ENUM|ALLOWED:FAVORABLE,UNFAVORABLE,MIXED</t>
        </is>
      </c>
      <c r="I57" s="8" t="inlineStr">
        <is>
          <t>Point-in-time</t>
        </is>
      </c>
      <c r="J57" s="8" t="inlineStr">
        <is>
          <t>One-to-many</t>
        </is>
      </c>
      <c r="K57" s="8" t="inlineStr">
        <is>
          <t>N/A — not a one-to-many numeric field</t>
        </is>
      </c>
      <c r="L57" s="8" t="inlineStr">
        <is>
          <t>User Validation</t>
        </is>
      </c>
      <c r="M57" s="8" t="inlineStr">
        <is>
          <t>CIL Architecture Team</t>
        </is>
      </c>
      <c r="N57" s="8" t="inlineStr">
        <is>
          <t>2026-06-28</t>
        </is>
      </c>
      <c r="O57" s="8" t="inlineStr">
        <is>
          <t>CorpStage CIL Registry v1.0</t>
        </is>
      </c>
      <c r="P57" s="8" t="inlineStr">
        <is>
          <t>Company, Group (collected per legal entity, not below Company level)</t>
        </is>
      </c>
      <c r="Q57" s="8" t="inlineStr">
        <is>
          <t>Global</t>
        </is>
      </c>
      <c r="R57" s="8" t="inlineStr">
        <is>
          <t>Tier 1 (Standard) — available to all frameworks and all customers</t>
        </is>
      </c>
      <c r="S57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58" ht="15" customHeight="1" s="6">
      <c r="A58" s="8" t="inlineStr">
        <is>
          <t>CDE-L057</t>
        </is>
      </c>
      <c r="B58" s="8" t="inlineStr">
        <is>
          <t>Litigation or Regulatory Enforcement Arising from Privacy Matter (Current Period, Count)</t>
        </is>
      </c>
      <c r="C58" s="8" t="inlineStr">
        <is>
          <t>Numeric</t>
        </is>
      </c>
      <c r="D58" s="8" t="inlineStr">
        <is>
          <t>Required</t>
        </is>
      </c>
      <c r="E58" s="8" t="inlineStr">
        <is>
          <t>Multi</t>
        </is>
      </c>
      <c r="F58" s="8" t="inlineStr">
        <is>
          <t>P1</t>
        </is>
      </c>
      <c r="G58" s="8" t="inlineStr">
        <is>
          <t>&gt;=0, integer</t>
        </is>
      </c>
      <c r="H58" s="8" t="inlineStr">
        <is>
          <t>TYPE:INTEGER|MIN:0</t>
        </is>
      </c>
      <c r="I58" s="8" t="inlineStr">
        <is>
          <t>Effective-dated</t>
        </is>
      </c>
      <c r="J58" s="8" t="inlineStr">
        <is>
          <t>One-to-one</t>
        </is>
      </c>
      <c r="K58" s="8" t="inlineStr">
        <is>
          <t>N/A — not a one-to-many numeric field</t>
        </is>
      </c>
      <c r="L58" s="8" t="inlineStr">
        <is>
          <t>Regulatory Filings (SEC EDGAR, Companies House, National Business Registry)</t>
        </is>
      </c>
      <c r="M58" s="8" t="inlineStr">
        <is>
          <t>CIL Architecture Team</t>
        </is>
      </c>
      <c r="N58" s="8" t="inlineStr">
        <is>
          <t>2026-06-28</t>
        </is>
      </c>
      <c r="O58" s="8" t="inlineStr">
        <is>
          <t>CorpStage CIL Registry v1.0</t>
        </is>
      </c>
      <c r="P58" s="8" t="inlineStr">
        <is>
          <t>Group only (single enterprise-wide fact, does not repeat per node)</t>
        </is>
      </c>
      <c r="Q58" s="8" t="inlineStr">
        <is>
          <t>Global</t>
        </is>
      </c>
      <c r="R58" s="8" t="inlineStr">
        <is>
          <t>Tier 1 (Standard) — available to all frameworks and all customers</t>
        </is>
      </c>
      <c r="S58" s="8" t="inlineStr">
        <is>
          <t>Owned by Legal Intelligence per Binding 6(a) — this Intelligence Area was deliberately NARROWED during the build after auditing Domain 6 Compliance &amp; Regulatory Intelligence, which already owns the full data privacy COMPLIANCE-PROGRAM view (CDE-C087 through C097, C136: regulation followed, DSR volume/response time, breach notification, cross-border transfer mechanism). This domain owns only the LEGAL-CONSEQUENCE view that Domain 6 does not cover: litigation/enforcement arising from a privacy matter, and dedicated outside counsel engagement. Domain 6 must be referenced for all compliance-program facts.</t>
        </is>
      </c>
    </row>
    <row r="59" ht="15" customHeight="1" s="6">
      <c r="A59" s="8" t="inlineStr">
        <is>
          <t>CDE-L058</t>
        </is>
      </c>
      <c r="B59" s="8" t="inlineStr">
        <is>
          <t>Privacy-Related Litigation/Enforcement Financial Exposure</t>
        </is>
      </c>
      <c r="C59" s="8" t="inlineStr">
        <is>
          <t>Numeric</t>
        </is>
      </c>
      <c r="D59" s="8" t="inlineStr">
        <is>
          <t>Recommended</t>
        </is>
      </c>
      <c r="E59" s="8" t="inlineStr">
        <is>
          <t>Optional</t>
        </is>
      </c>
      <c r="F59" s="8" t="inlineStr">
        <is>
          <t>P2</t>
        </is>
      </c>
      <c r="G59" s="8" t="inlineStr">
        <is>
          <t>&gt;=0, numeric</t>
        </is>
      </c>
      <c r="H59" s="8" t="inlineStr">
        <is>
          <t>TYPE:NUMERIC|MIN:0</t>
        </is>
      </c>
      <c r="I59" s="8" t="inlineStr">
        <is>
          <t>Point-in-time</t>
        </is>
      </c>
      <c r="J59" s="8" t="inlineStr">
        <is>
          <t>One-to-many</t>
        </is>
      </c>
      <c r="K59" s="8" t="inlineStr">
        <is>
          <t>Independent per matter; SUM gives total privacy-litigation exposure if reporting aggregate</t>
        </is>
      </c>
      <c r="L59" s="8" t="inlineStr">
        <is>
          <t>Regulatory Filings (SEC EDGAR, Companies House, National Business Registry)</t>
        </is>
      </c>
      <c r="M59" s="8" t="inlineStr">
        <is>
          <t>CIL Architecture Team</t>
        </is>
      </c>
      <c r="N59" s="8" t="inlineStr">
        <is>
          <t>2026-06-28</t>
        </is>
      </c>
      <c r="O59" s="8" t="inlineStr">
        <is>
          <t>CorpStage CIL Registry v1.0</t>
        </is>
      </c>
      <c r="P59" s="8" t="inlineStr">
        <is>
          <t>Company, Group (collected per legal entity, not below Company level)</t>
        </is>
      </c>
      <c r="Q59" s="8" t="inlineStr">
        <is>
          <t>Global</t>
        </is>
      </c>
      <c r="R59" s="8" t="inlineStr">
        <is>
          <t>Tier 1 (Standard) — available to all frameworks and all customers</t>
        </is>
      </c>
      <c r="S59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60" ht="15" customHeight="1" s="6">
      <c r="A60" s="8" t="inlineStr">
        <is>
          <t>CDE-L059</t>
        </is>
      </c>
      <c r="B60" s="8" t="inlineStr">
        <is>
          <t>Privacy Litigation Matter Status</t>
        </is>
      </c>
      <c r="C60" s="8" t="inlineStr">
        <is>
          <t>Text</t>
        </is>
      </c>
      <c r="D60" s="8" t="inlineStr">
        <is>
          <t>Supplemental</t>
        </is>
      </c>
      <c r="E60" s="8" t="inlineStr">
        <is>
          <t>Optional</t>
        </is>
      </c>
      <c r="F60" s="8" t="inlineStr">
        <is>
          <t>P3</t>
        </is>
      </c>
      <c r="G60" s="8" t="inlineStr">
        <is>
          <t>Non-empty text</t>
        </is>
      </c>
      <c r="H60" s="8" t="inlineStr">
        <is>
          <t>TYPE:TEXT</t>
        </is>
      </c>
      <c r="I60" s="8" t="inlineStr">
        <is>
          <t>Point-in-time</t>
        </is>
      </c>
      <c r="J60" s="8" t="inlineStr">
        <is>
          <t>One-to-many</t>
        </is>
      </c>
      <c r="K60" s="8" t="inlineStr">
        <is>
          <t>N/A — not a one-to-many numeric field</t>
        </is>
      </c>
      <c r="L60" s="8" t="inlineStr">
        <is>
          <t>User Validation</t>
        </is>
      </c>
      <c r="M60" s="8" t="inlineStr">
        <is>
          <t>CIL Architecture Team</t>
        </is>
      </c>
      <c r="N60" s="8" t="inlineStr">
        <is>
          <t>2026-06-28</t>
        </is>
      </c>
      <c r="O60" s="8" t="inlineStr">
        <is>
          <t>CorpStage CIL Registry v1.0</t>
        </is>
      </c>
      <c r="P60" s="8" t="inlineStr">
        <is>
          <t>Company, Group (collected per legal entity, not below Company level)</t>
        </is>
      </c>
      <c r="Q60" s="8" t="inlineStr">
        <is>
          <t>Global</t>
        </is>
      </c>
      <c r="R60" s="8" t="inlineStr">
        <is>
          <t>Tier 1 (Standard) — available to all frameworks and all customers</t>
        </is>
      </c>
      <c r="S60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61" ht="15" customHeight="1" s="6">
      <c r="A61" s="8" t="inlineStr">
        <is>
          <t>CDE-L060</t>
        </is>
      </c>
      <c r="B61" s="8" t="inlineStr">
        <is>
          <t>Outside Counsel Dedicated to Privacy/Data Protection Matters Engaged</t>
        </is>
      </c>
      <c r="C61" s="8" t="inlineStr">
        <is>
          <t>Boolean</t>
        </is>
      </c>
      <c r="D61" s="8" t="inlineStr">
        <is>
          <t>Recommended</t>
        </is>
      </c>
      <c r="E61" s="8" t="inlineStr">
        <is>
          <t>Optional</t>
        </is>
      </c>
      <c r="F61" s="8" t="inlineStr">
        <is>
          <t>P2</t>
        </is>
      </c>
      <c r="G61" s="8" t="inlineStr">
        <is>
          <t>True/False/Unknown (tri-state)</t>
        </is>
      </c>
      <c r="H61" s="8" t="inlineStr">
        <is>
          <t>TYPE:BOOLEAN|ALLOWED:TRUE,FALSE,UNKNOWN</t>
        </is>
      </c>
      <c r="I61" s="8" t="inlineStr">
        <is>
          <t>Effective-dated</t>
        </is>
      </c>
      <c r="J61" s="8" t="inlineStr">
        <is>
          <t>One-to-one</t>
        </is>
      </c>
      <c r="K61" s="8" t="inlineStr">
        <is>
          <t>N/A — not a one-to-many numeric field</t>
        </is>
      </c>
      <c r="L61" s="8" t="inlineStr">
        <is>
          <t>User Validation</t>
        </is>
      </c>
      <c r="M61" s="8" t="inlineStr">
        <is>
          <t>CIL Architecture Team</t>
        </is>
      </c>
      <c r="N61" s="8" t="inlineStr">
        <is>
          <t>2026-06-28</t>
        </is>
      </c>
      <c r="O61" s="8" t="inlineStr">
        <is>
          <t>CorpStage CIL Registry v1.0</t>
        </is>
      </c>
      <c r="P61" s="8" t="inlineStr">
        <is>
          <t>Group only (single enterprise-wide fact, does not repeat per node)</t>
        </is>
      </c>
      <c r="Q61" s="8" t="inlineStr">
        <is>
          <t>Global</t>
        </is>
      </c>
      <c r="R61" s="8" t="inlineStr">
        <is>
          <t>Tier 1 (Standard) — available to all frameworks and all customers</t>
        </is>
      </c>
      <c r="S61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62" ht="15" customHeight="1" s="6">
      <c r="A62" s="8" t="inlineStr">
        <is>
          <t>CDE-L061</t>
        </is>
      </c>
      <c r="B62" s="8" t="inlineStr">
        <is>
          <t>Privacy-Specific Outside Counsel Spend (Current Period)</t>
        </is>
      </c>
      <c r="C62" s="8" t="inlineStr">
        <is>
          <t>Numeric</t>
        </is>
      </c>
      <c r="D62" s="8" t="inlineStr">
        <is>
          <t>Supplemental</t>
        </is>
      </c>
      <c r="E62" s="8" t="inlineStr">
        <is>
          <t>Optional</t>
        </is>
      </c>
      <c r="F62" s="8" t="inlineStr">
        <is>
          <t>P3</t>
        </is>
      </c>
      <c r="G62" s="8" t="inlineStr">
        <is>
          <t>&gt;=0, numeric</t>
        </is>
      </c>
      <c r="H62" s="8" t="inlineStr">
        <is>
          <t>TYPE:NUMERIC|MIN:0</t>
        </is>
      </c>
      <c r="I62" s="8" t="inlineStr">
        <is>
          <t>Effective-dated</t>
        </is>
      </c>
      <c r="J62" s="8" t="inlineStr">
        <is>
          <t>One-to-one</t>
        </is>
      </c>
      <c r="K62" s="8" t="inlineStr">
        <is>
          <t>N/A — not a one-to-many numeric field</t>
        </is>
      </c>
      <c r="L62" s="8" t="inlineStr">
        <is>
          <t>Finance / ERP System (SAP S/4HANA, Oracle Fusion, NetSuite)</t>
        </is>
      </c>
      <c r="M62" s="8" t="inlineStr">
        <is>
          <t>CIL Architecture Team</t>
        </is>
      </c>
      <c r="N62" s="8" t="inlineStr">
        <is>
          <t>2026-06-28</t>
        </is>
      </c>
      <c r="O62" s="8" t="inlineStr">
        <is>
          <t>CorpStage CIL Registry v1.0</t>
        </is>
      </c>
      <c r="P62" s="8" t="inlineStr">
        <is>
          <t>Group only (single enterprise-wide fact, does not repeat per node)</t>
        </is>
      </c>
      <c r="Q62" s="8" t="inlineStr">
        <is>
          <t>Global</t>
        </is>
      </c>
      <c r="R62" s="8" t="inlineStr">
        <is>
          <t>Tier 1 (Standard) — available to all frameworks and all customers</t>
        </is>
      </c>
      <c r="S62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63" ht="15" customHeight="1" s="6">
      <c r="A63" s="8" t="inlineStr">
        <is>
          <t>CDE-L062</t>
        </is>
      </c>
      <c r="B63" s="8" t="inlineStr">
        <is>
          <t>Privacy Outside Counsel Firm Name</t>
        </is>
      </c>
      <c r="C63" s="8" t="inlineStr">
        <is>
          <t>Text</t>
        </is>
      </c>
      <c r="D63" s="8" t="inlineStr">
        <is>
          <t>Supplemental</t>
        </is>
      </c>
      <c r="E63" s="8" t="inlineStr">
        <is>
          <t>Optional</t>
        </is>
      </c>
      <c r="F63" s="8" t="inlineStr">
        <is>
          <t>P3</t>
        </is>
      </c>
      <c r="G63" s="8" t="inlineStr">
        <is>
          <t>Non-empty text</t>
        </is>
      </c>
      <c r="H63" s="8" t="inlineStr">
        <is>
          <t>TYPE:TEXT</t>
        </is>
      </c>
      <c r="I63" s="8" t="inlineStr">
        <is>
          <t>Effective-dated</t>
        </is>
      </c>
      <c r="J63" s="8" t="inlineStr">
        <is>
          <t>One-to-one</t>
        </is>
      </c>
      <c r="K63" s="8" t="inlineStr">
        <is>
          <t>N/A — not a one-to-many numeric field</t>
        </is>
      </c>
      <c r="L63" s="8" t="inlineStr">
        <is>
          <t>User Validation</t>
        </is>
      </c>
      <c r="M63" s="8" t="inlineStr">
        <is>
          <t>CIL Architecture Team</t>
        </is>
      </c>
      <c r="N63" s="8" t="inlineStr">
        <is>
          <t>2026-06-28</t>
        </is>
      </c>
      <c r="O63" s="8" t="inlineStr">
        <is>
          <t>CorpStage CIL Registry v1.0</t>
        </is>
      </c>
      <c r="P63" s="8" t="inlineStr">
        <is>
          <t>Group only (single enterprise-wide fact, does not repeat per node)</t>
        </is>
      </c>
      <c r="Q63" s="8" t="inlineStr">
        <is>
          <t>Global</t>
        </is>
      </c>
      <c r="R63" s="8" t="inlineStr">
        <is>
          <t>Tier 1 (Standard) — available to all frameworks and all customers</t>
        </is>
      </c>
      <c r="S63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64" ht="15" customHeight="1" s="6">
      <c r="A64" s="8" t="inlineStr">
        <is>
          <t>CDE-L063</t>
        </is>
      </c>
      <c r="B64" s="8" t="inlineStr">
        <is>
          <t>Employment Litigation or Tribunal Claim (Current Period, Count)</t>
        </is>
      </c>
      <c r="C64" s="8" t="inlineStr">
        <is>
          <t>Numeric</t>
        </is>
      </c>
      <c r="D64" s="8" t="inlineStr">
        <is>
          <t>Required</t>
        </is>
      </c>
      <c r="E64" s="8" t="inlineStr">
        <is>
          <t>Universal</t>
        </is>
      </c>
      <c r="F64" s="8" t="inlineStr">
        <is>
          <t>P1</t>
        </is>
      </c>
      <c r="G64" s="8" t="inlineStr">
        <is>
          <t>&gt;=0, integer</t>
        </is>
      </c>
      <c r="H64" s="8" t="inlineStr">
        <is>
          <t>TYPE:INTEGER|MIN:0</t>
        </is>
      </c>
      <c r="I64" s="8" t="inlineStr">
        <is>
          <t>Effective-dated</t>
        </is>
      </c>
      <c r="J64" s="8" t="inlineStr">
        <is>
          <t>One-to-one</t>
        </is>
      </c>
      <c r="K64" s="8" t="inlineStr">
        <is>
          <t>N/A — not a one-to-many numeric field</t>
        </is>
      </c>
      <c r="L64" s="8" t="inlineStr">
        <is>
          <t>Regulatory Filings (SEC EDGAR, Companies House, National Business Registry)</t>
        </is>
      </c>
      <c r="M64" s="8" t="inlineStr">
        <is>
          <t>CIL Architecture Team</t>
        </is>
      </c>
      <c r="N64" s="8" t="inlineStr">
        <is>
          <t>2026-06-28</t>
        </is>
      </c>
      <c r="O64" s="8" t="inlineStr">
        <is>
          <t>CorpStage CIL Registry v1.0</t>
        </is>
      </c>
      <c r="P64" s="8" t="inlineStr">
        <is>
          <t>Group only (single enterprise-wide fact, does not repeat per node)</t>
        </is>
      </c>
      <c r="Q64" s="8" t="inlineStr">
        <is>
          <t>Global</t>
        </is>
      </c>
      <c r="R64" s="8" t="inlineStr">
        <is>
          <t>Tier 1 (Standard) — available to all frameworks and all customers</t>
        </is>
      </c>
      <c r="S64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65" ht="15" customHeight="1" s="6">
      <c r="A65" s="8" t="inlineStr">
        <is>
          <t>CDE-L064</t>
        </is>
      </c>
      <c r="B65" s="8" t="inlineStr">
        <is>
          <t>Employment Claim Type (Discrimination/Wrongful Termination/Wage-Hour/Other)</t>
        </is>
      </c>
      <c r="C65" s="8" t="inlineStr">
        <is>
          <t>Text</t>
        </is>
      </c>
      <c r="D65" s="8" t="inlineStr">
        <is>
          <t>Recommended</t>
        </is>
      </c>
      <c r="E65" s="8" t="inlineStr">
        <is>
          <t>Optional</t>
        </is>
      </c>
      <c r="F65" s="8" t="inlineStr">
        <is>
          <t>P2</t>
        </is>
      </c>
      <c r="G65" s="8" t="inlineStr">
        <is>
          <t>Non-empty text</t>
        </is>
      </c>
      <c r="H65" s="8" t="inlineStr">
        <is>
          <t>TYPE:TEXT</t>
        </is>
      </c>
      <c r="I65" s="8" t="inlineStr">
        <is>
          <t>Point-in-time</t>
        </is>
      </c>
      <c r="J65" s="8" t="inlineStr">
        <is>
          <t>One-to-many</t>
        </is>
      </c>
      <c r="K65" s="8" t="inlineStr">
        <is>
          <t>N/A — not a one-to-many numeric field</t>
        </is>
      </c>
      <c r="L65" s="8" t="inlineStr">
        <is>
          <t>User Validation</t>
        </is>
      </c>
      <c r="M65" s="8" t="inlineStr">
        <is>
          <t>CIL Architecture Team</t>
        </is>
      </c>
      <c r="N65" s="8" t="inlineStr">
        <is>
          <t>2026-06-28</t>
        </is>
      </c>
      <c r="O65" s="8" t="inlineStr">
        <is>
          <t>CorpStage CIL Registry v1.0</t>
        </is>
      </c>
      <c r="P65" s="8" t="inlineStr">
        <is>
          <t>Company, Group (collected per legal entity, not below Company level)</t>
        </is>
      </c>
      <c r="Q65" s="8" t="inlineStr">
        <is>
          <t>Global</t>
        </is>
      </c>
      <c r="R65" s="8" t="inlineStr">
        <is>
          <t>Tier 1 (Standard) — available to all frameworks and all customers</t>
        </is>
      </c>
      <c r="S65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66" ht="15" customHeight="1" s="6">
      <c r="A66" s="8" t="inlineStr">
        <is>
          <t>CDE-L065</t>
        </is>
      </c>
      <c r="B66" s="8" t="inlineStr">
        <is>
          <t>Collective Bargaining or Labor Union Legal Dispute Active</t>
        </is>
      </c>
      <c r="C66" s="8" t="inlineStr">
        <is>
          <t>Boolean</t>
        </is>
      </c>
      <c r="D66" s="8" t="inlineStr">
        <is>
          <t>Recommended</t>
        </is>
      </c>
      <c r="E66" s="8" t="inlineStr">
        <is>
          <t>Optional</t>
        </is>
      </c>
      <c r="F66" s="8" t="inlineStr">
        <is>
          <t>P2</t>
        </is>
      </c>
      <c r="G66" s="8" t="inlineStr">
        <is>
          <t>True/False/Unknown (tri-state)</t>
        </is>
      </c>
      <c r="H66" s="8" t="inlineStr">
        <is>
          <t>TYPE:BOOLEAN|ALLOWED:TRUE,FALSE,UNKNOWN</t>
        </is>
      </c>
      <c r="I66" s="8" t="inlineStr">
        <is>
          <t>Effective-dated</t>
        </is>
      </c>
      <c r="J66" s="8" t="inlineStr">
        <is>
          <t>One-to-one</t>
        </is>
      </c>
      <c r="K66" s="8" t="inlineStr">
        <is>
          <t>N/A — not a one-to-many numeric field</t>
        </is>
      </c>
      <c r="L66" s="8" t="inlineStr">
        <is>
          <t>User Validation</t>
        </is>
      </c>
      <c r="M66" s="8" t="inlineStr">
        <is>
          <t>CIL Architecture Team</t>
        </is>
      </c>
      <c r="N66" s="8" t="inlineStr">
        <is>
          <t>2026-06-28</t>
        </is>
      </c>
      <c r="O66" s="8" t="inlineStr">
        <is>
          <t>CorpStage CIL Registry v1.0</t>
        </is>
      </c>
      <c r="P66" s="8" t="inlineStr">
        <is>
          <t>Group only (single enterprise-wide fact, does not repeat per node)</t>
        </is>
      </c>
      <c r="Q66" s="8" t="inlineStr">
        <is>
          <t>Global</t>
        </is>
      </c>
      <c r="R66" s="8" t="inlineStr">
        <is>
          <t>Tier 1 (Standard) — available to all frameworks and all customers</t>
        </is>
      </c>
      <c r="S66" s="8" t="inlineStr">
        <is>
          <t>Distinct from Domain 7 ESG &amp; Sustainability Intelligence's CDE-E061/134 (Collective Bargaining Coverage %/Agreement Renewal Date), which capture the coverage METRIC. This domain owns LEGAL DISPUTES arising in the labor-relations context specifically.</t>
        </is>
      </c>
    </row>
    <row r="67" ht="15" customHeight="1" s="6">
      <c r="A67" s="8" t="inlineStr">
        <is>
          <t>CDE-L066</t>
        </is>
      </c>
      <c r="B67" s="8" t="inlineStr">
        <is>
          <t>Labor Dispute Resolution Status</t>
        </is>
      </c>
      <c r="C67" s="8" t="inlineStr">
        <is>
          <t>Text</t>
        </is>
      </c>
      <c r="D67" s="8" t="inlineStr">
        <is>
          <t>Supplemental</t>
        </is>
      </c>
      <c r="E67" s="8" t="inlineStr">
        <is>
          <t>Optional</t>
        </is>
      </c>
      <c r="F67" s="8" t="inlineStr">
        <is>
          <t>P3</t>
        </is>
      </c>
      <c r="G67" s="8" t="inlineStr">
        <is>
          <t>Non-empty text</t>
        </is>
      </c>
      <c r="H67" s="8" t="inlineStr">
        <is>
          <t>TYPE:TEXT</t>
        </is>
      </c>
      <c r="I67" s="8" t="inlineStr">
        <is>
          <t>Point-in-time</t>
        </is>
      </c>
      <c r="J67" s="8" t="inlineStr">
        <is>
          <t>One-to-many</t>
        </is>
      </c>
      <c r="K67" s="8" t="inlineStr">
        <is>
          <t>N/A — not a one-to-many numeric field</t>
        </is>
      </c>
      <c r="L67" s="8" t="inlineStr">
        <is>
          <t>User Validation</t>
        </is>
      </c>
      <c r="M67" s="8" t="inlineStr">
        <is>
          <t>CIL Architecture Team</t>
        </is>
      </c>
      <c r="N67" s="8" t="inlineStr">
        <is>
          <t>2026-06-28</t>
        </is>
      </c>
      <c r="O67" s="8" t="inlineStr">
        <is>
          <t>CorpStage CIL Registry v1.0</t>
        </is>
      </c>
      <c r="P67" s="8" t="inlineStr">
        <is>
          <t>Company, Group (collected per legal entity, not below Company level)</t>
        </is>
      </c>
      <c r="Q67" s="8" t="inlineStr">
        <is>
          <t>Global</t>
        </is>
      </c>
      <c r="R67" s="8" t="inlineStr">
        <is>
          <t>Tier 1 (Standard) — available to all frameworks and all customers</t>
        </is>
      </c>
      <c r="S67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68" ht="15" customHeight="1" s="6">
      <c r="A68" s="8" t="inlineStr">
        <is>
          <t>CDE-L067</t>
        </is>
      </c>
      <c r="B68" s="8" t="inlineStr">
        <is>
          <t>Employment Contract or Restrictive Covenant Dispute (Current Period, Count)</t>
        </is>
      </c>
      <c r="C68" s="8" t="inlineStr">
        <is>
          <t>Numeric</t>
        </is>
      </c>
      <c r="D68" s="8" t="inlineStr">
        <is>
          <t>Recommended</t>
        </is>
      </c>
      <c r="E68" s="8" t="inlineStr">
        <is>
          <t>Optional</t>
        </is>
      </c>
      <c r="F68" s="8" t="inlineStr">
        <is>
          <t>P2</t>
        </is>
      </c>
      <c r="G68" s="8" t="inlineStr">
        <is>
          <t>&gt;=0, integer</t>
        </is>
      </c>
      <c r="H68" s="8" t="inlineStr">
        <is>
          <t>TYPE:INTEGER|MIN:0</t>
        </is>
      </c>
      <c r="I68" s="8" t="inlineStr">
        <is>
          <t>Effective-dated</t>
        </is>
      </c>
      <c r="J68" s="8" t="inlineStr">
        <is>
          <t>One-to-one</t>
        </is>
      </c>
      <c r="K68" s="8" t="inlineStr">
        <is>
          <t>N/A — not a one-to-many numeric field</t>
        </is>
      </c>
      <c r="L68" s="8" t="inlineStr">
        <is>
          <t>User Validation</t>
        </is>
      </c>
      <c r="M68" s="8" t="inlineStr">
        <is>
          <t>CIL Architecture Team</t>
        </is>
      </c>
      <c r="N68" s="8" t="inlineStr">
        <is>
          <t>2026-06-28</t>
        </is>
      </c>
      <c r="O68" s="8" t="inlineStr">
        <is>
          <t>CorpStage CIL Registry v1.0</t>
        </is>
      </c>
      <c r="P68" s="8" t="inlineStr">
        <is>
          <t>Group only (single enterprise-wide fact, does not repeat per node)</t>
        </is>
      </c>
      <c r="Q68" s="8" t="inlineStr">
        <is>
          <t>Global</t>
        </is>
      </c>
      <c r="R68" s="8" t="inlineStr">
        <is>
          <t>Tier 1 (Standard) — available to all frameworks and all customers</t>
        </is>
      </c>
      <c r="S68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69" ht="15" customHeight="1" s="6">
      <c r="A69" s="8" t="inlineStr">
        <is>
          <t>CDE-L068</t>
        </is>
      </c>
      <c r="B69" s="8" t="inlineStr">
        <is>
          <t>Restrictive Covenant Dispute Outcome</t>
        </is>
      </c>
      <c r="C69" s="8" t="inlineStr">
        <is>
          <t>Text</t>
        </is>
      </c>
      <c r="D69" s="8" t="inlineStr">
        <is>
          <t>Supplemental</t>
        </is>
      </c>
      <c r="E69" s="8" t="inlineStr">
        <is>
          <t>Optional</t>
        </is>
      </c>
      <c r="F69" s="8" t="inlineStr">
        <is>
          <t>P3</t>
        </is>
      </c>
      <c r="G69" s="8" t="inlineStr">
        <is>
          <t>Non-empty text</t>
        </is>
      </c>
      <c r="H69" s="8" t="inlineStr">
        <is>
          <t>TYPE:TEXT</t>
        </is>
      </c>
      <c r="I69" s="8" t="inlineStr">
        <is>
          <t>Point-in-time</t>
        </is>
      </c>
      <c r="J69" s="8" t="inlineStr">
        <is>
          <t>One-to-many</t>
        </is>
      </c>
      <c r="K69" s="8" t="inlineStr">
        <is>
          <t>N/A — not a one-to-many numeric field</t>
        </is>
      </c>
      <c r="L69" s="8" t="inlineStr">
        <is>
          <t>User Validation</t>
        </is>
      </c>
      <c r="M69" s="8" t="inlineStr">
        <is>
          <t>CIL Architecture Team</t>
        </is>
      </c>
      <c r="N69" s="8" t="inlineStr">
        <is>
          <t>2026-06-28</t>
        </is>
      </c>
      <c r="O69" s="8" t="inlineStr">
        <is>
          <t>CorpStage CIL Registry v1.0</t>
        </is>
      </c>
      <c r="P69" s="8" t="inlineStr">
        <is>
          <t>Company, Group (collected per legal entity, not below Company level)</t>
        </is>
      </c>
      <c r="Q69" s="8" t="inlineStr">
        <is>
          <t>Global</t>
        </is>
      </c>
      <c r="R69" s="8" t="inlineStr">
        <is>
          <t>Tier 1 (Standard) — available to all frameworks and all customers</t>
        </is>
      </c>
      <c r="S69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70" ht="15" customHeight="1" s="6">
      <c r="A70" s="8" t="inlineStr">
        <is>
          <t>CDE-L069</t>
        </is>
      </c>
      <c r="B70" s="8" t="inlineStr">
        <is>
          <t>Material Real Estate Lease or Ownership Inventory</t>
        </is>
      </c>
      <c r="C70" s="8" t="inlineStr">
        <is>
          <t>Text</t>
        </is>
      </c>
      <c r="D70" s="8" t="inlineStr">
        <is>
          <t>Required</t>
        </is>
      </c>
      <c r="E70" s="8" t="inlineStr">
        <is>
          <t>Optional</t>
        </is>
      </c>
      <c r="F70" s="8" t="inlineStr">
        <is>
          <t>P1</t>
        </is>
      </c>
      <c r="G70" s="8" t="inlineStr">
        <is>
          <t>Non-empty text</t>
        </is>
      </c>
      <c r="H70" s="8" t="inlineStr">
        <is>
          <t>TYPE:TEXT</t>
        </is>
      </c>
      <c r="I70" s="8" t="inlineStr">
        <is>
          <t>Effective-dated</t>
        </is>
      </c>
      <c r="J70" s="8" t="inlineStr">
        <is>
          <t>One-to-many</t>
        </is>
      </c>
      <c r="K70" s="8" t="inlineStr">
        <is>
          <t>N/A — not a one-to-many numeric field</t>
        </is>
      </c>
      <c r="L70" s="8" t="inlineStr">
        <is>
          <t>User Validation</t>
        </is>
      </c>
      <c r="M70" s="8" t="inlineStr">
        <is>
          <t>CIL Architecture Team</t>
        </is>
      </c>
      <c r="N70" s="8" t="inlineStr">
        <is>
          <t>2026-06-28</t>
        </is>
      </c>
      <c r="O70" s="8" t="inlineStr">
        <is>
          <t>CorpStage CIL Registry v1.0</t>
        </is>
      </c>
      <c r="P70" s="8" t="inlineStr">
        <is>
          <t>Company, Group (collected per legal entity, not below Company level)</t>
        </is>
      </c>
      <c r="Q70" s="8" t="inlineStr">
        <is>
          <t>Global</t>
        </is>
      </c>
      <c r="R70" s="8" t="inlineStr">
        <is>
          <t>Tier 1 (Standard) — available to all frameworks and all customers</t>
        </is>
      </c>
      <c r="S70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71" ht="15" customHeight="1" s="6">
      <c r="A71" s="8" t="inlineStr">
        <is>
          <t>CDE-L070</t>
        </is>
      </c>
      <c r="B71" s="8" t="inlineStr">
        <is>
          <t>Real Estate Lease Term Remaining (Years)</t>
        </is>
      </c>
      <c r="C71" s="8" t="inlineStr">
        <is>
          <t>Numeric</t>
        </is>
      </c>
      <c r="D71" s="8" t="inlineStr">
        <is>
          <t>Recommended</t>
        </is>
      </c>
      <c r="E71" s="8" t="inlineStr">
        <is>
          <t>Optional</t>
        </is>
      </c>
      <c r="F71" s="8" t="inlineStr">
        <is>
          <t>P2</t>
        </is>
      </c>
      <c r="G71" s="8" t="inlineStr">
        <is>
          <t>&gt;=0, numeric</t>
        </is>
      </c>
      <c r="H71" s="8" t="inlineStr">
        <is>
          <t>TYPE:NUMERIC|MIN:0</t>
        </is>
      </c>
      <c r="I71" s="8" t="inlineStr">
        <is>
          <t>Effective-dated</t>
        </is>
      </c>
      <c r="J71" s="8" t="inlineStr">
        <is>
          <t>One-to-many</t>
        </is>
      </c>
      <c r="K71" s="8" t="inlineStr">
        <is>
          <t>Independent per lease; not aggregated (lease term in years is not summable across leases)</t>
        </is>
      </c>
      <c r="L71" s="8" t="inlineStr">
        <is>
          <t>User Validation</t>
        </is>
      </c>
      <c r="M71" s="8" t="inlineStr">
        <is>
          <t>CIL Architecture Team</t>
        </is>
      </c>
      <c r="N71" s="8" t="inlineStr">
        <is>
          <t>2026-06-28</t>
        </is>
      </c>
      <c r="O71" s="8" t="inlineStr">
        <is>
          <t>CorpStage CIL Registry v1.0</t>
        </is>
      </c>
      <c r="P71" s="8" t="inlineStr">
        <is>
          <t>Company, Group (collected per legal entity, not below Company level)</t>
        </is>
      </c>
      <c r="Q71" s="8" t="inlineStr">
        <is>
          <t>Global</t>
        </is>
      </c>
      <c r="R71" s="8" t="inlineStr">
        <is>
          <t>Tier 1 (Standard) — available to all frameworks and all customers</t>
        </is>
      </c>
      <c r="S71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72" ht="15" customHeight="1" s="6">
      <c r="A72" s="8" t="inlineStr">
        <is>
          <t>CDE-L071</t>
        </is>
      </c>
      <c r="B72" s="8" t="inlineStr">
        <is>
          <t>Real Estate Legal Dispute or Title Issue Identified (Current Period, Count)</t>
        </is>
      </c>
      <c r="C72" s="8" t="inlineStr">
        <is>
          <t>Numeric</t>
        </is>
      </c>
      <c r="D72" s="8" t="inlineStr">
        <is>
          <t>Recommended</t>
        </is>
      </c>
      <c r="E72" s="8" t="inlineStr">
        <is>
          <t>Optional</t>
        </is>
      </c>
      <c r="F72" s="8" t="inlineStr">
        <is>
          <t>P2</t>
        </is>
      </c>
      <c r="G72" s="8" t="inlineStr">
        <is>
          <t>&gt;=0, integer</t>
        </is>
      </c>
      <c r="H72" s="8" t="inlineStr">
        <is>
          <t>TYPE:INTEGER|MIN:0</t>
        </is>
      </c>
      <c r="I72" s="8" t="inlineStr">
        <is>
          <t>Effective-dated</t>
        </is>
      </c>
      <c r="J72" s="8" t="inlineStr">
        <is>
          <t>One-to-one</t>
        </is>
      </c>
      <c r="K72" s="8" t="inlineStr">
        <is>
          <t>N/A — not a one-to-many numeric field</t>
        </is>
      </c>
      <c r="L72" s="8" t="inlineStr">
        <is>
          <t>User Validation</t>
        </is>
      </c>
      <c r="M72" s="8" t="inlineStr">
        <is>
          <t>CIL Architecture Team</t>
        </is>
      </c>
      <c r="N72" s="8" t="inlineStr">
        <is>
          <t>2026-06-28</t>
        </is>
      </c>
      <c r="O72" s="8" t="inlineStr">
        <is>
          <t>CorpStage CIL Registry v1.0</t>
        </is>
      </c>
      <c r="P72" s="8" t="inlineStr">
        <is>
          <t>Group only (single enterprise-wide fact, does not repeat per node)</t>
        </is>
      </c>
      <c r="Q72" s="8" t="inlineStr">
        <is>
          <t>Global</t>
        </is>
      </c>
      <c r="R72" s="8" t="inlineStr">
        <is>
          <t>Tier 1 (Standard) — available to all frameworks and all customers</t>
        </is>
      </c>
      <c r="S72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73" ht="15" customHeight="1" s="6">
      <c r="A73" s="8" t="inlineStr">
        <is>
          <t>CDE-L072</t>
        </is>
      </c>
      <c r="B73" s="8" t="inlineStr">
        <is>
          <t>Real Estate Dispute Type (Title/Boundary/Tenancy/Other)</t>
        </is>
      </c>
      <c r="C73" s="8" t="inlineStr">
        <is>
          <t>Text</t>
        </is>
      </c>
      <c r="D73" s="8" t="inlineStr">
        <is>
          <t>Supplemental</t>
        </is>
      </c>
      <c r="E73" s="8" t="inlineStr">
        <is>
          <t>Optional</t>
        </is>
      </c>
      <c r="F73" s="8" t="inlineStr">
        <is>
          <t>P3</t>
        </is>
      </c>
      <c r="G73" s="8" t="inlineStr">
        <is>
          <t>Non-empty text</t>
        </is>
      </c>
      <c r="H73" s="8" t="inlineStr">
        <is>
          <t>TYPE:TEXT</t>
        </is>
      </c>
      <c r="I73" s="8" t="inlineStr">
        <is>
          <t>Point-in-time</t>
        </is>
      </c>
      <c r="J73" s="8" t="inlineStr">
        <is>
          <t>One-to-many</t>
        </is>
      </c>
      <c r="K73" s="8" t="inlineStr">
        <is>
          <t>N/A — not a one-to-many numeric field</t>
        </is>
      </c>
      <c r="L73" s="8" t="inlineStr">
        <is>
          <t>User Validation</t>
        </is>
      </c>
      <c r="M73" s="8" t="inlineStr">
        <is>
          <t>CIL Architecture Team</t>
        </is>
      </c>
      <c r="N73" s="8" t="inlineStr">
        <is>
          <t>2026-06-28</t>
        </is>
      </c>
      <c r="O73" s="8" t="inlineStr">
        <is>
          <t>CorpStage CIL Registry v1.0</t>
        </is>
      </c>
      <c r="P73" s="8" t="inlineStr">
        <is>
          <t>Company, Group (collected per legal entity, not below Company level)</t>
        </is>
      </c>
      <c r="Q73" s="8" t="inlineStr">
        <is>
          <t>Global</t>
        </is>
      </c>
      <c r="R73" s="8" t="inlineStr">
        <is>
          <t>Tier 1 (Standard) — available to all frameworks and all customers</t>
        </is>
      </c>
      <c r="S73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74" ht="15" customHeight="1" s="6">
      <c r="A74" s="8" t="inlineStr">
        <is>
          <t>CDE-L073</t>
        </is>
      </c>
      <c r="B74" s="8" t="inlineStr">
        <is>
          <t>Environmental or Zoning Legal Compliance Issue Identified (Current Period, Count)</t>
        </is>
      </c>
      <c r="C74" s="8" t="inlineStr">
        <is>
          <t>Numeric</t>
        </is>
      </c>
      <c r="D74" s="8" t="inlineStr">
        <is>
          <t>Recommended</t>
        </is>
      </c>
      <c r="E74" s="8" t="inlineStr">
        <is>
          <t>Optional</t>
        </is>
      </c>
      <c r="F74" s="8" t="inlineStr">
        <is>
          <t>P2</t>
        </is>
      </c>
      <c r="G74" s="8" t="inlineStr">
        <is>
          <t>&gt;=0, integer</t>
        </is>
      </c>
      <c r="H74" s="8" t="inlineStr">
        <is>
          <t>TYPE:INTEGER|MIN:0</t>
        </is>
      </c>
      <c r="I74" s="8" t="inlineStr">
        <is>
          <t>Effective-dated</t>
        </is>
      </c>
      <c r="J74" s="8" t="inlineStr">
        <is>
          <t>One-to-one</t>
        </is>
      </c>
      <c r="K74" s="8" t="inlineStr">
        <is>
          <t>N/A — not a one-to-many numeric field</t>
        </is>
      </c>
      <c r="L74" s="8" t="inlineStr">
        <is>
          <t>User Validation</t>
        </is>
      </c>
      <c r="M74" s="8" t="inlineStr">
        <is>
          <t>CIL Architecture Team</t>
        </is>
      </c>
      <c r="N74" s="8" t="inlineStr">
        <is>
          <t>2026-06-28</t>
        </is>
      </c>
      <c r="O74" s="8" t="inlineStr">
        <is>
          <t>CorpStage CIL Registry v1.0</t>
        </is>
      </c>
      <c r="P74" s="8" t="inlineStr">
        <is>
          <t>Group only (single enterprise-wide fact, does not repeat per node)</t>
        </is>
      </c>
      <c r="Q74" s="8" t="inlineStr">
        <is>
          <t>Global</t>
        </is>
      </c>
      <c r="R74" s="8" t="inlineStr">
        <is>
          <t>Tier 1 (Standard) — available to all frameworks and all customers</t>
        </is>
      </c>
      <c r="S74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75" ht="15" customHeight="1" s="6">
      <c r="A75" s="8" t="inlineStr">
        <is>
          <t>CDE-L074</t>
        </is>
      </c>
      <c r="B75" s="8" t="inlineStr">
        <is>
          <t>Zoning Variance or Environmental Permit Status</t>
        </is>
      </c>
      <c r="C75" s="8" t="inlineStr">
        <is>
          <t>Text</t>
        </is>
      </c>
      <c r="D75" s="8" t="inlineStr">
        <is>
          <t>Supplemental</t>
        </is>
      </c>
      <c r="E75" s="8" t="inlineStr">
        <is>
          <t>Optional</t>
        </is>
      </c>
      <c r="F75" s="8" t="inlineStr">
        <is>
          <t>P3</t>
        </is>
      </c>
      <c r="G75" s="8" t="inlineStr">
        <is>
          <t>Non-empty text</t>
        </is>
      </c>
      <c r="H75" s="8" t="inlineStr">
        <is>
          <t>TYPE:TEXT</t>
        </is>
      </c>
      <c r="I75" s="8" t="inlineStr">
        <is>
          <t>Point-in-time</t>
        </is>
      </c>
      <c r="J75" s="8" t="inlineStr">
        <is>
          <t>One-to-many</t>
        </is>
      </c>
      <c r="K75" s="8" t="inlineStr">
        <is>
          <t>N/A — not a one-to-many numeric field</t>
        </is>
      </c>
      <c r="L75" s="8" t="inlineStr">
        <is>
          <t>Regulatory Filings (SEC EDGAR, Companies House, National Business Registry)</t>
        </is>
      </c>
      <c r="M75" s="8" t="inlineStr">
        <is>
          <t>CIL Architecture Team</t>
        </is>
      </c>
      <c r="N75" s="8" t="inlineStr">
        <is>
          <t>2026-06-28</t>
        </is>
      </c>
      <c r="O75" s="8" t="inlineStr">
        <is>
          <t>CorpStage CIL Registry v1.0</t>
        </is>
      </c>
      <c r="P75" s="8" t="inlineStr">
        <is>
          <t>Company, Group (collected per legal entity, not below Company level)</t>
        </is>
      </c>
      <c r="Q75" s="8" t="inlineStr">
        <is>
          <t>Global</t>
        </is>
      </c>
      <c r="R75" s="8" t="inlineStr">
        <is>
          <t>Tier 1 (Standard) — available to all frameworks and all customers</t>
        </is>
      </c>
      <c r="S75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76" ht="15" customHeight="1" s="6">
      <c r="A76" s="8" t="inlineStr">
        <is>
          <t>CDE-L075</t>
        </is>
      </c>
      <c r="B76" s="8" t="inlineStr">
        <is>
          <t>Active Legal Hold Count</t>
        </is>
      </c>
      <c r="C76" s="8" t="inlineStr">
        <is>
          <t>Numeric</t>
        </is>
      </c>
      <c r="D76" s="8" t="inlineStr">
        <is>
          <t>Required</t>
        </is>
      </c>
      <c r="E76" s="8" t="inlineStr">
        <is>
          <t>Universal</t>
        </is>
      </c>
      <c r="F76" s="8" t="inlineStr">
        <is>
          <t>P1</t>
        </is>
      </c>
      <c r="G76" s="8" t="inlineStr">
        <is>
          <t>&gt;=0, integer</t>
        </is>
      </c>
      <c r="H76" s="8" t="inlineStr">
        <is>
          <t>TYPE:INTEGER|MIN:0</t>
        </is>
      </c>
      <c r="I76" s="8" t="inlineStr">
        <is>
          <t>Effective-dated</t>
        </is>
      </c>
      <c r="J76" s="8" t="inlineStr">
        <is>
          <t>One-to-one</t>
        </is>
      </c>
      <c r="K76" s="8" t="inlineStr">
        <is>
          <t>N/A — not a one-to-many numeric field</t>
        </is>
      </c>
      <c r="L76" s="8" t="inlineStr">
        <is>
          <t>User Validation</t>
        </is>
      </c>
      <c r="M76" s="8" t="inlineStr">
        <is>
          <t>CIL Architecture Team</t>
        </is>
      </c>
      <c r="N76" s="8" t="inlineStr">
        <is>
          <t>2026-06-28</t>
        </is>
      </c>
      <c r="O76" s="8" t="inlineStr">
        <is>
          <t>CorpStage CIL Registry v1.0</t>
        </is>
      </c>
      <c r="P76" s="8" t="inlineStr">
        <is>
          <t>Group only (single enterprise-wide fact, does not repeat per node)</t>
        </is>
      </c>
      <c r="Q76" s="8" t="inlineStr">
        <is>
          <t>Global</t>
        </is>
      </c>
      <c r="R76" s="8" t="inlineStr">
        <is>
          <t>Tier 1 (Standard) — available to all frameworks and all customers</t>
        </is>
      </c>
      <c r="S76" s="8" t="inlineStr">
        <is>
          <t>Distinct from Domain 6 Compliance &amp; Regulatory Intelligence's CDE-C182 (Document Retention Policy Documented — the GENERAL policy-existence fact). This domain owns the LEGAL-HOLD-SPECIFIC mechanics: active hold tracking tied to litigation/investigation triggers, and compliance monitoring of holds once issued — Domain 6 must be referenced for the general retention policy, not duplicated here.</t>
        </is>
      </c>
    </row>
    <row r="77" ht="15" customHeight="1" s="6">
      <c r="A77" s="8" t="inlineStr">
        <is>
          <t>CDE-L076</t>
        </is>
      </c>
      <c r="B77" s="8" t="inlineStr">
        <is>
          <t>Legal Hold Trigger Event (Litigation/Investigation/Regulatory Inquiry)</t>
        </is>
      </c>
      <c r="C77" s="8" t="inlineStr">
        <is>
          <t>Text</t>
        </is>
      </c>
      <c r="D77" s="8" t="inlineStr">
        <is>
          <t>Recommended</t>
        </is>
      </c>
      <c r="E77" s="8" t="inlineStr">
        <is>
          <t>Optional</t>
        </is>
      </c>
      <c r="F77" s="8" t="inlineStr">
        <is>
          <t>P2</t>
        </is>
      </c>
      <c r="G77" s="8" t="inlineStr">
        <is>
          <t>Non-empty text</t>
        </is>
      </c>
      <c r="H77" s="8" t="inlineStr">
        <is>
          <t>TYPE:TEXT</t>
        </is>
      </c>
      <c r="I77" s="8" t="inlineStr">
        <is>
          <t>Point-in-time</t>
        </is>
      </c>
      <c r="J77" s="8" t="inlineStr">
        <is>
          <t>One-to-many</t>
        </is>
      </c>
      <c r="K77" s="8" t="inlineStr">
        <is>
          <t>N/A — not a one-to-many numeric field</t>
        </is>
      </c>
      <c r="L77" s="8" t="inlineStr">
        <is>
          <t>User Validation</t>
        </is>
      </c>
      <c r="M77" s="8" t="inlineStr">
        <is>
          <t>CIL Architecture Team</t>
        </is>
      </c>
      <c r="N77" s="8" t="inlineStr">
        <is>
          <t>2026-06-28</t>
        </is>
      </c>
      <c r="O77" s="8" t="inlineStr">
        <is>
          <t>CorpStage CIL Registry v1.0</t>
        </is>
      </c>
      <c r="P77" s="8" t="inlineStr">
        <is>
          <t>Company, Group (collected per legal entity, not below Company level)</t>
        </is>
      </c>
      <c r="Q77" s="8" t="inlineStr">
        <is>
          <t>Global</t>
        </is>
      </c>
      <c r="R77" s="8" t="inlineStr">
        <is>
          <t>Tier 1 (Standard) — available to all frameworks and all customers</t>
        </is>
      </c>
      <c r="S77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78" ht="15" customHeight="1" s="6">
      <c r="A78" s="8" t="inlineStr">
        <is>
          <t>CDE-L077</t>
        </is>
      </c>
      <c r="B78" s="8" t="inlineStr">
        <is>
          <t>Document Retention Schedule Documented (Distinct from Policy Existence)</t>
        </is>
      </c>
      <c r="C78" s="8" t="inlineStr">
        <is>
          <t>Boolean</t>
        </is>
      </c>
      <c r="D78" s="8" t="inlineStr">
        <is>
          <t>Required</t>
        </is>
      </c>
      <c r="E78" s="8" t="inlineStr">
        <is>
          <t>Optional</t>
        </is>
      </c>
      <c r="F78" s="8" t="inlineStr">
        <is>
          <t>P1</t>
        </is>
      </c>
      <c r="G78" s="8" t="inlineStr">
        <is>
          <t>True/False</t>
        </is>
      </c>
      <c r="H78" s="8" t="inlineStr">
        <is>
          <t>TYPE:BOOLEAN|ALLOWED:TRUE,FALSE</t>
        </is>
      </c>
      <c r="I78" s="8" t="inlineStr">
        <is>
          <t>Effective-dated</t>
        </is>
      </c>
      <c r="J78" s="8" t="inlineStr">
        <is>
          <t>One-to-one</t>
        </is>
      </c>
      <c r="K78" s="8" t="inlineStr">
        <is>
          <t>N/A — not a one-to-many numeric field</t>
        </is>
      </c>
      <c r="L78" s="8" t="inlineStr">
        <is>
          <t>User Validation</t>
        </is>
      </c>
      <c r="M78" s="8" t="inlineStr">
        <is>
          <t>CIL Architecture Team</t>
        </is>
      </c>
      <c r="N78" s="8" t="inlineStr">
        <is>
          <t>2026-06-28</t>
        </is>
      </c>
      <c r="O78" s="8" t="inlineStr">
        <is>
          <t>CorpStage CIL Registry v1.0</t>
        </is>
      </c>
      <c r="P78" s="8" t="inlineStr">
        <is>
          <t>Group only (single enterprise-wide fact, does not repeat per node)</t>
        </is>
      </c>
      <c r="Q78" s="8" t="inlineStr">
        <is>
          <t>Global</t>
        </is>
      </c>
      <c r="R78" s="8" t="inlineStr">
        <is>
          <t>Tier 1 (Standard) — available to all frameworks and all customers</t>
        </is>
      </c>
      <c r="S78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79" ht="15" customHeight="1" s="6">
      <c r="A79" s="8" t="inlineStr">
        <is>
          <t>CDE-L078</t>
        </is>
      </c>
      <c r="B79" s="8" t="inlineStr">
        <is>
          <t>Document Retention Period by Record Type</t>
        </is>
      </c>
      <c r="C79" s="8" t="inlineStr">
        <is>
          <t>Text</t>
        </is>
      </c>
      <c r="D79" s="8" t="inlineStr">
        <is>
          <t>Recommended</t>
        </is>
      </c>
      <c r="E79" s="8" t="inlineStr">
        <is>
          <t>Optional</t>
        </is>
      </c>
      <c r="F79" s="8" t="inlineStr">
        <is>
          <t>P2</t>
        </is>
      </c>
      <c r="G79" s="8" t="inlineStr">
        <is>
          <t>Non-empty text</t>
        </is>
      </c>
      <c r="H79" s="8" t="inlineStr">
        <is>
          <t>TYPE:TEXT</t>
        </is>
      </c>
      <c r="I79" s="8" t="inlineStr">
        <is>
          <t>Point-in-time</t>
        </is>
      </c>
      <c r="J79" s="8" t="inlineStr">
        <is>
          <t>One-to-many</t>
        </is>
      </c>
      <c r="K79" s="8" t="inlineStr">
        <is>
          <t>N/A — not a one-to-many numeric field</t>
        </is>
      </c>
      <c r="L79" s="8" t="inlineStr">
        <is>
          <t>User Validation</t>
        </is>
      </c>
      <c r="M79" s="8" t="inlineStr">
        <is>
          <t>CIL Architecture Team</t>
        </is>
      </c>
      <c r="N79" s="8" t="inlineStr">
        <is>
          <t>2026-06-28</t>
        </is>
      </c>
      <c r="O79" s="8" t="inlineStr">
        <is>
          <t>CorpStage CIL Registry v1.0</t>
        </is>
      </c>
      <c r="P79" s="8" t="inlineStr">
        <is>
          <t>Company, Group (collected per legal entity, not below Company level)</t>
        </is>
      </c>
      <c r="Q79" s="8" t="inlineStr">
        <is>
          <t>Global</t>
        </is>
      </c>
      <c r="R79" s="8" t="inlineStr">
        <is>
          <t>Tier 1 (Standard) — available to all frameworks and all customers</t>
        </is>
      </c>
      <c r="S79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80" ht="15" customHeight="1" s="6">
      <c r="A80" s="8" t="inlineStr">
        <is>
          <t>CDE-L079</t>
        </is>
      </c>
      <c r="B80" s="8" t="inlineStr">
        <is>
          <t>Legal Hold Compliance Monitoring Process Documented</t>
        </is>
      </c>
      <c r="C80" s="8" t="inlineStr">
        <is>
          <t>Boolean</t>
        </is>
      </c>
      <c r="D80" s="8" t="inlineStr">
        <is>
          <t>Required</t>
        </is>
      </c>
      <c r="E80" s="8" t="inlineStr">
        <is>
          <t>Multi</t>
        </is>
      </c>
      <c r="F80" s="8" t="inlineStr">
        <is>
          <t>P1</t>
        </is>
      </c>
      <c r="G80" s="8" t="inlineStr">
        <is>
          <t>True/False</t>
        </is>
      </c>
      <c r="H80" s="8" t="inlineStr">
        <is>
          <t>TYPE:BOOLEAN|ALLOWED:TRUE,FALSE</t>
        </is>
      </c>
      <c r="I80" s="8" t="inlineStr">
        <is>
          <t>Effective-dated</t>
        </is>
      </c>
      <c r="J80" s="8" t="inlineStr">
        <is>
          <t>One-to-one</t>
        </is>
      </c>
      <c r="K80" s="8" t="inlineStr">
        <is>
          <t>N/A — not a one-to-many numeric field</t>
        </is>
      </c>
      <c r="L80" s="8" t="inlineStr">
        <is>
          <t>User Validation</t>
        </is>
      </c>
      <c r="M80" s="8" t="inlineStr">
        <is>
          <t>CIL Architecture Team</t>
        </is>
      </c>
      <c r="N80" s="8" t="inlineStr">
        <is>
          <t>2026-06-28</t>
        </is>
      </c>
      <c r="O80" s="8" t="inlineStr">
        <is>
          <t>CorpStage CIL Registry v1.0</t>
        </is>
      </c>
      <c r="P80" s="8" t="inlineStr">
        <is>
          <t>Group only (single enterprise-wide fact, does not repeat per node)</t>
        </is>
      </c>
      <c r="Q80" s="8" t="inlineStr">
        <is>
          <t>Global</t>
        </is>
      </c>
      <c r="R80" s="8" t="inlineStr">
        <is>
          <t>Tier 1 (Standard) — available to all frameworks and all customers</t>
        </is>
      </c>
      <c r="S80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81" ht="15" customHeight="1" s="6">
      <c r="A81" s="8" t="inlineStr">
        <is>
          <t>CDE-L080</t>
        </is>
      </c>
      <c r="B81" s="8" t="inlineStr">
        <is>
          <t>Legal Hold Compliance Audit Conducted (Current Period)</t>
        </is>
      </c>
      <c r="C81" s="8" t="inlineStr">
        <is>
          <t>Boolean</t>
        </is>
      </c>
      <c r="D81" s="8" t="inlineStr">
        <is>
          <t>Recommended</t>
        </is>
      </c>
      <c r="E81" s="8" t="inlineStr">
        <is>
          <t>Optional</t>
        </is>
      </c>
      <c r="F81" s="8" t="inlineStr">
        <is>
          <t>P2</t>
        </is>
      </c>
      <c r="G81" s="8" t="inlineStr">
        <is>
          <t>True/False/Unknown (tri-state)</t>
        </is>
      </c>
      <c r="H81" s="8" t="inlineStr">
        <is>
          <t>TYPE:BOOLEAN|ALLOWED:TRUE,FALSE,UNKNOWN</t>
        </is>
      </c>
      <c r="I81" s="8" t="inlineStr">
        <is>
          <t>Effective-dated</t>
        </is>
      </c>
      <c r="J81" s="8" t="inlineStr">
        <is>
          <t>One-to-one</t>
        </is>
      </c>
      <c r="K81" s="8" t="inlineStr">
        <is>
          <t>N/A — not a one-to-many numeric field</t>
        </is>
      </c>
      <c r="L81" s="8" t="inlineStr">
        <is>
          <t>User Validation</t>
        </is>
      </c>
      <c r="M81" s="8" t="inlineStr">
        <is>
          <t>CIL Architecture Team</t>
        </is>
      </c>
      <c r="N81" s="8" t="inlineStr">
        <is>
          <t>2026-06-28</t>
        </is>
      </c>
      <c r="O81" s="8" t="inlineStr">
        <is>
          <t>CorpStage CIL Registry v1.0</t>
        </is>
      </c>
      <c r="P81" s="8" t="inlineStr">
        <is>
          <t>Group only (single enterprise-wide fact, does not repeat per node)</t>
        </is>
      </c>
      <c r="Q81" s="8" t="inlineStr">
        <is>
          <t>Global</t>
        </is>
      </c>
      <c r="R81" s="8" t="inlineStr">
        <is>
          <t>Tier 1 (Standard) — available to all frameworks and all customers</t>
        </is>
      </c>
      <c r="S81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82" ht="15" customHeight="1" s="6">
      <c r="A82" s="8" t="inlineStr">
        <is>
          <t>CDE-L081</t>
        </is>
      </c>
      <c r="B82" s="8" t="inlineStr">
        <is>
          <t>Litigation Matter Estimated Resolution Date</t>
        </is>
      </c>
      <c r="C82" s="8" t="inlineStr">
        <is>
          <t>Date</t>
        </is>
      </c>
      <c r="D82" s="8" t="inlineStr">
        <is>
          <t>Supplemental</t>
        </is>
      </c>
      <c r="E82" s="8" t="inlineStr">
        <is>
          <t>Optional</t>
        </is>
      </c>
      <c r="F82" s="8" t="inlineStr">
        <is>
          <t>P3</t>
        </is>
      </c>
      <c r="G82" s="8" t="inlineStr">
        <is>
          <t>Valid date</t>
        </is>
      </c>
      <c r="H82" s="8" t="inlineStr">
        <is>
          <t>TYPE:DATE</t>
        </is>
      </c>
      <c r="I82" s="8" t="inlineStr">
        <is>
          <t>Point-in-time</t>
        </is>
      </c>
      <c r="J82" s="8" t="inlineStr">
        <is>
          <t>One-to-many</t>
        </is>
      </c>
      <c r="K82" s="8" t="inlineStr">
        <is>
          <t>N/A — not a one-to-many numeric field</t>
        </is>
      </c>
      <c r="L82" s="8" t="inlineStr">
        <is>
          <t>User Validation</t>
        </is>
      </c>
      <c r="M82" s="8" t="inlineStr">
        <is>
          <t>CIL Architecture Team</t>
        </is>
      </c>
      <c r="N82" s="8" t="inlineStr">
        <is>
          <t>2026-06-28</t>
        </is>
      </c>
      <c r="O82" s="8" t="inlineStr">
        <is>
          <t>CorpStage CIL Registry v1.1</t>
        </is>
      </c>
      <c r="P82" s="8" t="inlineStr">
        <is>
          <t>Company, Group (collected per legal entity, not below Company level)</t>
        </is>
      </c>
      <c r="Q82" s="8" t="inlineStr">
        <is>
          <t>Global</t>
        </is>
      </c>
      <c r="R82" s="8" t="inlineStr">
        <is>
          <t>Tier 1 (Standard) — available to all frameworks and all customers</t>
        </is>
      </c>
      <c r="S82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83" ht="15" customHeight="1" s="6">
      <c r="A83" s="8" t="inlineStr">
        <is>
          <t>CDE-L082</t>
        </is>
      </c>
      <c r="B83" s="8" t="inlineStr">
        <is>
          <t>Settlement/Judgment Outcome Type (Favorable/Unfavorable/Mutual)</t>
        </is>
      </c>
      <c r="C83" s="8" t="inlineStr">
        <is>
          <t>Text</t>
        </is>
      </c>
      <c r="D83" s="8" t="inlineStr">
        <is>
          <t>Supplemental</t>
        </is>
      </c>
      <c r="E83" s="8" t="inlineStr">
        <is>
          <t>Optional</t>
        </is>
      </c>
      <c r="F83" s="8" t="inlineStr">
        <is>
          <t>P3</t>
        </is>
      </c>
      <c r="G83" s="8" t="inlineStr">
        <is>
          <t>Favorable/Unfavorable/Mutual</t>
        </is>
      </c>
      <c r="H83" s="8" t="inlineStr">
        <is>
          <t>TYPE:ENUM|ALLOWED:FAVORABLE,UNFAVORABLE,MUTUAL</t>
        </is>
      </c>
      <c r="I83" s="8" t="inlineStr">
        <is>
          <t>Point-in-time</t>
        </is>
      </c>
      <c r="J83" s="8" t="inlineStr">
        <is>
          <t>One-to-many</t>
        </is>
      </c>
      <c r="K83" s="8" t="inlineStr">
        <is>
          <t>N/A — not a one-to-many numeric field</t>
        </is>
      </c>
      <c r="L83" s="8" t="inlineStr">
        <is>
          <t>User Validation</t>
        </is>
      </c>
      <c r="M83" s="8" t="inlineStr">
        <is>
          <t>CIL Architecture Team</t>
        </is>
      </c>
      <c r="N83" s="8" t="inlineStr">
        <is>
          <t>2026-06-28</t>
        </is>
      </c>
      <c r="O83" s="8" t="inlineStr">
        <is>
          <t>CorpStage CIL Registry v1.1</t>
        </is>
      </c>
      <c r="P83" s="8" t="inlineStr">
        <is>
          <t>Company, Group (collected per legal entity, not below Company level)</t>
        </is>
      </c>
      <c r="Q83" s="8" t="inlineStr">
        <is>
          <t>Global</t>
        </is>
      </c>
      <c r="R83" s="8" t="inlineStr">
        <is>
          <t>Tier 1 (Standard) — available to all frameworks and all customers</t>
        </is>
      </c>
      <c r="S83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84" ht="15" customHeight="1" s="6">
      <c r="A84" s="8" t="inlineStr">
        <is>
          <t>CDE-L083</t>
        </is>
      </c>
      <c r="B84" s="8" t="inlineStr">
        <is>
          <t>ADR Process Outcome (Resolved/Ongoing/Escalated to Litigation)</t>
        </is>
      </c>
      <c r="C84" s="8" t="inlineStr">
        <is>
          <t>Text</t>
        </is>
      </c>
      <c r="D84" s="8" t="inlineStr">
        <is>
          <t>Supplemental</t>
        </is>
      </c>
      <c r="E84" s="8" t="inlineStr">
        <is>
          <t>Optional</t>
        </is>
      </c>
      <c r="F84" s="8" t="inlineStr">
        <is>
          <t>P3</t>
        </is>
      </c>
      <c r="G84" s="8" t="inlineStr">
        <is>
          <t>Resolved/Ongoing/Escalated</t>
        </is>
      </c>
      <c r="H84" s="8" t="inlineStr">
        <is>
          <t>TYPE:ENUM|ALLOWED:RESOLVED,ONGOING,ESCALATED</t>
        </is>
      </c>
      <c r="I84" s="8" t="inlineStr">
        <is>
          <t>Point-in-time</t>
        </is>
      </c>
      <c r="J84" s="8" t="inlineStr">
        <is>
          <t>One-to-many</t>
        </is>
      </c>
      <c r="K84" s="8" t="inlineStr">
        <is>
          <t>N/A — not a one-to-many numeric field</t>
        </is>
      </c>
      <c r="L84" s="8" t="inlineStr">
        <is>
          <t>User Validation</t>
        </is>
      </c>
      <c r="M84" s="8" t="inlineStr">
        <is>
          <t>CIL Architecture Team</t>
        </is>
      </c>
      <c r="N84" s="8" t="inlineStr">
        <is>
          <t>2026-06-28</t>
        </is>
      </c>
      <c r="O84" s="8" t="inlineStr">
        <is>
          <t>CorpStage CIL Registry v1.1</t>
        </is>
      </c>
      <c r="P84" s="8" t="inlineStr">
        <is>
          <t>Company, Group (collected per legal entity, not below Company level)</t>
        </is>
      </c>
      <c r="Q84" s="8" t="inlineStr">
        <is>
          <t>Global</t>
        </is>
      </c>
      <c r="R84" s="8" t="inlineStr">
        <is>
          <t>Tier 1 (Standard) — available to all frameworks and all customers</t>
        </is>
      </c>
      <c r="S84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85" ht="15" customHeight="1" s="6">
      <c r="A85" s="8" t="inlineStr">
        <is>
          <t>CDE-L084</t>
        </is>
      </c>
      <c r="B85" s="8" t="inlineStr">
        <is>
          <t>Class Action Lead Plaintiff Counsel Firm</t>
        </is>
      </c>
      <c r="C85" s="8" t="inlineStr">
        <is>
          <t>Text</t>
        </is>
      </c>
      <c r="D85" s="8" t="inlineStr">
        <is>
          <t>Supplemental</t>
        </is>
      </c>
      <c r="E85" s="8" t="inlineStr">
        <is>
          <t>Optional</t>
        </is>
      </c>
      <c r="F85" s="8" t="inlineStr">
        <is>
          <t>P3</t>
        </is>
      </c>
      <c r="G85" s="8" t="inlineStr">
        <is>
          <t>Non-empty text</t>
        </is>
      </c>
      <c r="H85" s="8" t="inlineStr">
        <is>
          <t>TYPE:TEXT</t>
        </is>
      </c>
      <c r="I85" s="8" t="inlineStr">
        <is>
          <t>Point-in-time</t>
        </is>
      </c>
      <c r="J85" s="8" t="inlineStr">
        <is>
          <t>One-to-one</t>
        </is>
      </c>
      <c r="K85" s="8" t="inlineStr">
        <is>
          <t>N/A — not a one-to-many numeric field</t>
        </is>
      </c>
      <c r="L85" s="8" t="inlineStr">
        <is>
          <t>User Validation</t>
        </is>
      </c>
      <c r="M85" s="8" t="inlineStr">
        <is>
          <t>CIL Architecture Team</t>
        </is>
      </c>
      <c r="N85" s="8" t="inlineStr">
        <is>
          <t>2026-06-28</t>
        </is>
      </c>
      <c r="O85" s="8" t="inlineStr">
        <is>
          <t>CorpStage CIL Registry v1.1</t>
        </is>
      </c>
      <c r="P85" s="8" t="inlineStr">
        <is>
          <t>Group only (single enterprise-wide fact, does not repeat per node)</t>
        </is>
      </c>
      <c r="Q85" s="8" t="inlineStr">
        <is>
          <t>Global</t>
        </is>
      </c>
      <c r="R85" s="8" t="inlineStr">
        <is>
          <t>Tier 1 (Standard) — available to all frameworks and all customers</t>
        </is>
      </c>
      <c r="S85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86" ht="15" customHeight="1" s="6">
      <c r="A86" s="8" t="inlineStr">
        <is>
          <t>CDE-L085</t>
        </is>
      </c>
      <c r="B86" s="8" t="inlineStr">
        <is>
          <t>Contract Owner/Responsible Business Unit</t>
        </is>
      </c>
      <c r="C86" s="8" t="inlineStr">
        <is>
          <t>Text</t>
        </is>
      </c>
      <c r="D86" s="8" t="inlineStr">
        <is>
          <t>Supplemental</t>
        </is>
      </c>
      <c r="E86" s="8" t="inlineStr">
        <is>
          <t>Optional</t>
        </is>
      </c>
      <c r="F86" s="8" t="inlineStr">
        <is>
          <t>P3</t>
        </is>
      </c>
      <c r="G86" s="8" t="inlineStr">
        <is>
          <t>Non-empty text</t>
        </is>
      </c>
      <c r="H86" s="8" t="inlineStr">
        <is>
          <t>TYPE:TEXT</t>
        </is>
      </c>
      <c r="I86" s="8" t="inlineStr">
        <is>
          <t>Point-in-time</t>
        </is>
      </c>
      <c r="J86" s="8" t="inlineStr">
        <is>
          <t>One-to-many</t>
        </is>
      </c>
      <c r="K86" s="8" t="inlineStr">
        <is>
          <t>N/A — not a one-to-many numeric field</t>
        </is>
      </c>
      <c r="L86" s="8" t="inlineStr">
        <is>
          <t>User Validation</t>
        </is>
      </c>
      <c r="M86" s="8" t="inlineStr">
        <is>
          <t>CIL Architecture Team</t>
        </is>
      </c>
      <c r="N86" s="8" t="inlineStr">
        <is>
          <t>2026-06-28</t>
        </is>
      </c>
      <c r="O86" s="8" t="inlineStr">
        <is>
          <t>CorpStage CIL Registry v1.1</t>
        </is>
      </c>
      <c r="P86" s="8" t="inlineStr">
        <is>
          <t>Company, Group (collected per legal entity, not below Company level)</t>
        </is>
      </c>
      <c r="Q86" s="8" t="inlineStr">
        <is>
          <t>Global</t>
        </is>
      </c>
      <c r="R86" s="8" t="inlineStr">
        <is>
          <t>Tier 1 (Standard) — available to all frameworks and all customers</t>
        </is>
      </c>
      <c r="S86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87" ht="15" customHeight="1" s="6">
      <c r="A87" s="8" t="inlineStr">
        <is>
          <t>CDE-L086</t>
        </is>
      </c>
      <c r="B87" s="8" t="inlineStr">
        <is>
          <t>Contract Breach Notice Issued Date</t>
        </is>
      </c>
      <c r="C87" s="8" t="inlineStr">
        <is>
          <t>Date</t>
        </is>
      </c>
      <c r="D87" s="8" t="inlineStr">
        <is>
          <t>Supplemental</t>
        </is>
      </c>
      <c r="E87" s="8" t="inlineStr">
        <is>
          <t>Optional</t>
        </is>
      </c>
      <c r="F87" s="8" t="inlineStr">
        <is>
          <t>P3</t>
        </is>
      </c>
      <c r="G87" s="8" t="inlineStr">
        <is>
          <t>Valid date</t>
        </is>
      </c>
      <c r="H87" s="8" t="inlineStr">
        <is>
          <t>TYPE:DATE</t>
        </is>
      </c>
      <c r="I87" s="8" t="inlineStr">
        <is>
          <t>Point-in-time</t>
        </is>
      </c>
      <c r="J87" s="8" t="inlineStr">
        <is>
          <t>One-to-many</t>
        </is>
      </c>
      <c r="K87" s="8" t="inlineStr">
        <is>
          <t>N/A — not a one-to-many numeric field</t>
        </is>
      </c>
      <c r="L87" s="8" t="inlineStr">
        <is>
          <t>User Validation</t>
        </is>
      </c>
      <c r="M87" s="8" t="inlineStr">
        <is>
          <t>CIL Architecture Team</t>
        </is>
      </c>
      <c r="N87" s="8" t="inlineStr">
        <is>
          <t>2026-06-28</t>
        </is>
      </c>
      <c r="O87" s="8" t="inlineStr">
        <is>
          <t>CorpStage CIL Registry v1.1</t>
        </is>
      </c>
      <c r="P87" s="8" t="inlineStr">
        <is>
          <t>Company, Group (collected per legal entity, not below Company level)</t>
        </is>
      </c>
      <c r="Q87" s="8" t="inlineStr">
        <is>
          <t>Global</t>
        </is>
      </c>
      <c r="R87" s="8" t="inlineStr">
        <is>
          <t>Tier 1 (Standard) — available to all frameworks and all customers</t>
        </is>
      </c>
      <c r="S87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88" ht="15" customHeight="1" s="6">
      <c r="A88" s="8" t="inlineStr">
        <is>
          <t>CDE-L087</t>
        </is>
      </c>
      <c r="B88" s="8" t="inlineStr">
        <is>
          <t>Contract Approval Workflow Last Updated Date</t>
        </is>
      </c>
      <c r="C88" s="8" t="inlineStr">
        <is>
          <t>Date</t>
        </is>
      </c>
      <c r="D88" s="8" t="inlineStr">
        <is>
          <t>Supplemental</t>
        </is>
      </c>
      <c r="E88" s="8" t="inlineStr">
        <is>
          <t>Optional</t>
        </is>
      </c>
      <c r="F88" s="8" t="inlineStr">
        <is>
          <t>P3</t>
        </is>
      </c>
      <c r="G88" s="8" t="inlineStr">
        <is>
          <t>Valid date</t>
        </is>
      </c>
      <c r="H88" s="8" t="inlineStr">
        <is>
          <t>TYPE:DATE</t>
        </is>
      </c>
      <c r="I88" s="8" t="inlineStr">
        <is>
          <t>Point-in-time</t>
        </is>
      </c>
      <c r="J88" s="8" t="inlineStr">
        <is>
          <t>One-to-one</t>
        </is>
      </c>
      <c r="K88" s="8" t="inlineStr">
        <is>
          <t>N/A — not a one-to-many numeric field</t>
        </is>
      </c>
      <c r="L88" s="8" t="inlineStr">
        <is>
          <t>User Validation</t>
        </is>
      </c>
      <c r="M88" s="8" t="inlineStr">
        <is>
          <t>CIL Architecture Team</t>
        </is>
      </c>
      <c r="N88" s="8" t="inlineStr">
        <is>
          <t>2026-06-28</t>
        </is>
      </c>
      <c r="O88" s="8" t="inlineStr">
        <is>
          <t>CorpStage CIL Registry v1.1</t>
        </is>
      </c>
      <c r="P88" s="8" t="inlineStr">
        <is>
          <t>Group only (single enterprise-wide fact, does not repeat per node)</t>
        </is>
      </c>
      <c r="Q88" s="8" t="inlineStr">
        <is>
          <t>Global</t>
        </is>
      </c>
      <c r="R88" s="8" t="inlineStr">
        <is>
          <t>Tier 1 (Standard) — available to all frameworks and all customers</t>
        </is>
      </c>
      <c r="S88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89" ht="15" customHeight="1" s="6">
      <c r="A89" s="8" t="inlineStr">
        <is>
          <t>CDE-L088</t>
        </is>
      </c>
      <c r="B89" s="8" t="inlineStr">
        <is>
          <t>Elevated-Risk Clause Mitigation Action Taken</t>
        </is>
      </c>
      <c r="C89" s="8" t="inlineStr">
        <is>
          <t>Boolean</t>
        </is>
      </c>
      <c r="D89" s="8" t="inlineStr">
        <is>
          <t>Supplemental</t>
        </is>
      </c>
      <c r="E89" s="8" t="inlineStr">
        <is>
          <t>Optional</t>
        </is>
      </c>
      <c r="F89" s="8" t="inlineStr">
        <is>
          <t>P3</t>
        </is>
      </c>
      <c r="G89" s="8" t="inlineStr">
        <is>
          <t>True/False/Unknown (tri-state)</t>
        </is>
      </c>
      <c r="H89" s="8" t="inlineStr">
        <is>
          <t>TYPE:BOOLEAN|ALLOWED:TRUE,FALSE,UNKNOWN</t>
        </is>
      </c>
      <c r="I89" s="8" t="inlineStr">
        <is>
          <t>Point-in-time</t>
        </is>
      </c>
      <c r="J89" s="8" t="inlineStr">
        <is>
          <t>One-to-one</t>
        </is>
      </c>
      <c r="K89" s="8" t="inlineStr">
        <is>
          <t>N/A — not a one-to-many numeric field</t>
        </is>
      </c>
      <c r="L89" s="8" t="inlineStr">
        <is>
          <t>User Validation</t>
        </is>
      </c>
      <c r="M89" s="8" t="inlineStr">
        <is>
          <t>CIL Architecture Team</t>
        </is>
      </c>
      <c r="N89" s="8" t="inlineStr">
        <is>
          <t>2026-06-28</t>
        </is>
      </c>
      <c r="O89" s="8" t="inlineStr">
        <is>
          <t>CorpStage CIL Registry v1.1</t>
        </is>
      </c>
      <c r="P89" s="8" t="inlineStr">
        <is>
          <t>Group only (single enterprise-wide fact, does not repeat per node)</t>
        </is>
      </c>
      <c r="Q89" s="8" t="inlineStr">
        <is>
          <t>Global</t>
        </is>
      </c>
      <c r="R89" s="8" t="inlineStr">
        <is>
          <t>Tier 1 (Standard) — available to all frameworks and all customers</t>
        </is>
      </c>
      <c r="S89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90" ht="15" customHeight="1" s="6">
      <c r="A90" s="8" t="inlineStr">
        <is>
          <t>CDE-L089</t>
        </is>
      </c>
      <c r="B90" s="8" t="inlineStr">
        <is>
          <t>Trademark Status (Registered/Pending/Opposed/Lapsed)</t>
        </is>
      </c>
      <c r="C90" s="8" t="inlineStr">
        <is>
          <t>Text</t>
        </is>
      </c>
      <c r="D90" s="8" t="inlineStr">
        <is>
          <t>Supplemental</t>
        </is>
      </c>
      <c r="E90" s="8" t="inlineStr">
        <is>
          <t>Optional</t>
        </is>
      </c>
      <c r="F90" s="8" t="inlineStr">
        <is>
          <t>P3</t>
        </is>
      </c>
      <c r="G90" s="8" t="inlineStr">
        <is>
          <t>Non-empty text</t>
        </is>
      </c>
      <c r="H90" s="8" t="inlineStr">
        <is>
          <t>TYPE:TEXT</t>
        </is>
      </c>
      <c r="I90" s="8" t="inlineStr">
        <is>
          <t>Point-in-time</t>
        </is>
      </c>
      <c r="J90" s="8" t="inlineStr">
        <is>
          <t>One-to-many</t>
        </is>
      </c>
      <c r="K90" s="8" t="inlineStr">
        <is>
          <t>N/A — not a one-to-many numeric field</t>
        </is>
      </c>
      <c r="L90" s="8" t="inlineStr">
        <is>
          <t>Regulatory Filings (SEC EDGAR, Companies House, National Business Registry)</t>
        </is>
      </c>
      <c r="M90" s="8" t="inlineStr">
        <is>
          <t>CIL Architecture Team</t>
        </is>
      </c>
      <c r="N90" s="8" t="inlineStr">
        <is>
          <t>2026-06-28</t>
        </is>
      </c>
      <c r="O90" s="8" t="inlineStr">
        <is>
          <t>CorpStage CIL Registry v1.1</t>
        </is>
      </c>
      <c r="P90" s="8" t="inlineStr">
        <is>
          <t>Company, Group (collected per legal entity, not below Company level)</t>
        </is>
      </c>
      <c r="Q90" s="8" t="inlineStr">
        <is>
          <t>Global</t>
        </is>
      </c>
      <c r="R90" s="8" t="inlineStr">
        <is>
          <t>Tier 1 (Standard) — available to all frameworks and all customers</t>
        </is>
      </c>
      <c r="S90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91" ht="15" customHeight="1" s="6">
      <c r="A91" s="8" t="inlineStr">
        <is>
          <t>CDE-L090</t>
        </is>
      </c>
      <c r="B91" s="8" t="inlineStr">
        <is>
          <t>Trade Secret Protection Measures Documented</t>
        </is>
      </c>
      <c r="C91" s="8" t="inlineStr">
        <is>
          <t>Boolean</t>
        </is>
      </c>
      <c r="D91" s="8" t="inlineStr">
        <is>
          <t>Supplemental</t>
        </is>
      </c>
      <c r="E91" s="8" t="inlineStr">
        <is>
          <t>Optional</t>
        </is>
      </c>
      <c r="F91" s="8" t="inlineStr">
        <is>
          <t>P3</t>
        </is>
      </c>
      <c r="G91" s="8" t="inlineStr">
        <is>
          <t>True/False/Unknown (tri-state)</t>
        </is>
      </c>
      <c r="H91" s="8" t="inlineStr">
        <is>
          <t>TYPE:BOOLEAN|ALLOWED:TRUE,FALSE,UNKNOWN</t>
        </is>
      </c>
      <c r="I91" s="8" t="inlineStr">
        <is>
          <t>Point-in-time</t>
        </is>
      </c>
      <c r="J91" s="8" t="inlineStr">
        <is>
          <t>One-to-one</t>
        </is>
      </c>
      <c r="K91" s="8" t="inlineStr">
        <is>
          <t>N/A — not a one-to-many numeric field</t>
        </is>
      </c>
      <c r="L91" s="8" t="inlineStr">
        <is>
          <t>User Validation</t>
        </is>
      </c>
      <c r="M91" s="8" t="inlineStr">
        <is>
          <t>CIL Architecture Team</t>
        </is>
      </c>
      <c r="N91" s="8" t="inlineStr">
        <is>
          <t>2026-06-28</t>
        </is>
      </c>
      <c r="O91" s="8" t="inlineStr">
        <is>
          <t>CorpStage CIL Registry v1.1</t>
        </is>
      </c>
      <c r="P91" s="8" t="inlineStr">
        <is>
          <t>Group only (single enterprise-wide fact, does not repeat per node)</t>
        </is>
      </c>
      <c r="Q91" s="8" t="inlineStr">
        <is>
          <t>Global</t>
        </is>
      </c>
      <c r="R91" s="8" t="inlineStr">
        <is>
          <t>Tier 1 (Standard) — available to all frameworks and all customers</t>
        </is>
      </c>
      <c r="S91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92" ht="15" customHeight="1" s="6">
      <c r="A92" s="8" t="inlineStr">
        <is>
          <t>CDE-L091</t>
        </is>
      </c>
      <c r="B92" s="8" t="inlineStr">
        <is>
          <t>IP Infringement Claim Resolution Status</t>
        </is>
      </c>
      <c r="C92" s="8" t="inlineStr">
        <is>
          <t>Text</t>
        </is>
      </c>
      <c r="D92" s="8" t="inlineStr">
        <is>
          <t>Supplemental</t>
        </is>
      </c>
      <c r="E92" s="8" t="inlineStr">
        <is>
          <t>Optional</t>
        </is>
      </c>
      <c r="F92" s="8" t="inlineStr">
        <is>
          <t>P3</t>
        </is>
      </c>
      <c r="G92" s="8" t="inlineStr">
        <is>
          <t>Non-empty text</t>
        </is>
      </c>
      <c r="H92" s="8" t="inlineStr">
        <is>
          <t>TYPE:TEXT</t>
        </is>
      </c>
      <c r="I92" s="8" t="inlineStr">
        <is>
          <t>Point-in-time</t>
        </is>
      </c>
      <c r="J92" s="8" t="inlineStr">
        <is>
          <t>One-to-many</t>
        </is>
      </c>
      <c r="K92" s="8" t="inlineStr">
        <is>
          <t>N/A — not a one-to-many numeric field</t>
        </is>
      </c>
      <c r="L92" s="8" t="inlineStr">
        <is>
          <t>User Validation</t>
        </is>
      </c>
      <c r="M92" s="8" t="inlineStr">
        <is>
          <t>CIL Architecture Team</t>
        </is>
      </c>
      <c r="N92" s="8" t="inlineStr">
        <is>
          <t>2026-06-28</t>
        </is>
      </c>
      <c r="O92" s="8" t="inlineStr">
        <is>
          <t>CorpStage CIL Registry v1.1</t>
        </is>
      </c>
      <c r="P92" s="8" t="inlineStr">
        <is>
          <t>Company, Group (collected per legal entity, not below Company level)</t>
        </is>
      </c>
      <c r="Q92" s="8" t="inlineStr">
        <is>
          <t>Global</t>
        </is>
      </c>
      <c r="R92" s="8" t="inlineStr">
        <is>
          <t>Tier 1 (Standard) — available to all frameworks and all customers</t>
        </is>
      </c>
      <c r="S92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93" ht="15" customHeight="1" s="6">
      <c r="A93" s="8" t="inlineStr">
        <is>
          <t>CDE-L092</t>
        </is>
      </c>
      <c r="B93" s="8" t="inlineStr">
        <is>
          <t>IP Licensing Agreement Exclusivity Status</t>
        </is>
      </c>
      <c r="C93" s="8" t="inlineStr">
        <is>
          <t>Text</t>
        </is>
      </c>
      <c r="D93" s="8" t="inlineStr">
        <is>
          <t>Supplemental</t>
        </is>
      </c>
      <c r="E93" s="8" t="inlineStr">
        <is>
          <t>Optional</t>
        </is>
      </c>
      <c r="F93" s="8" t="inlineStr">
        <is>
          <t>P3</t>
        </is>
      </c>
      <c r="G93" s="8" t="inlineStr">
        <is>
          <t>Exclusive/Non-Exclusive</t>
        </is>
      </c>
      <c r="H93" s="8" t="inlineStr">
        <is>
          <t>TYPE:ENUM|ALLOWED:EXCLUSIVE,NON_EXCLUSIVE</t>
        </is>
      </c>
      <c r="I93" s="8" t="inlineStr">
        <is>
          <t>Point-in-time</t>
        </is>
      </c>
      <c r="J93" s="8" t="inlineStr">
        <is>
          <t>One-to-many</t>
        </is>
      </c>
      <c r="K93" s="8" t="inlineStr">
        <is>
          <t>N/A — not a one-to-many numeric field</t>
        </is>
      </c>
      <c r="L93" s="8" t="inlineStr">
        <is>
          <t>User Validation</t>
        </is>
      </c>
      <c r="M93" s="8" t="inlineStr">
        <is>
          <t>CIL Architecture Team</t>
        </is>
      </c>
      <c r="N93" s="8" t="inlineStr">
        <is>
          <t>2026-06-28</t>
        </is>
      </c>
      <c r="O93" s="8" t="inlineStr">
        <is>
          <t>CorpStage CIL Registry v1.1</t>
        </is>
      </c>
      <c r="P93" s="8" t="inlineStr">
        <is>
          <t>Company, Group (collected per legal entity, not below Company level)</t>
        </is>
      </c>
      <c r="Q93" s="8" t="inlineStr">
        <is>
          <t>Global</t>
        </is>
      </c>
      <c r="R93" s="8" t="inlineStr">
        <is>
          <t>Tier 1 (Standard) — available to all frameworks and all customers</t>
        </is>
      </c>
      <c r="S93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94" ht="15" customHeight="1" s="6">
      <c r="A94" s="8" t="inlineStr">
        <is>
          <t>CDE-L093</t>
        </is>
      </c>
      <c r="B94" s="8" t="inlineStr">
        <is>
          <t>Group Structure Holding Company Identified</t>
        </is>
      </c>
      <c r="C94" s="8" t="inlineStr">
        <is>
          <t>Text</t>
        </is>
      </c>
      <c r="D94" s="8" t="inlineStr">
        <is>
          <t>Supplemental</t>
        </is>
      </c>
      <c r="E94" s="8" t="inlineStr">
        <is>
          <t>Optional</t>
        </is>
      </c>
      <c r="F94" s="8" t="inlineStr">
        <is>
          <t>P3</t>
        </is>
      </c>
      <c r="G94" s="8" t="inlineStr">
        <is>
          <t>Non-empty text</t>
        </is>
      </c>
      <c r="H94" s="8" t="inlineStr">
        <is>
          <t>TYPE:TEXT</t>
        </is>
      </c>
      <c r="I94" s="8" t="inlineStr">
        <is>
          <t>Point-in-time</t>
        </is>
      </c>
      <c r="J94" s="8" t="inlineStr">
        <is>
          <t>One-to-one</t>
        </is>
      </c>
      <c r="K94" s="8" t="inlineStr">
        <is>
          <t>N/A — not a one-to-many numeric field</t>
        </is>
      </c>
      <c r="L94" s="8" t="inlineStr">
        <is>
          <t>Annual Report / 10-K Filing (SEC EDGAR, Company IR Site)</t>
        </is>
      </c>
      <c r="M94" s="8" t="inlineStr">
        <is>
          <t>CIL Architecture Team</t>
        </is>
      </c>
      <c r="N94" s="8" t="inlineStr">
        <is>
          <t>2026-06-28</t>
        </is>
      </c>
      <c r="O94" s="8" t="inlineStr">
        <is>
          <t>CorpStage CIL Registry v1.1</t>
        </is>
      </c>
      <c r="P94" s="8" t="inlineStr">
        <is>
          <t>Group only (single enterprise-wide fact, does not repeat per node)</t>
        </is>
      </c>
      <c r="Q94" s="8" t="inlineStr">
        <is>
          <t>Global</t>
        </is>
      </c>
      <c r="R94" s="8" t="inlineStr">
        <is>
          <t>Tier 1 (Standard) — available to all frameworks and all customers</t>
        </is>
      </c>
      <c r="S94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95" ht="15" customHeight="1" s="6">
      <c r="A95" s="8" t="inlineStr">
        <is>
          <t>CDE-L094</t>
        </is>
      </c>
      <c r="B95" s="8" t="inlineStr">
        <is>
          <t>Board Resolution Backlog (Count Overdue)</t>
        </is>
      </c>
      <c r="C95" s="8" t="inlineStr">
        <is>
          <t>Numeric</t>
        </is>
      </c>
      <c r="D95" s="8" t="inlineStr">
        <is>
          <t>Supplemental</t>
        </is>
      </c>
      <c r="E95" s="8" t="inlineStr">
        <is>
          <t>Optional</t>
        </is>
      </c>
      <c r="F95" s="8" t="inlineStr">
        <is>
          <t>P3</t>
        </is>
      </c>
      <c r="G95" s="8" t="inlineStr">
        <is>
          <t>&gt;=0, integer</t>
        </is>
      </c>
      <c r="H95" s="8" t="inlineStr">
        <is>
          <t>TYPE:INTEGER|MIN:0</t>
        </is>
      </c>
      <c r="I95" s="8" t="inlineStr">
        <is>
          <t>Point-in-time</t>
        </is>
      </c>
      <c r="J95" s="8" t="inlineStr">
        <is>
          <t>One-to-one</t>
        </is>
      </c>
      <c r="K95" s="8" t="inlineStr">
        <is>
          <t>N/A — not a one-to-many numeric field</t>
        </is>
      </c>
      <c r="L95" s="8" t="inlineStr">
        <is>
          <t>User Validation</t>
        </is>
      </c>
      <c r="M95" s="8" t="inlineStr">
        <is>
          <t>CIL Architecture Team</t>
        </is>
      </c>
      <c r="N95" s="8" t="inlineStr">
        <is>
          <t>2026-06-28</t>
        </is>
      </c>
      <c r="O95" s="8" t="inlineStr">
        <is>
          <t>CorpStage CIL Registry v1.1</t>
        </is>
      </c>
      <c r="P95" s="8" t="inlineStr">
        <is>
          <t>Group only (single enterprise-wide fact, does not repeat per node)</t>
        </is>
      </c>
      <c r="Q95" s="8" t="inlineStr">
        <is>
          <t>Global</t>
        </is>
      </c>
      <c r="R95" s="8" t="inlineStr">
        <is>
          <t>Tier 1 (Standard) — available to all frameworks and all customers</t>
        </is>
      </c>
      <c r="S95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96" ht="15" customHeight="1" s="6">
      <c r="A96" s="8" t="inlineStr">
        <is>
          <t>CDE-L095</t>
        </is>
      </c>
      <c r="B96" s="8" t="inlineStr">
        <is>
          <t>Entity Rationalization Target Completion Date</t>
        </is>
      </c>
      <c r="C96" s="8" t="inlineStr">
        <is>
          <t>Date</t>
        </is>
      </c>
      <c r="D96" s="8" t="inlineStr">
        <is>
          <t>Supplemental</t>
        </is>
      </c>
      <c r="E96" s="8" t="inlineStr">
        <is>
          <t>Optional</t>
        </is>
      </c>
      <c r="F96" s="8" t="inlineStr">
        <is>
          <t>P3</t>
        </is>
      </c>
      <c r="G96" s="8" t="inlineStr">
        <is>
          <t>Valid date</t>
        </is>
      </c>
      <c r="H96" s="8" t="inlineStr">
        <is>
          <t>TYPE:DATE</t>
        </is>
      </c>
      <c r="I96" s="8" t="inlineStr">
        <is>
          <t>Point-in-time</t>
        </is>
      </c>
      <c r="J96" s="8" t="inlineStr">
        <is>
          <t>One-to-one</t>
        </is>
      </c>
      <c r="K96" s="8" t="inlineStr">
        <is>
          <t>N/A — not a one-to-many numeric field</t>
        </is>
      </c>
      <c r="L96" s="8" t="inlineStr">
        <is>
          <t>User Validation</t>
        </is>
      </c>
      <c r="M96" s="8" t="inlineStr">
        <is>
          <t>CIL Architecture Team</t>
        </is>
      </c>
      <c r="N96" s="8" t="inlineStr">
        <is>
          <t>2026-06-28</t>
        </is>
      </c>
      <c r="O96" s="8" t="inlineStr">
        <is>
          <t>CorpStage CIL Registry v1.1</t>
        </is>
      </c>
      <c r="P96" s="8" t="inlineStr">
        <is>
          <t>Group only (single enterprise-wide fact, does not repeat per node)</t>
        </is>
      </c>
      <c r="Q96" s="8" t="inlineStr">
        <is>
          <t>Global</t>
        </is>
      </c>
      <c r="R96" s="8" t="inlineStr">
        <is>
          <t>Tier 1 (Standard) — available to all frameworks and all customers</t>
        </is>
      </c>
      <c r="S96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97" ht="15" customHeight="1" s="6">
      <c r="A97" s="8" t="inlineStr">
        <is>
          <t>CDE-L096</t>
        </is>
      </c>
      <c r="B97" s="8" t="inlineStr">
        <is>
          <t>License Lapse Remediation Status</t>
        </is>
      </c>
      <c r="C97" s="8" t="inlineStr">
        <is>
          <t>Text</t>
        </is>
      </c>
      <c r="D97" s="8" t="inlineStr">
        <is>
          <t>Supplemental</t>
        </is>
      </c>
      <c r="E97" s="8" t="inlineStr">
        <is>
          <t>Optional</t>
        </is>
      </c>
      <c r="F97" s="8" t="inlineStr">
        <is>
          <t>P3</t>
        </is>
      </c>
      <c r="G97" s="8" t="inlineStr">
        <is>
          <t>Open/Remediated</t>
        </is>
      </c>
      <c r="H97" s="8" t="inlineStr">
        <is>
          <t>TYPE:ENUM|ALLOWED:OPEN,REMEDIATED</t>
        </is>
      </c>
      <c r="I97" s="8" t="inlineStr">
        <is>
          <t>Point-in-time</t>
        </is>
      </c>
      <c r="J97" s="8" t="inlineStr">
        <is>
          <t>One-to-many</t>
        </is>
      </c>
      <c r="K97" s="8" t="inlineStr">
        <is>
          <t>N/A — not a one-to-many numeric field</t>
        </is>
      </c>
      <c r="L97" s="8" t="inlineStr">
        <is>
          <t>User Validation</t>
        </is>
      </c>
      <c r="M97" s="8" t="inlineStr">
        <is>
          <t>CIL Architecture Team</t>
        </is>
      </c>
      <c r="N97" s="8" t="inlineStr">
        <is>
          <t>2026-06-28</t>
        </is>
      </c>
      <c r="O97" s="8" t="inlineStr">
        <is>
          <t>CorpStage CIL Registry v1.1</t>
        </is>
      </c>
      <c r="P97" s="8" t="inlineStr">
        <is>
          <t>Company, Group (collected per legal entity, not below Company level)</t>
        </is>
      </c>
      <c r="Q97" s="8" t="inlineStr">
        <is>
          <t>Global</t>
        </is>
      </c>
      <c r="R97" s="8" t="inlineStr">
        <is>
          <t>Tier 1 (Standard) — available to all frameworks and all customers</t>
        </is>
      </c>
      <c r="S97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98" ht="15" customHeight="1" s="6">
      <c r="A98" s="8" t="inlineStr">
        <is>
          <t>CDE-L097</t>
        </is>
      </c>
      <c r="B98" s="8" t="inlineStr">
        <is>
          <t>Outside Counsel Performance Review Process Exists</t>
        </is>
      </c>
      <c r="C98" s="8" t="inlineStr">
        <is>
          <t>Boolean</t>
        </is>
      </c>
      <c r="D98" s="8" t="inlineStr">
        <is>
          <t>Supplemental</t>
        </is>
      </c>
      <c r="E98" s="8" t="inlineStr">
        <is>
          <t>Optional</t>
        </is>
      </c>
      <c r="F98" s="8" t="inlineStr">
        <is>
          <t>P3</t>
        </is>
      </c>
      <c r="G98" s="8" t="inlineStr">
        <is>
          <t>True/False/Unknown (tri-state)</t>
        </is>
      </c>
      <c r="H98" s="8" t="inlineStr">
        <is>
          <t>TYPE:BOOLEAN|ALLOWED:TRUE,FALSE,UNKNOWN</t>
        </is>
      </c>
      <c r="I98" s="8" t="inlineStr">
        <is>
          <t>Point-in-time</t>
        </is>
      </c>
      <c r="J98" s="8" t="inlineStr">
        <is>
          <t>One-to-one</t>
        </is>
      </c>
      <c r="K98" s="8" t="inlineStr">
        <is>
          <t>N/A — not a one-to-many numeric field</t>
        </is>
      </c>
      <c r="L98" s="8" t="inlineStr">
        <is>
          <t>User Validation</t>
        </is>
      </c>
      <c r="M98" s="8" t="inlineStr">
        <is>
          <t>CIL Architecture Team</t>
        </is>
      </c>
      <c r="N98" s="8" t="inlineStr">
        <is>
          <t>2026-06-28</t>
        </is>
      </c>
      <c r="O98" s="8" t="inlineStr">
        <is>
          <t>CorpStage CIL Registry v1.1</t>
        </is>
      </c>
      <c r="P98" s="8" t="inlineStr">
        <is>
          <t>Group only (single enterprise-wide fact, does not repeat per node)</t>
        </is>
      </c>
      <c r="Q98" s="8" t="inlineStr">
        <is>
          <t>Global</t>
        </is>
      </c>
      <c r="R98" s="8" t="inlineStr">
        <is>
          <t>Tier 1 (Standard) — available to all frameworks and all customers</t>
        </is>
      </c>
      <c r="S98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99" ht="15" customHeight="1" s="6">
      <c r="A99" s="8" t="inlineStr">
        <is>
          <t>CDE-L098</t>
        </is>
      </c>
      <c r="B99" s="8" t="inlineStr">
        <is>
          <t>Legal Spend by Matter Type Breakdown</t>
        </is>
      </c>
      <c r="C99" s="8" t="inlineStr">
        <is>
          <t>Text</t>
        </is>
      </c>
      <c r="D99" s="8" t="inlineStr">
        <is>
          <t>Supplemental</t>
        </is>
      </c>
      <c r="E99" s="8" t="inlineStr">
        <is>
          <t>Optional</t>
        </is>
      </c>
      <c r="F99" s="8" t="inlineStr">
        <is>
          <t>P3</t>
        </is>
      </c>
      <c r="G99" s="8" t="inlineStr">
        <is>
          <t>Non-empty text</t>
        </is>
      </c>
      <c r="H99" s="8" t="inlineStr">
        <is>
          <t>TYPE:TEXT</t>
        </is>
      </c>
      <c r="I99" s="8" t="inlineStr">
        <is>
          <t>Point-in-time</t>
        </is>
      </c>
      <c r="J99" s="8" t="inlineStr">
        <is>
          <t>One-to-many</t>
        </is>
      </c>
      <c r="K99" s="8" t="inlineStr">
        <is>
          <t>N/A — not a one-to-many numeric field</t>
        </is>
      </c>
      <c r="L99" s="8" t="inlineStr">
        <is>
          <t>Finance / ERP System (SAP S/4HANA, Oracle Fusion, NetSuite)</t>
        </is>
      </c>
      <c r="M99" s="8" t="inlineStr">
        <is>
          <t>CIL Architecture Team</t>
        </is>
      </c>
      <c r="N99" s="8" t="inlineStr">
        <is>
          <t>2026-06-28</t>
        </is>
      </c>
      <c r="O99" s="8" t="inlineStr">
        <is>
          <t>CorpStage CIL Registry v1.1</t>
        </is>
      </c>
      <c r="P99" s="8" t="inlineStr">
        <is>
          <t>Company, Group (collected per legal entity, not below Company level)</t>
        </is>
      </c>
      <c r="Q99" s="8" t="inlineStr">
        <is>
          <t>Global</t>
        </is>
      </c>
      <c r="R99" s="8" t="inlineStr">
        <is>
          <t>Tier 1 (Standard) — available to all frameworks and all customers</t>
        </is>
      </c>
      <c r="S99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00" ht="15" customHeight="1" s="6">
      <c r="A100" s="8" t="inlineStr">
        <is>
          <t>CDE-L099</t>
        </is>
      </c>
      <c r="B100" s="8" t="inlineStr">
        <is>
          <t>Alternative Fee Arrangement Adoption % of Total Spend</t>
        </is>
      </c>
      <c r="C100" s="8" t="inlineStr">
        <is>
          <t>Numeric</t>
        </is>
      </c>
      <c r="D100" s="8" t="inlineStr">
        <is>
          <t>Supplemental</t>
        </is>
      </c>
      <c r="E100" s="8" t="inlineStr">
        <is>
          <t>Optional</t>
        </is>
      </c>
      <c r="F100" s="8" t="inlineStr">
        <is>
          <t>P3</t>
        </is>
      </c>
      <c r="G100" s="8" t="inlineStr">
        <is>
          <t>0-100, numeric</t>
        </is>
      </c>
      <c r="H100" s="8" t="inlineStr">
        <is>
          <t>TYPE:NUMERIC|MIN:0|MAX:100</t>
        </is>
      </c>
      <c r="I100" s="8" t="inlineStr">
        <is>
          <t>Point-in-time</t>
        </is>
      </c>
      <c r="J100" s="8" t="inlineStr">
        <is>
          <t>One-to-one</t>
        </is>
      </c>
      <c r="K100" s="8" t="inlineStr">
        <is>
          <t>N/A — not a one-to-many numeric field</t>
        </is>
      </c>
      <c r="L100" s="8" t="inlineStr">
        <is>
          <t>Finance / ERP System (SAP S/4HANA, Oracle Fusion, NetSuite)</t>
        </is>
      </c>
      <c r="M100" s="8" t="inlineStr">
        <is>
          <t>CIL Architecture Team</t>
        </is>
      </c>
      <c r="N100" s="8" t="inlineStr">
        <is>
          <t>2026-06-28</t>
        </is>
      </c>
      <c r="O100" s="8" t="inlineStr">
        <is>
          <t>CorpStage CIL Registry v1.1</t>
        </is>
      </c>
      <c r="P100" s="8" t="inlineStr">
        <is>
          <t>Group only (single enterprise-wide fact, does not repeat per node)</t>
        </is>
      </c>
      <c r="Q100" s="8" t="inlineStr">
        <is>
          <t>Global</t>
        </is>
      </c>
      <c r="R100" s="8" t="inlineStr">
        <is>
          <t>Tier 1 (Standard) — available to all frameworks and all customers</t>
        </is>
      </c>
      <c r="S100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01" ht="15" customHeight="1" s="6">
      <c r="A101" s="8" t="inlineStr">
        <is>
          <t>CDE-L100</t>
        </is>
      </c>
      <c r="B101" s="8" t="inlineStr">
        <is>
          <t>In-House Legal Function Budget (Current Period)</t>
        </is>
      </c>
      <c r="C101" s="8" t="inlineStr">
        <is>
          <t>Numeric</t>
        </is>
      </c>
      <c r="D101" s="8" t="inlineStr">
        <is>
          <t>Supplemental</t>
        </is>
      </c>
      <c r="E101" s="8" t="inlineStr">
        <is>
          <t>Optional</t>
        </is>
      </c>
      <c r="F101" s="8" t="inlineStr">
        <is>
          <t>P3</t>
        </is>
      </c>
      <c r="G101" s="8" t="inlineStr">
        <is>
          <t>&gt;=0, numeric</t>
        </is>
      </c>
      <c r="H101" s="8" t="inlineStr">
        <is>
          <t>TYPE:NUMERIC|MIN:0</t>
        </is>
      </c>
      <c r="I101" s="8" t="inlineStr">
        <is>
          <t>Effective-dated</t>
        </is>
      </c>
      <c r="J101" s="8" t="inlineStr">
        <is>
          <t>One-to-one</t>
        </is>
      </c>
      <c r="K101" s="8" t="inlineStr">
        <is>
          <t>N/A — not a one-to-many numeric field</t>
        </is>
      </c>
      <c r="L101" s="8" t="inlineStr">
        <is>
          <t>Finance / ERP System (SAP S/4HANA, Oracle Fusion, NetSuite)</t>
        </is>
      </c>
      <c r="M101" s="8" t="inlineStr">
        <is>
          <t>CIL Architecture Team</t>
        </is>
      </c>
      <c r="N101" s="8" t="inlineStr">
        <is>
          <t>2026-06-28</t>
        </is>
      </c>
      <c r="O101" s="8" t="inlineStr">
        <is>
          <t>CorpStage CIL Registry v1.1</t>
        </is>
      </c>
      <c r="P101" s="8" t="inlineStr">
        <is>
          <t>Group only (single enterprise-wide fact, does not repeat per node)</t>
        </is>
      </c>
      <c r="Q101" s="8" t="inlineStr">
        <is>
          <t>Global</t>
        </is>
      </c>
      <c r="R101" s="8" t="inlineStr">
        <is>
          <t>Tier 1 (Standard) — available to all frameworks and all customers</t>
        </is>
      </c>
      <c r="S101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02" ht="15" customHeight="1" s="6">
      <c r="A102" s="8" t="inlineStr">
        <is>
          <t>CDE-L101</t>
        </is>
      </c>
      <c r="B102" s="8" t="inlineStr">
        <is>
          <t>Emerging Legal Risk Likelihood Assessment Documented</t>
        </is>
      </c>
      <c r="C102" s="8" t="inlineStr">
        <is>
          <t>Boolean</t>
        </is>
      </c>
      <c r="D102" s="8" t="inlineStr">
        <is>
          <t>Supplemental</t>
        </is>
      </c>
      <c r="E102" s="8" t="inlineStr">
        <is>
          <t>Optional</t>
        </is>
      </c>
      <c r="F102" s="8" t="inlineStr">
        <is>
          <t>P3</t>
        </is>
      </c>
      <c r="G102" s="8" t="inlineStr">
        <is>
          <t>True/False/Unknown (tri-state)</t>
        </is>
      </c>
      <c r="H102" s="8" t="inlineStr">
        <is>
          <t>TYPE:BOOLEAN|ALLOWED:TRUE,FALSE,UNKNOWN</t>
        </is>
      </c>
      <c r="I102" s="8" t="inlineStr">
        <is>
          <t>Point-in-time</t>
        </is>
      </c>
      <c r="J102" s="8" t="inlineStr">
        <is>
          <t>One-to-one</t>
        </is>
      </c>
      <c r="K102" s="8" t="inlineStr">
        <is>
          <t>N/A — not a one-to-many numeric field</t>
        </is>
      </c>
      <c r="L102" s="8" t="inlineStr">
        <is>
          <t>User Validation</t>
        </is>
      </c>
      <c r="M102" s="8" t="inlineStr">
        <is>
          <t>CIL Architecture Team</t>
        </is>
      </c>
      <c r="N102" s="8" t="inlineStr">
        <is>
          <t>2026-06-28</t>
        </is>
      </c>
      <c r="O102" s="8" t="inlineStr">
        <is>
          <t>CorpStage CIL Registry v1.1</t>
        </is>
      </c>
      <c r="P102" s="8" t="inlineStr">
        <is>
          <t>Group only (single enterprise-wide fact, does not repeat per node)</t>
        </is>
      </c>
      <c r="Q102" s="8" t="inlineStr">
        <is>
          <t>Global</t>
        </is>
      </c>
      <c r="R102" s="8" t="inlineStr">
        <is>
          <t>Tier 1 (Standard) — available to all frameworks and all customers</t>
        </is>
      </c>
      <c r="S102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03" ht="15" customHeight="1" s="6">
      <c r="A103" s="8" t="inlineStr">
        <is>
          <t>CDE-L102</t>
        </is>
      </c>
      <c r="B103" s="8" t="inlineStr">
        <is>
          <t>Legal Risk Escalation Frequency to Board</t>
        </is>
      </c>
      <c r="C103" s="8" t="inlineStr">
        <is>
          <t>Text</t>
        </is>
      </c>
      <c r="D103" s="8" t="inlineStr">
        <is>
          <t>Supplemental</t>
        </is>
      </c>
      <c r="E103" s="8" t="inlineStr">
        <is>
          <t>Optional</t>
        </is>
      </c>
      <c r="F103" s="8" t="inlineStr">
        <is>
          <t>P3</t>
        </is>
      </c>
      <c r="G103" s="8" t="inlineStr">
        <is>
          <t>Quarterly/Semi-Annual/Annual/Ad-Hoc</t>
        </is>
      </c>
      <c r="H103" s="8" t="inlineStr">
        <is>
          <t>TYPE:ENUM|ALLOWED:QUARTERLY,SEMI_ANNUAL,ANNUAL,AD_HOC</t>
        </is>
      </c>
      <c r="I103" s="8" t="inlineStr">
        <is>
          <t>Point-in-time</t>
        </is>
      </c>
      <c r="J103" s="8" t="inlineStr">
        <is>
          <t>One-to-one</t>
        </is>
      </c>
      <c r="K103" s="8" t="inlineStr">
        <is>
          <t>N/A — not a one-to-many numeric field</t>
        </is>
      </c>
      <c r="L103" s="8" t="inlineStr">
        <is>
          <t>Board Portal / Governance Records (Diligent, BoardEffect)</t>
        </is>
      </c>
      <c r="M103" s="8" t="inlineStr">
        <is>
          <t>CIL Architecture Team</t>
        </is>
      </c>
      <c r="N103" s="8" t="inlineStr">
        <is>
          <t>2026-06-28</t>
        </is>
      </c>
      <c r="O103" s="8" t="inlineStr">
        <is>
          <t>CorpStage CIL Registry v1.1</t>
        </is>
      </c>
      <c r="P103" s="8" t="inlineStr">
        <is>
          <t>Group only (single enterprise-wide fact, does not repeat per node)</t>
        </is>
      </c>
      <c r="Q103" s="8" t="inlineStr">
        <is>
          <t>Global</t>
        </is>
      </c>
      <c r="R103" s="8" t="inlineStr">
        <is>
          <t>Tier 1 (Standard) — available to all frameworks and all customers</t>
        </is>
      </c>
      <c r="S103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04" ht="15" customHeight="1" s="6">
      <c r="A104" s="8" t="inlineStr">
        <is>
          <t>CDE-L103</t>
        </is>
      </c>
      <c r="B104" s="8" t="inlineStr">
        <is>
          <t>External Legal Opinion Cost (Current Period)</t>
        </is>
      </c>
      <c r="C104" s="8" t="inlineStr">
        <is>
          <t>Numeric</t>
        </is>
      </c>
      <c r="D104" s="8" t="inlineStr">
        <is>
          <t>Supplemental</t>
        </is>
      </c>
      <c r="E104" s="8" t="inlineStr">
        <is>
          <t>Optional</t>
        </is>
      </c>
      <c r="F104" s="8" t="inlineStr">
        <is>
          <t>P3</t>
        </is>
      </c>
      <c r="G104" s="8" t="inlineStr">
        <is>
          <t>&gt;=0, numeric</t>
        </is>
      </c>
      <c r="H104" s="8" t="inlineStr">
        <is>
          <t>TYPE:NUMERIC|MIN:0</t>
        </is>
      </c>
      <c r="I104" s="8" t="inlineStr">
        <is>
          <t>Effective-dated</t>
        </is>
      </c>
      <c r="J104" s="8" t="inlineStr">
        <is>
          <t>One-to-one</t>
        </is>
      </c>
      <c r="K104" s="8" t="inlineStr">
        <is>
          <t>N/A — not a one-to-many numeric field</t>
        </is>
      </c>
      <c r="L104" s="8" t="inlineStr">
        <is>
          <t>Finance / ERP System (SAP S/4HANA, Oracle Fusion, NetSuite)</t>
        </is>
      </c>
      <c r="M104" s="8" t="inlineStr">
        <is>
          <t>CIL Architecture Team</t>
        </is>
      </c>
      <c r="N104" s="8" t="inlineStr">
        <is>
          <t>2026-06-28</t>
        </is>
      </c>
      <c r="O104" s="8" t="inlineStr">
        <is>
          <t>CorpStage CIL Registry v1.1</t>
        </is>
      </c>
      <c r="P104" s="8" t="inlineStr">
        <is>
          <t>Group only (single enterprise-wide fact, does not repeat per node)</t>
        </is>
      </c>
      <c r="Q104" s="8" t="inlineStr">
        <is>
          <t>Global</t>
        </is>
      </c>
      <c r="R104" s="8" t="inlineStr">
        <is>
          <t>Tier 1 (Standard) — available to all frameworks and all customers</t>
        </is>
      </c>
      <c r="S104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05" ht="15" customHeight="1" s="6">
      <c r="A105" s="8" t="inlineStr">
        <is>
          <t>CDE-L104</t>
        </is>
      </c>
      <c r="B105" s="8" t="inlineStr">
        <is>
          <t>Employment Claim Resolution Outcome</t>
        </is>
      </c>
      <c r="C105" s="8" t="inlineStr">
        <is>
          <t>Text</t>
        </is>
      </c>
      <c r="D105" s="8" t="inlineStr">
        <is>
          <t>Supplemental</t>
        </is>
      </c>
      <c r="E105" s="8" t="inlineStr">
        <is>
          <t>Optional</t>
        </is>
      </c>
      <c r="F105" s="8" t="inlineStr">
        <is>
          <t>P3</t>
        </is>
      </c>
      <c r="G105" s="8" t="inlineStr">
        <is>
          <t>Non-empty text</t>
        </is>
      </c>
      <c r="H105" s="8" t="inlineStr">
        <is>
          <t>TYPE:TEXT</t>
        </is>
      </c>
      <c r="I105" s="8" t="inlineStr">
        <is>
          <t>Point-in-time</t>
        </is>
      </c>
      <c r="J105" s="8" t="inlineStr">
        <is>
          <t>One-to-many</t>
        </is>
      </c>
      <c r="K105" s="8" t="inlineStr">
        <is>
          <t>N/A — not a one-to-many numeric field</t>
        </is>
      </c>
      <c r="L105" s="8" t="inlineStr">
        <is>
          <t>User Validation</t>
        </is>
      </c>
      <c r="M105" s="8" t="inlineStr">
        <is>
          <t>CIL Architecture Team</t>
        </is>
      </c>
      <c r="N105" s="8" t="inlineStr">
        <is>
          <t>2026-06-28</t>
        </is>
      </c>
      <c r="O105" s="8" t="inlineStr">
        <is>
          <t>CorpStage CIL Registry v1.1</t>
        </is>
      </c>
      <c r="P105" s="8" t="inlineStr">
        <is>
          <t>Company, Group (collected per legal entity, not below Company level)</t>
        </is>
      </c>
      <c r="Q105" s="8" t="inlineStr">
        <is>
          <t>Global</t>
        </is>
      </c>
      <c r="R105" s="8" t="inlineStr">
        <is>
          <t>Tier 1 (Standard) — available to all frameworks and all customers</t>
        </is>
      </c>
      <c r="S105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06" ht="15" customHeight="1" s="6">
      <c r="A106" s="8" t="inlineStr">
        <is>
          <t>CDE-L105</t>
        </is>
      </c>
      <c r="B106" s="8" t="inlineStr">
        <is>
          <t>Labor Dispute Mediation/Arbitration Used</t>
        </is>
      </c>
      <c r="C106" s="8" t="inlineStr">
        <is>
          <t>Boolean</t>
        </is>
      </c>
      <c r="D106" s="8" t="inlineStr">
        <is>
          <t>Supplemental</t>
        </is>
      </c>
      <c r="E106" s="8" t="inlineStr">
        <is>
          <t>Optional</t>
        </is>
      </c>
      <c r="F106" s="8" t="inlineStr">
        <is>
          <t>P3</t>
        </is>
      </c>
      <c r="G106" s="8" t="inlineStr">
        <is>
          <t>True/False/Unknown (tri-state)</t>
        </is>
      </c>
      <c r="H106" s="8" t="inlineStr">
        <is>
          <t>TYPE:BOOLEAN|ALLOWED:TRUE,FALSE,UNKNOWN</t>
        </is>
      </c>
      <c r="I106" s="8" t="inlineStr">
        <is>
          <t>Point-in-time</t>
        </is>
      </c>
      <c r="J106" s="8" t="inlineStr">
        <is>
          <t>One-to-one</t>
        </is>
      </c>
      <c r="K106" s="8" t="inlineStr">
        <is>
          <t>N/A — not a one-to-many numeric field</t>
        </is>
      </c>
      <c r="L106" s="8" t="inlineStr">
        <is>
          <t>User Validation</t>
        </is>
      </c>
      <c r="M106" s="8" t="inlineStr">
        <is>
          <t>CIL Architecture Team</t>
        </is>
      </c>
      <c r="N106" s="8" t="inlineStr">
        <is>
          <t>2026-06-28</t>
        </is>
      </c>
      <c r="O106" s="8" t="inlineStr">
        <is>
          <t>CorpStage CIL Registry v1.1</t>
        </is>
      </c>
      <c r="P106" s="8" t="inlineStr">
        <is>
          <t>Group only (single enterprise-wide fact, does not repeat per node)</t>
        </is>
      </c>
      <c r="Q106" s="8" t="inlineStr">
        <is>
          <t>Global</t>
        </is>
      </c>
      <c r="R106" s="8" t="inlineStr">
        <is>
          <t>Tier 1 (Standard) — available to all frameworks and all customers</t>
        </is>
      </c>
      <c r="S106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07" ht="15" customHeight="1" s="6">
      <c r="A107" s="8" t="inlineStr">
        <is>
          <t>CDE-L106</t>
        </is>
      </c>
      <c r="B107" s="8" t="inlineStr">
        <is>
          <t>Restrictive Covenant Enforceability Jurisdiction Risk Noted</t>
        </is>
      </c>
      <c r="C107" s="8" t="inlineStr">
        <is>
          <t>Boolean</t>
        </is>
      </c>
      <c r="D107" s="8" t="inlineStr">
        <is>
          <t>Supplemental</t>
        </is>
      </c>
      <c r="E107" s="8" t="inlineStr">
        <is>
          <t>Optional</t>
        </is>
      </c>
      <c r="F107" s="8" t="inlineStr">
        <is>
          <t>P3</t>
        </is>
      </c>
      <c r="G107" s="8" t="inlineStr">
        <is>
          <t>True/False/Unknown (tri-state)</t>
        </is>
      </c>
      <c r="H107" s="8" t="inlineStr">
        <is>
          <t>TYPE:BOOLEAN|ALLOWED:TRUE,FALSE,UNKNOWN</t>
        </is>
      </c>
      <c r="I107" s="8" t="inlineStr">
        <is>
          <t>Point-in-time</t>
        </is>
      </c>
      <c r="J107" s="8" t="inlineStr">
        <is>
          <t>One-to-one</t>
        </is>
      </c>
      <c r="K107" s="8" t="inlineStr">
        <is>
          <t>N/A — not a one-to-many numeric field</t>
        </is>
      </c>
      <c r="L107" s="8" t="inlineStr">
        <is>
          <t>User Validation</t>
        </is>
      </c>
      <c r="M107" s="8" t="inlineStr">
        <is>
          <t>CIL Architecture Team</t>
        </is>
      </c>
      <c r="N107" s="8" t="inlineStr">
        <is>
          <t>2026-06-28</t>
        </is>
      </c>
      <c r="O107" s="8" t="inlineStr">
        <is>
          <t>CorpStage CIL Registry v1.1</t>
        </is>
      </c>
      <c r="P107" s="8" t="inlineStr">
        <is>
          <t>Group only (single enterprise-wide fact, does not repeat per node)</t>
        </is>
      </c>
      <c r="Q107" s="8" t="inlineStr">
        <is>
          <t>Global</t>
        </is>
      </c>
      <c r="R107" s="8" t="inlineStr">
        <is>
          <t>Tier 1 (Standard) — available to all frameworks and all customers</t>
        </is>
      </c>
      <c r="S107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08" ht="15" customHeight="1" s="6">
      <c r="A108" s="8" t="inlineStr">
        <is>
          <t>CDE-L107</t>
        </is>
      </c>
      <c r="B108" s="8" t="inlineStr">
        <is>
          <t>Real Estate Lease Renewal Option Documented</t>
        </is>
      </c>
      <c r="C108" s="8" t="inlineStr">
        <is>
          <t>Boolean</t>
        </is>
      </c>
      <c r="D108" s="8" t="inlineStr">
        <is>
          <t>Supplemental</t>
        </is>
      </c>
      <c r="E108" s="8" t="inlineStr">
        <is>
          <t>Optional</t>
        </is>
      </c>
      <c r="F108" s="8" t="inlineStr">
        <is>
          <t>P3</t>
        </is>
      </c>
      <c r="G108" s="8" t="inlineStr">
        <is>
          <t>True/False/Unknown (tri-state)</t>
        </is>
      </c>
      <c r="H108" s="8" t="inlineStr">
        <is>
          <t>TYPE:BOOLEAN|ALLOWED:TRUE,FALSE,UNKNOWN</t>
        </is>
      </c>
      <c r="I108" s="8" t="inlineStr">
        <is>
          <t>Point-in-time</t>
        </is>
      </c>
      <c r="J108" s="8" t="inlineStr">
        <is>
          <t>One-to-many</t>
        </is>
      </c>
      <c r="K108" s="8" t="inlineStr">
        <is>
          <t>N/A — not a one-to-many numeric field</t>
        </is>
      </c>
      <c r="L108" s="8" t="inlineStr">
        <is>
          <t>User Validation</t>
        </is>
      </c>
      <c r="M108" s="8" t="inlineStr">
        <is>
          <t>CIL Architecture Team</t>
        </is>
      </c>
      <c r="N108" s="8" t="inlineStr">
        <is>
          <t>2026-06-28</t>
        </is>
      </c>
      <c r="O108" s="8" t="inlineStr">
        <is>
          <t>CorpStage CIL Registry v1.1</t>
        </is>
      </c>
      <c r="P108" s="8" t="inlineStr">
        <is>
          <t>Company, Group (collected per legal entity, not below Company level)</t>
        </is>
      </c>
      <c r="Q108" s="8" t="inlineStr">
        <is>
          <t>Global</t>
        </is>
      </c>
      <c r="R108" s="8" t="inlineStr">
        <is>
          <t>Tier 1 (Standard) — available to all frameworks and all customers</t>
        </is>
      </c>
      <c r="S108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09" ht="15" customHeight="1" s="6">
      <c r="A109" s="8" t="inlineStr">
        <is>
          <t>CDE-L108</t>
        </is>
      </c>
      <c r="B109" s="8" t="inlineStr">
        <is>
          <t>Real Estate Dispute Resolution Status</t>
        </is>
      </c>
      <c r="C109" s="8" t="inlineStr">
        <is>
          <t>Text</t>
        </is>
      </c>
      <c r="D109" s="8" t="inlineStr">
        <is>
          <t>Supplemental</t>
        </is>
      </c>
      <c r="E109" s="8" t="inlineStr">
        <is>
          <t>Optional</t>
        </is>
      </c>
      <c r="F109" s="8" t="inlineStr">
        <is>
          <t>P3</t>
        </is>
      </c>
      <c r="G109" s="8" t="inlineStr">
        <is>
          <t>Non-empty text</t>
        </is>
      </c>
      <c r="H109" s="8" t="inlineStr">
        <is>
          <t>TYPE:TEXT</t>
        </is>
      </c>
      <c r="I109" s="8" t="inlineStr">
        <is>
          <t>Point-in-time</t>
        </is>
      </c>
      <c r="J109" s="8" t="inlineStr">
        <is>
          <t>One-to-many</t>
        </is>
      </c>
      <c r="K109" s="8" t="inlineStr">
        <is>
          <t>N/A — not a one-to-many numeric field</t>
        </is>
      </c>
      <c r="L109" s="8" t="inlineStr">
        <is>
          <t>User Validation</t>
        </is>
      </c>
      <c r="M109" s="8" t="inlineStr">
        <is>
          <t>CIL Architecture Team</t>
        </is>
      </c>
      <c r="N109" s="8" t="inlineStr">
        <is>
          <t>2026-06-28</t>
        </is>
      </c>
      <c r="O109" s="8" t="inlineStr">
        <is>
          <t>CorpStage CIL Registry v1.1</t>
        </is>
      </c>
      <c r="P109" s="8" t="inlineStr">
        <is>
          <t>Company, Group (collected per legal entity, not below Company level)</t>
        </is>
      </c>
      <c r="Q109" s="8" t="inlineStr">
        <is>
          <t>Global</t>
        </is>
      </c>
      <c r="R109" s="8" t="inlineStr">
        <is>
          <t>Tier 1 (Standard) — available to all frameworks and all customers</t>
        </is>
      </c>
      <c r="S109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10" ht="15" customHeight="1" s="6">
      <c r="A110" s="8" t="inlineStr">
        <is>
          <t>CDE-L109</t>
        </is>
      </c>
      <c r="B110" s="8" t="inlineStr">
        <is>
          <t>Environmental/Zoning Remediation Cost Estimate</t>
        </is>
      </c>
      <c r="C110" s="8" t="inlineStr">
        <is>
          <t>Numeric</t>
        </is>
      </c>
      <c r="D110" s="8" t="inlineStr">
        <is>
          <t>Supplemental</t>
        </is>
      </c>
      <c r="E110" s="8" t="inlineStr">
        <is>
          <t>Optional</t>
        </is>
      </c>
      <c r="F110" s="8" t="inlineStr">
        <is>
          <t>P3</t>
        </is>
      </c>
      <c r="G110" s="8" t="inlineStr">
        <is>
          <t>&gt;=0, numeric</t>
        </is>
      </c>
      <c r="H110" s="8" t="inlineStr">
        <is>
          <t>TYPE:NUMERIC|MIN:0</t>
        </is>
      </c>
      <c r="I110" s="8" t="inlineStr">
        <is>
          <t>Point-in-time</t>
        </is>
      </c>
      <c r="J110" s="8" t="inlineStr">
        <is>
          <t>One-to-many</t>
        </is>
      </c>
      <c r="K110" s="8" t="inlineStr">
        <is>
          <t>Independent per site; not aggregated unless reporting total remediation exposure</t>
        </is>
      </c>
      <c r="L110" s="8" t="inlineStr">
        <is>
          <t>Finance / ERP System (SAP S/4HANA, Oracle Fusion, NetSuite)</t>
        </is>
      </c>
      <c r="M110" s="8" t="inlineStr">
        <is>
          <t>CIL Architecture Team</t>
        </is>
      </c>
      <c r="N110" s="8" t="inlineStr">
        <is>
          <t>2026-06-28</t>
        </is>
      </c>
      <c r="O110" s="8" t="inlineStr">
        <is>
          <t>CorpStage CIL Registry v1.1</t>
        </is>
      </c>
      <c r="P110" s="8" t="inlineStr">
        <is>
          <t>Company, Group (collected per legal entity, not below Company level)</t>
        </is>
      </c>
      <c r="Q110" s="8" t="inlineStr">
        <is>
          <t>Global</t>
        </is>
      </c>
      <c r="R110" s="8" t="inlineStr">
        <is>
          <t>Tier 1 (Standard) — available to all frameworks and all customers</t>
        </is>
      </c>
      <c r="S110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11" ht="15" customHeight="1" s="6">
      <c r="A111" s="8" t="inlineStr">
        <is>
          <t>CDE-L110</t>
        </is>
      </c>
      <c r="B111" s="8" t="inlineStr">
        <is>
          <t>Legal Hold Release Date (Once Resolved)</t>
        </is>
      </c>
      <c r="C111" s="8" t="inlineStr">
        <is>
          <t>Date</t>
        </is>
      </c>
      <c r="D111" s="8" t="inlineStr">
        <is>
          <t>Supplemental</t>
        </is>
      </c>
      <c r="E111" s="8" t="inlineStr">
        <is>
          <t>Optional</t>
        </is>
      </c>
      <c r="F111" s="8" t="inlineStr">
        <is>
          <t>P3</t>
        </is>
      </c>
      <c r="G111" s="8" t="inlineStr">
        <is>
          <t>Valid date</t>
        </is>
      </c>
      <c r="H111" s="8" t="inlineStr">
        <is>
          <t>TYPE:DATE</t>
        </is>
      </c>
      <c r="I111" s="8" t="inlineStr">
        <is>
          <t>Point-in-time</t>
        </is>
      </c>
      <c r="J111" s="8" t="inlineStr">
        <is>
          <t>One-to-many</t>
        </is>
      </c>
      <c r="K111" s="8" t="inlineStr">
        <is>
          <t>N/A — not a one-to-many numeric field</t>
        </is>
      </c>
      <c r="L111" s="8" t="inlineStr">
        <is>
          <t>User Validation</t>
        </is>
      </c>
      <c r="M111" s="8" t="inlineStr">
        <is>
          <t>CIL Architecture Team</t>
        </is>
      </c>
      <c r="N111" s="8" t="inlineStr">
        <is>
          <t>2026-06-28</t>
        </is>
      </c>
      <c r="O111" s="8" t="inlineStr">
        <is>
          <t>CorpStage CIL Registry v1.1</t>
        </is>
      </c>
      <c r="P111" s="8" t="inlineStr">
        <is>
          <t>Company, Group (collected per legal entity, not below Company level)</t>
        </is>
      </c>
      <c r="Q111" s="8" t="inlineStr">
        <is>
          <t>Global</t>
        </is>
      </c>
      <c r="R111" s="8" t="inlineStr">
        <is>
          <t>Tier 1 (Standard) — available to all frameworks and all customers</t>
        </is>
      </c>
      <c r="S111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12" ht="15" customHeight="1" s="6">
      <c r="A112" s="8" t="inlineStr">
        <is>
          <t>CDE-L111</t>
        </is>
      </c>
      <c r="B112" s="8" t="inlineStr">
        <is>
          <t>Retention Schedule Last Reviewed Date</t>
        </is>
      </c>
      <c r="C112" s="8" t="inlineStr">
        <is>
          <t>Date</t>
        </is>
      </c>
      <c r="D112" s="8" t="inlineStr">
        <is>
          <t>Supplemental</t>
        </is>
      </c>
      <c r="E112" s="8" t="inlineStr">
        <is>
          <t>Optional</t>
        </is>
      </c>
      <c r="F112" s="8" t="inlineStr">
        <is>
          <t>P3</t>
        </is>
      </c>
      <c r="G112" s="8" t="inlineStr">
        <is>
          <t>Valid date</t>
        </is>
      </c>
      <c r="H112" s="8" t="inlineStr">
        <is>
          <t>TYPE:DATE</t>
        </is>
      </c>
      <c r="I112" s="8" t="inlineStr">
        <is>
          <t>Point-in-time</t>
        </is>
      </c>
      <c r="J112" s="8" t="inlineStr">
        <is>
          <t>One-to-one</t>
        </is>
      </c>
      <c r="K112" s="8" t="inlineStr">
        <is>
          <t>N/A — not a one-to-many numeric field</t>
        </is>
      </c>
      <c r="L112" s="8" t="inlineStr">
        <is>
          <t>User Validation</t>
        </is>
      </c>
      <c r="M112" s="8" t="inlineStr">
        <is>
          <t>CIL Architecture Team</t>
        </is>
      </c>
      <c r="N112" s="8" t="inlineStr">
        <is>
          <t>2026-06-28</t>
        </is>
      </c>
      <c r="O112" s="8" t="inlineStr">
        <is>
          <t>CorpStage CIL Registry v1.1</t>
        </is>
      </c>
      <c r="P112" s="8" t="inlineStr">
        <is>
          <t>Group only (single enterprise-wide fact, does not repeat per node)</t>
        </is>
      </c>
      <c r="Q112" s="8" t="inlineStr">
        <is>
          <t>Global</t>
        </is>
      </c>
      <c r="R112" s="8" t="inlineStr">
        <is>
          <t>Tier 1 (Standard) — available to all frameworks and all customers</t>
        </is>
      </c>
      <c r="S112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13" ht="15" customHeight="1" s="6">
      <c r="A113" s="8" t="inlineStr">
        <is>
          <t>CDE-L112</t>
        </is>
      </c>
      <c r="B113" s="8" t="inlineStr">
        <is>
          <t>Legal Hold Non-Compliance Incident Identified</t>
        </is>
      </c>
      <c r="C113" s="8" t="inlineStr">
        <is>
          <t>Boolean</t>
        </is>
      </c>
      <c r="D113" s="8" t="inlineStr">
        <is>
          <t>Supplemental</t>
        </is>
      </c>
      <c r="E113" s="8" t="inlineStr">
        <is>
          <t>Optional</t>
        </is>
      </c>
      <c r="F113" s="8" t="inlineStr">
        <is>
          <t>P3</t>
        </is>
      </c>
      <c r="G113" s="8" t="inlineStr">
        <is>
          <t>True/False/Unknown (tri-state)</t>
        </is>
      </c>
      <c r="H113" s="8" t="inlineStr">
        <is>
          <t>TYPE:BOOLEAN|ALLOWED:TRUE,FALSE,UNKNOWN</t>
        </is>
      </c>
      <c r="I113" s="8" t="inlineStr">
        <is>
          <t>Point-in-time</t>
        </is>
      </c>
      <c r="J113" s="8" t="inlineStr">
        <is>
          <t>One-to-one</t>
        </is>
      </c>
      <c r="K113" s="8" t="inlineStr">
        <is>
          <t>N/A — not a one-to-many numeric field</t>
        </is>
      </c>
      <c r="L113" s="8" t="inlineStr">
        <is>
          <t>User Validation</t>
        </is>
      </c>
      <c r="M113" s="8" t="inlineStr">
        <is>
          <t>CIL Architecture Team</t>
        </is>
      </c>
      <c r="N113" s="8" t="inlineStr">
        <is>
          <t>2026-06-28</t>
        </is>
      </c>
      <c r="O113" s="8" t="inlineStr">
        <is>
          <t>CorpStage CIL Registry v1.1</t>
        </is>
      </c>
      <c r="P113" s="8" t="inlineStr">
        <is>
          <t>Group only (single enterprise-wide fact, does not repeat per node)</t>
        </is>
      </c>
      <c r="Q113" s="8" t="inlineStr">
        <is>
          <t>Global</t>
        </is>
      </c>
      <c r="R113" s="8" t="inlineStr">
        <is>
          <t>Tier 1 (Standard) — available to all frameworks and all customers</t>
        </is>
      </c>
      <c r="S113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14" ht="15" customHeight="1" s="6">
      <c r="A114" s="8" t="inlineStr">
        <is>
          <t>CDE-L113</t>
        </is>
      </c>
      <c r="B114" s="8" t="inlineStr">
        <is>
          <t>Fee Arrangement Renegotiation Conducted (Current Period)</t>
        </is>
      </c>
      <c r="C114" s="8" t="inlineStr">
        <is>
          <t>Boolean</t>
        </is>
      </c>
      <c r="D114" s="8" t="inlineStr">
        <is>
          <t>Supplemental</t>
        </is>
      </c>
      <c r="E114" s="8" t="inlineStr">
        <is>
          <t>Optional</t>
        </is>
      </c>
      <c r="F114" s="8" t="inlineStr">
        <is>
          <t>P3</t>
        </is>
      </c>
      <c r="G114" s="8" t="inlineStr">
        <is>
          <t>True/False/Unknown (tri-state)</t>
        </is>
      </c>
      <c r="H114" s="8" t="inlineStr">
        <is>
          <t>TYPE:BOOLEAN|ALLOWED:TRUE,FALSE,UNKNOWN</t>
        </is>
      </c>
      <c r="I114" s="8" t="inlineStr">
        <is>
          <t>Point-in-time</t>
        </is>
      </c>
      <c r="J114" s="8" t="inlineStr">
        <is>
          <t>One-to-one</t>
        </is>
      </c>
      <c r="K114" s="8" t="inlineStr">
        <is>
          <t>N/A — not a one-to-many numeric field</t>
        </is>
      </c>
      <c r="L114" s="8" t="inlineStr">
        <is>
          <t>User Validation</t>
        </is>
      </c>
      <c r="M114" s="8" t="inlineStr">
        <is>
          <t>CIL Architecture Team</t>
        </is>
      </c>
      <c r="N114" s="8" t="inlineStr">
        <is>
          <t>2026-06-28</t>
        </is>
      </c>
      <c r="O114" s="8" t="inlineStr">
        <is>
          <t>CorpStage CIL Registry v1.1</t>
        </is>
      </c>
      <c r="P114" s="8" t="inlineStr">
        <is>
          <t>Group only (single enterprise-wide fact, does not repeat per node)</t>
        </is>
      </c>
      <c r="Q114" s="8" t="inlineStr">
        <is>
          <t>Global</t>
        </is>
      </c>
      <c r="R114" s="8" t="inlineStr">
        <is>
          <t>Tier 1 (Standard) — available to all frameworks and all customers</t>
        </is>
      </c>
      <c r="S114" s="8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15" ht="15" customHeight="1" s="6">
      <c r="A115" s="8" t="inlineStr">
        <is>
          <t>CDE-L114</t>
        </is>
      </c>
      <c r="B115" s="8" t="inlineStr">
        <is>
          <t>Litigation Matter Meets SEC Item 103 Materiality Threshold (10% Current Assets / $300K-$1M Sanctions Test)</t>
        </is>
      </c>
      <c r="C115" s="8" t="inlineStr">
        <is>
          <t>Boolean</t>
        </is>
      </c>
      <c r="D115" s="8" t="inlineStr">
        <is>
          <t>Recommended</t>
        </is>
      </c>
      <c r="E115" s="8" t="inlineStr">
        <is>
          <t>Framework Specific</t>
        </is>
      </c>
      <c r="F115" s="8" t="inlineStr">
        <is>
          <t>P2</t>
        </is>
      </c>
      <c r="G115" s="8" t="inlineStr">
        <is>
          <t>True/False/Unknown (tri-state)</t>
        </is>
      </c>
      <c r="H115" s="8" t="inlineStr">
        <is>
          <t>TYPE:BOOLEAN|ALLOWED:TRUE,FALSE,UNKNOWN</t>
        </is>
      </c>
      <c r="I115" s="8" t="inlineStr">
        <is>
          <t>Effective-dated</t>
        </is>
      </c>
      <c r="J115" s="8" t="inlineStr">
        <is>
          <t>One-to-many</t>
        </is>
      </c>
      <c r="K115" s="8" t="inlineStr">
        <is>
          <t>N/A — not a one-to-many numeric field</t>
        </is>
      </c>
      <c r="L115" s="8" t="inlineStr">
        <is>
          <t>Regulatory Filings (SEC EDGAR, Companies House, National Business Registry)</t>
        </is>
      </c>
      <c r="M115" s="8" t="inlineStr">
        <is>
          <t>CIL Architecture Team</t>
        </is>
      </c>
      <c r="N115" s="8" t="inlineStr">
        <is>
          <t>2026-06-28</t>
        </is>
      </c>
      <c r="O115" s="8" t="inlineStr">
        <is>
          <t>CorpStage CIL Registry v1.2</t>
        </is>
      </c>
      <c r="P115" s="8" t="inlineStr">
        <is>
          <t>Company, Group (collected per legal entity, not below Company level)</t>
        </is>
      </c>
      <c r="Q115" s="8" t="inlineStr">
        <is>
          <t>Global</t>
        </is>
      </c>
      <c r="R115" s="8" t="inlineStr">
        <is>
          <t>Tier 1 (Standard) — available to all frameworks and all customers</t>
        </is>
      </c>
      <c r="S115" s="8" t="inlineStr">
        <is>
          <t>SEC Regulation S-K, Item 103(b)(2) (verified via primary 17 CFR § 229.103 source text): a proceeding is material if it exceeds 10% of current assets on a consolidated basis (damages claims), or a separate $300,000/$1M threshold for governmental-authority monetary sanctions.</t>
        </is>
      </c>
    </row>
    <row r="116" ht="15" customHeight="1" s="6">
      <c r="A116" s="5" t="inlineStr">
        <is>
          <t>CDE-L115</t>
        </is>
      </c>
      <c r="B116" s="5" t="inlineStr">
        <is>
          <t>Litigation Defense/General Liability Insurance Coverage Exists</t>
        </is>
      </c>
      <c r="C116" s="5" t="inlineStr">
        <is>
          <t>Boolean</t>
        </is>
      </c>
      <c r="D116" s="5" t="inlineStr">
        <is>
          <t>Recommended</t>
        </is>
      </c>
      <c r="E116" s="5" t="inlineStr">
        <is>
          <t>Optional</t>
        </is>
      </c>
      <c r="F116" s="5" t="inlineStr">
        <is>
          <t>P2</t>
        </is>
      </c>
      <c r="G116" s="5" t="inlineStr">
        <is>
          <t>True/False</t>
        </is>
      </c>
      <c r="H116" s="5" t="inlineStr">
        <is>
          <t>TYPE:BOOLEAN|ALLOWED:TRUE,FALSE</t>
        </is>
      </c>
      <c r="I116" s="5" t="inlineStr">
        <is>
          <t>Effective-dated</t>
        </is>
      </c>
      <c r="J116" s="5" t="inlineStr">
        <is>
          <t>One-to-one</t>
        </is>
      </c>
      <c r="K116" s="5" t="inlineStr">
        <is>
          <t>N/A — not a one-to-many numeric field</t>
        </is>
      </c>
      <c r="L116" s="5" t="inlineStr">
        <is>
          <t>Annual Report / 10-K Filing (SEC EDGAR, Company IR Site)</t>
        </is>
      </c>
      <c r="M116" s="5" t="inlineStr">
        <is>
          <t>CIL Architecture Team</t>
        </is>
      </c>
      <c r="N116" s="5" t="inlineStr">
        <is>
          <t>2026-06-28</t>
        </is>
      </c>
      <c r="O116" s="5" t="inlineStr">
        <is>
          <t>CorpStage CIL Registry v1.3</t>
        </is>
      </c>
      <c r="P116" s="5" t="inlineStr">
        <is>
          <t>Group only (single enterprise-wide fact, does not repeat per node)</t>
        </is>
      </c>
      <c r="Q116" s="5" t="inlineStr">
        <is>
          <t>Global</t>
        </is>
      </c>
      <c r="R116" s="5" t="inlineStr">
        <is>
          <t>Tier 1 (Standard) — available to all frameworks and all customers</t>
        </is>
      </c>
      <c r="S116" s="5" t="inlineStr">
        <is>
          <t>Distinct from Domain 5 Governance Intelligence's CDE-G119/120 (Director and Officer Liability Insurance Coverage Exists/Amount), which covers D&amp;O-specific coverage protecting individual directors/officers. This CDE captures general litigation/commercial general liability insurance protecting the enterprise itself.</t>
        </is>
      </c>
    </row>
    <row r="117" ht="15" customHeight="1" s="6">
      <c r="A117" s="5" t="inlineStr">
        <is>
          <t>CDE-L116</t>
        </is>
      </c>
      <c r="B117" s="5" t="inlineStr">
        <is>
          <t>Privilege Log/Attorney-Client Privilege Assertion Tracking Process Documented</t>
        </is>
      </c>
      <c r="C117" s="5" t="inlineStr">
        <is>
          <t>Boolean</t>
        </is>
      </c>
      <c r="D117" s="5" t="inlineStr">
        <is>
          <t>Recommended</t>
        </is>
      </c>
      <c r="E117" s="5" t="inlineStr">
        <is>
          <t>Optional</t>
        </is>
      </c>
      <c r="F117" s="5" t="inlineStr">
        <is>
          <t>P2</t>
        </is>
      </c>
      <c r="G117" s="5" t="inlineStr">
        <is>
          <t>True/False</t>
        </is>
      </c>
      <c r="H117" s="5" t="inlineStr">
        <is>
          <t>TYPE:BOOLEAN|ALLOWED:TRUE,FALSE</t>
        </is>
      </c>
      <c r="I117" s="5" t="inlineStr">
        <is>
          <t>Effective-dated</t>
        </is>
      </c>
      <c r="J117" s="5" t="inlineStr">
        <is>
          <t>One-to-one</t>
        </is>
      </c>
      <c r="K117" s="5" t="inlineStr">
        <is>
          <t>N/A — not a one-to-many numeric field</t>
        </is>
      </c>
      <c r="L117" s="5" t="inlineStr">
        <is>
          <t>User Validation</t>
        </is>
      </c>
      <c r="M117" s="5" t="inlineStr">
        <is>
          <t>CIL Architecture Team</t>
        </is>
      </c>
      <c r="N117" s="5" t="inlineStr">
        <is>
          <t>2026-06-28</t>
        </is>
      </c>
      <c r="O117" s="5" t="inlineStr">
        <is>
          <t>CorpStage CIL Registry v1.3</t>
        </is>
      </c>
      <c r="P117" s="5" t="inlineStr">
        <is>
          <t>Group only (single enterprise-wide fact, does not repeat per node)</t>
        </is>
      </c>
      <c r="Q117" s="5" t="inlineStr">
        <is>
          <t>Global</t>
        </is>
      </c>
      <c r="R117" s="5" t="inlineStr">
        <is>
          <t>Tier 1 (Standard) — available to all frameworks and all customers</t>
        </is>
      </c>
      <c r="S117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18" ht="15" customHeight="1" s="6">
      <c r="A118" s="5" t="inlineStr">
        <is>
          <t>CDE-L117</t>
        </is>
      </c>
      <c r="B118" s="5" t="inlineStr">
        <is>
          <t>Material Counterparty Creditworthiness/Bankruptcy Risk Flagged</t>
        </is>
      </c>
      <c r="C118" s="5" t="inlineStr">
        <is>
          <t>Boolean</t>
        </is>
      </c>
      <c r="D118" s="5" t="inlineStr">
        <is>
          <t>Recommended</t>
        </is>
      </c>
      <c r="E118" s="5" t="inlineStr">
        <is>
          <t>Optional</t>
        </is>
      </c>
      <c r="F118" s="5" t="inlineStr">
        <is>
          <t>P2</t>
        </is>
      </c>
      <c r="G118" s="5" t="inlineStr">
        <is>
          <t>True/False/Unknown (tri-state)</t>
        </is>
      </c>
      <c r="H118" s="5" t="inlineStr">
        <is>
          <t>TYPE:BOOLEAN|ALLOWED:TRUE,FALSE,UNKNOWN</t>
        </is>
      </c>
      <c r="I118" s="5" t="inlineStr">
        <is>
          <t>Effective-dated</t>
        </is>
      </c>
      <c r="J118" s="5" t="inlineStr">
        <is>
          <t>One-to-one</t>
        </is>
      </c>
      <c r="K118" s="5" t="inlineStr">
        <is>
          <t>N/A — not a one-to-many numeric field</t>
        </is>
      </c>
      <c r="L118" s="5" t="inlineStr">
        <is>
          <t>User Validation</t>
        </is>
      </c>
      <c r="M118" s="5" t="inlineStr">
        <is>
          <t>CIL Architecture Team</t>
        </is>
      </c>
      <c r="N118" s="5" t="inlineStr">
        <is>
          <t>2026-06-28</t>
        </is>
      </c>
      <c r="O118" s="5" t="inlineStr">
        <is>
          <t>CorpStage CIL Registry v1.3</t>
        </is>
      </c>
      <c r="P118" s="5" t="inlineStr">
        <is>
          <t>Group only (single enterprise-wide fact, does not repeat per node)</t>
        </is>
      </c>
      <c r="Q118" s="5" t="inlineStr">
        <is>
          <t>Global</t>
        </is>
      </c>
      <c r="R118" s="5" t="inlineStr">
        <is>
          <t>Tier 1 (Standard) — available to all frameworks and all customers</t>
        </is>
      </c>
      <c r="S118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19" ht="15" customHeight="1" s="6">
      <c r="A119" s="5" t="inlineStr">
        <is>
          <t>CDE-L118</t>
        </is>
      </c>
      <c r="B119" s="5" t="inlineStr">
        <is>
          <t>Domain Name Portfolio Inventory Exists</t>
        </is>
      </c>
      <c r="C119" s="5" t="inlineStr">
        <is>
          <t>Boolean</t>
        </is>
      </c>
      <c r="D119" s="5" t="inlineStr">
        <is>
          <t>Recommended</t>
        </is>
      </c>
      <c r="E119" s="5" t="inlineStr">
        <is>
          <t>Optional</t>
        </is>
      </c>
      <c r="F119" s="5" t="inlineStr">
        <is>
          <t>P2</t>
        </is>
      </c>
      <c r="G119" s="5" t="inlineStr">
        <is>
          <t>True/False</t>
        </is>
      </c>
      <c r="H119" s="5" t="inlineStr">
        <is>
          <t>TYPE:BOOLEAN|ALLOWED:TRUE,FALSE</t>
        </is>
      </c>
      <c r="I119" s="5" t="inlineStr">
        <is>
          <t>Effective-dated</t>
        </is>
      </c>
      <c r="J119" s="5" t="inlineStr">
        <is>
          <t>One-to-one</t>
        </is>
      </c>
      <c r="K119" s="5" t="inlineStr">
        <is>
          <t>N/A — not a one-to-many numeric field</t>
        </is>
      </c>
      <c r="L119" s="5" t="inlineStr">
        <is>
          <t>User Validation</t>
        </is>
      </c>
      <c r="M119" s="5" t="inlineStr">
        <is>
          <t>CIL Architecture Team</t>
        </is>
      </c>
      <c r="N119" s="5" t="inlineStr">
        <is>
          <t>2026-06-28</t>
        </is>
      </c>
      <c r="O119" s="5" t="inlineStr">
        <is>
          <t>CorpStage CIL Registry v1.3</t>
        </is>
      </c>
      <c r="P119" s="5" t="inlineStr">
        <is>
          <t>Group only (single enterprise-wide fact, does not repeat per node)</t>
        </is>
      </c>
      <c r="Q119" s="5" t="inlineStr">
        <is>
          <t>Global</t>
        </is>
      </c>
      <c r="R119" s="5" t="inlineStr">
        <is>
          <t>Tier 1 (Standard) — available to all frameworks and all customers</t>
        </is>
      </c>
      <c r="S119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20" ht="15" customHeight="1" s="6">
      <c r="A120" s="5" t="inlineStr">
        <is>
          <t>CDE-L119</t>
        </is>
      </c>
      <c r="B120" s="5" t="inlineStr">
        <is>
          <t>E-Discovery Vendor/Process for Litigation Document Production Documented</t>
        </is>
      </c>
      <c r="C120" s="5" t="inlineStr">
        <is>
          <t>Boolean</t>
        </is>
      </c>
      <c r="D120" s="5" t="inlineStr">
        <is>
          <t>Recommended</t>
        </is>
      </c>
      <c r="E120" s="5" t="inlineStr">
        <is>
          <t>Optional</t>
        </is>
      </c>
      <c r="F120" s="5" t="inlineStr">
        <is>
          <t>P2</t>
        </is>
      </c>
      <c r="G120" s="5" t="inlineStr">
        <is>
          <t>True/False</t>
        </is>
      </c>
      <c r="H120" s="5" t="inlineStr">
        <is>
          <t>TYPE:BOOLEAN|ALLOWED:TRUE,FALSE</t>
        </is>
      </c>
      <c r="I120" s="5" t="inlineStr">
        <is>
          <t>Effective-dated</t>
        </is>
      </c>
      <c r="J120" s="5" t="inlineStr">
        <is>
          <t>One-to-one</t>
        </is>
      </c>
      <c r="K120" s="5" t="inlineStr">
        <is>
          <t>N/A — not a one-to-many numeric field</t>
        </is>
      </c>
      <c r="L120" s="5" t="inlineStr">
        <is>
          <t>User Validation</t>
        </is>
      </c>
      <c r="M120" s="5" t="inlineStr">
        <is>
          <t>CIL Architecture Team</t>
        </is>
      </c>
      <c r="N120" s="5" t="inlineStr">
        <is>
          <t>2026-06-28</t>
        </is>
      </c>
      <c r="O120" s="5" t="inlineStr">
        <is>
          <t>CorpStage CIL Registry v1.4</t>
        </is>
      </c>
      <c r="P120" s="5" t="inlineStr">
        <is>
          <t>Group only (single enterprise-wide fact, does not repeat per node)</t>
        </is>
      </c>
      <c r="Q120" s="5" t="inlineStr">
        <is>
          <t>Global</t>
        </is>
      </c>
      <c r="R120" s="5" t="inlineStr">
        <is>
          <t>Tier 1 (Standard) — available to all frameworks and all customers</t>
        </is>
      </c>
      <c r="S120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21" ht="15" customHeight="1" s="6">
      <c r="A121" s="5" t="inlineStr">
        <is>
          <t>CDE-L120</t>
        </is>
      </c>
      <c r="B121" s="5" t="inlineStr">
        <is>
          <t>Force Majeure Clause Invoked (Current Period, Count)</t>
        </is>
      </c>
      <c r="C121" s="5" t="inlineStr">
        <is>
          <t>Numeric</t>
        </is>
      </c>
      <c r="D121" s="5" t="inlineStr">
        <is>
          <t>Recommended</t>
        </is>
      </c>
      <c r="E121" s="5" t="inlineStr">
        <is>
          <t>Optional</t>
        </is>
      </c>
      <c r="F121" s="5" t="inlineStr">
        <is>
          <t>P2</t>
        </is>
      </c>
      <c r="G121" s="5" t="inlineStr">
        <is>
          <t>&gt;=0, integer</t>
        </is>
      </c>
      <c r="H121" s="5" t="inlineStr">
        <is>
          <t>TYPE:INTEGER|MIN:0</t>
        </is>
      </c>
      <c r="I121" s="5" t="inlineStr">
        <is>
          <t>Effective-dated</t>
        </is>
      </c>
      <c r="J121" s="5" t="inlineStr">
        <is>
          <t>One-to-one</t>
        </is>
      </c>
      <c r="K121" s="5" t="inlineStr">
        <is>
          <t>N/A — not a one-to-many numeric field</t>
        </is>
      </c>
      <c r="L121" s="5" t="inlineStr">
        <is>
          <t>User Validation</t>
        </is>
      </c>
      <c r="M121" s="5" t="inlineStr">
        <is>
          <t>CIL Architecture Team</t>
        </is>
      </c>
      <c r="N121" s="5" t="inlineStr">
        <is>
          <t>2026-06-28</t>
        </is>
      </c>
      <c r="O121" s="5" t="inlineStr">
        <is>
          <t>CorpStage CIL Registry v1.4</t>
        </is>
      </c>
      <c r="P121" s="5" t="inlineStr">
        <is>
          <t>Group only (single enterprise-wide fact, does not repeat per node)</t>
        </is>
      </c>
      <c r="Q121" s="5" t="inlineStr">
        <is>
          <t>Global</t>
        </is>
      </c>
      <c r="R121" s="5" t="inlineStr">
        <is>
          <t>Tier 1 (Standard) — available to all frameworks and all customers</t>
        </is>
      </c>
      <c r="S121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22" ht="15" customHeight="1" s="6">
      <c r="A122" s="5" t="inlineStr">
        <is>
          <t>CDE-L121</t>
        </is>
      </c>
      <c r="B122" s="5" t="inlineStr">
        <is>
          <t>Legal Matter Management/Technology System Adopted</t>
        </is>
      </c>
      <c r="C122" s="5" t="inlineStr">
        <is>
          <t>Boolean</t>
        </is>
      </c>
      <c r="D122" s="5" t="inlineStr">
        <is>
          <t>Recommended</t>
        </is>
      </c>
      <c r="E122" s="5" t="inlineStr">
        <is>
          <t>Optional</t>
        </is>
      </c>
      <c r="F122" s="5" t="inlineStr">
        <is>
          <t>P2</t>
        </is>
      </c>
      <c r="G122" s="5" t="inlineStr">
        <is>
          <t>True/False</t>
        </is>
      </c>
      <c r="H122" s="5" t="inlineStr">
        <is>
          <t>TYPE:BOOLEAN|ALLOWED:TRUE,FALSE</t>
        </is>
      </c>
      <c r="I122" s="5" t="inlineStr">
        <is>
          <t>Effective-dated</t>
        </is>
      </c>
      <c r="J122" s="5" t="inlineStr">
        <is>
          <t>One-to-one</t>
        </is>
      </c>
      <c r="K122" s="5" t="inlineStr">
        <is>
          <t>N/A — not a one-to-many numeric field</t>
        </is>
      </c>
      <c r="L122" s="5" t="inlineStr">
        <is>
          <t>User Validation</t>
        </is>
      </c>
      <c r="M122" s="5" t="inlineStr">
        <is>
          <t>CIL Architecture Team</t>
        </is>
      </c>
      <c r="N122" s="5" t="inlineStr">
        <is>
          <t>2026-06-28</t>
        </is>
      </c>
      <c r="O122" s="5" t="inlineStr">
        <is>
          <t>CorpStage CIL Registry v1.4</t>
        </is>
      </c>
      <c r="P122" s="5" t="inlineStr">
        <is>
          <t>Group only (single enterprise-wide fact, does not repeat per node)</t>
        </is>
      </c>
      <c r="Q122" s="5" t="inlineStr">
        <is>
          <t>Global</t>
        </is>
      </c>
      <c r="R122" s="5" t="inlineStr">
        <is>
          <t>Tier 1 (Standard) — available to all frameworks and all customers</t>
        </is>
      </c>
      <c r="S122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23" ht="15" customHeight="1" s="6">
      <c r="A123" s="5" t="inlineStr">
        <is>
          <t>CDE-L122</t>
        </is>
      </c>
      <c r="B123" s="5" t="inlineStr">
        <is>
          <t>Government Investigation or Subpoena Received (Current Period, Count)</t>
        </is>
      </c>
      <c r="C123" s="5" t="inlineStr">
        <is>
          <t>Numeric</t>
        </is>
      </c>
      <c r="D123" s="5" t="inlineStr">
        <is>
          <t>Required</t>
        </is>
      </c>
      <c r="E123" s="5" t="inlineStr">
        <is>
          <t>Multi</t>
        </is>
      </c>
      <c r="F123" s="5" t="inlineStr">
        <is>
          <t>P1</t>
        </is>
      </c>
      <c r="G123" s="5" t="inlineStr">
        <is>
          <t>&gt;=0, integer</t>
        </is>
      </c>
      <c r="H123" s="5" t="inlineStr">
        <is>
          <t>TYPE:INTEGER|MIN:0</t>
        </is>
      </c>
      <c r="I123" s="5" t="inlineStr">
        <is>
          <t>Effective-dated</t>
        </is>
      </c>
      <c r="J123" s="5" t="inlineStr">
        <is>
          <t>One-to-one</t>
        </is>
      </c>
      <c r="K123" s="5" t="inlineStr">
        <is>
          <t>N/A — not a one-to-many numeric field</t>
        </is>
      </c>
      <c r="L123" s="5" t="inlineStr">
        <is>
          <t>Regulatory Filings (SEC EDGAR, Companies House, National Business Registry)</t>
        </is>
      </c>
      <c r="M123" s="5" t="inlineStr">
        <is>
          <t>CIL Architecture Team</t>
        </is>
      </c>
      <c r="N123" s="5" t="inlineStr">
        <is>
          <t>2026-06-28</t>
        </is>
      </c>
      <c r="O123" s="5" t="inlineStr">
        <is>
          <t>CorpStage CIL Registry v1.4</t>
        </is>
      </c>
      <c r="P123" s="5" t="inlineStr">
        <is>
          <t>Group only (single enterprise-wide fact, does not repeat per node)</t>
        </is>
      </c>
      <c r="Q123" s="5" t="inlineStr">
        <is>
          <t>Global</t>
        </is>
      </c>
      <c r="R123" s="5" t="inlineStr">
        <is>
          <t>Tier 1 (Standard) — available to all frameworks and all customers</t>
        </is>
      </c>
      <c r="S123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24" ht="15" customHeight="1" s="6">
      <c r="A124" s="5" t="inlineStr">
        <is>
          <t>CDE-L123</t>
        </is>
      </c>
      <c r="B124" s="5" t="inlineStr">
        <is>
          <t>Third-Party Litigation Funding Arrangement Disclosed</t>
        </is>
      </c>
      <c r="C124" s="5" t="inlineStr">
        <is>
          <t>Boolean</t>
        </is>
      </c>
      <c r="D124" s="5" t="inlineStr">
        <is>
          <t>Recommended</t>
        </is>
      </c>
      <c r="E124" s="5" t="inlineStr">
        <is>
          <t>Optional</t>
        </is>
      </c>
      <c r="F124" s="5" t="inlineStr">
        <is>
          <t>P2</t>
        </is>
      </c>
      <c r="G124" s="5" t="inlineStr">
        <is>
          <t>True/False/Unknown (tri-state)</t>
        </is>
      </c>
      <c r="H124" s="5" t="inlineStr">
        <is>
          <t>TYPE:BOOLEAN|ALLOWED:TRUE,FALSE,UNKNOWN</t>
        </is>
      </c>
      <c r="I124" s="5" t="inlineStr">
        <is>
          <t>Effective-dated</t>
        </is>
      </c>
      <c r="J124" s="5" t="inlineStr">
        <is>
          <t>One-to-one</t>
        </is>
      </c>
      <c r="K124" s="5" t="inlineStr">
        <is>
          <t>N/A — not a one-to-many numeric field</t>
        </is>
      </c>
      <c r="L124" s="5" t="inlineStr">
        <is>
          <t>User Validation</t>
        </is>
      </c>
      <c r="M124" s="5" t="inlineStr">
        <is>
          <t>CIL Architecture Team</t>
        </is>
      </c>
      <c r="N124" s="5" t="inlineStr">
        <is>
          <t>2026-06-28</t>
        </is>
      </c>
      <c r="O124" s="5" t="inlineStr">
        <is>
          <t>CorpStage CIL Registry v1.5</t>
        </is>
      </c>
      <c r="P124" s="5" t="inlineStr">
        <is>
          <t>Group only (single enterprise-wide fact, does not repeat per node)</t>
        </is>
      </c>
      <c r="Q124" s="5" t="inlineStr">
        <is>
          <t>Global</t>
        </is>
      </c>
      <c r="R124" s="5" t="inlineStr">
        <is>
          <t>Tier 1 (Standard) — available to all frameworks and all customers</t>
        </is>
      </c>
      <c r="S124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25" ht="15" customHeight="1" s="6">
      <c r="A125" s="5" t="inlineStr">
        <is>
          <t>CDE-L124</t>
        </is>
      </c>
      <c r="B125" s="5" t="inlineStr">
        <is>
          <t>Material Contract Governing Law/Jurisdiction Clause Documented</t>
        </is>
      </c>
      <c r="C125" s="5" t="inlineStr">
        <is>
          <t>Text</t>
        </is>
      </c>
      <c r="D125" s="5" t="inlineStr">
        <is>
          <t>Recommended</t>
        </is>
      </c>
      <c r="E125" s="5" t="inlineStr">
        <is>
          <t>Optional</t>
        </is>
      </c>
      <c r="F125" s="5" t="inlineStr">
        <is>
          <t>P2</t>
        </is>
      </c>
      <c r="G125" s="5" t="inlineStr">
        <is>
          <t>Non-empty text</t>
        </is>
      </c>
      <c r="H125" s="5" t="inlineStr">
        <is>
          <t>TYPE:TEXT</t>
        </is>
      </c>
      <c r="I125" s="5" t="inlineStr">
        <is>
          <t>Point-in-time</t>
        </is>
      </c>
      <c r="J125" s="5" t="inlineStr">
        <is>
          <t>One-to-many</t>
        </is>
      </c>
      <c r="K125" s="5" t="inlineStr">
        <is>
          <t>N/A — not a one-to-many numeric field</t>
        </is>
      </c>
      <c r="L125" s="5" t="inlineStr">
        <is>
          <t>User Validation</t>
        </is>
      </c>
      <c r="M125" s="5" t="inlineStr">
        <is>
          <t>CIL Architecture Team</t>
        </is>
      </c>
      <c r="N125" s="5" t="inlineStr">
        <is>
          <t>2026-06-28</t>
        </is>
      </c>
      <c r="O125" s="5" t="inlineStr">
        <is>
          <t>CorpStage CIL Registry v1.5</t>
        </is>
      </c>
      <c r="P125" s="5" t="inlineStr">
        <is>
          <t>Company, Group (collected per legal entity, not below Company level)</t>
        </is>
      </c>
      <c r="Q125" s="5" t="inlineStr">
        <is>
          <t>Global</t>
        </is>
      </c>
      <c r="R125" s="5" t="inlineStr">
        <is>
          <t>Tier 1 (Standard) — available to all frameworks and all customers</t>
        </is>
      </c>
      <c r="S125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26" ht="15" customHeight="1" s="6">
      <c r="A126" s="5" t="inlineStr">
        <is>
          <t>CDE-L125</t>
        </is>
      </c>
      <c r="B126" s="5" t="inlineStr">
        <is>
          <t>IP Portfolio Estimated Valuation</t>
        </is>
      </c>
      <c r="C126" s="5" t="inlineStr">
        <is>
          <t>Numeric</t>
        </is>
      </c>
      <c r="D126" s="5" t="inlineStr">
        <is>
          <t>Supplemental</t>
        </is>
      </c>
      <c r="E126" s="5" t="inlineStr">
        <is>
          <t>Optional</t>
        </is>
      </c>
      <c r="F126" s="5" t="inlineStr">
        <is>
          <t>P3</t>
        </is>
      </c>
      <c r="G126" s="5" t="inlineStr">
        <is>
          <t>&gt;=0, numeric</t>
        </is>
      </c>
      <c r="H126" s="5" t="inlineStr">
        <is>
          <t>TYPE:NUMERIC|MIN:0</t>
        </is>
      </c>
      <c r="I126" s="5" t="inlineStr">
        <is>
          <t>Point-in-time</t>
        </is>
      </c>
      <c r="J126" s="5" t="inlineStr">
        <is>
          <t>One-to-one</t>
        </is>
      </c>
      <c r="K126" s="5" t="inlineStr">
        <is>
          <t>N/A — not a one-to-many numeric field</t>
        </is>
      </c>
      <c r="L126" s="5" t="inlineStr">
        <is>
          <t>Finance / ERP System (SAP S/4HANA, Oracle Fusion, NetSuite)</t>
        </is>
      </c>
      <c r="M126" s="5" t="inlineStr">
        <is>
          <t>CIL Architecture Team</t>
        </is>
      </c>
      <c r="N126" s="5" t="inlineStr">
        <is>
          <t>2026-06-28</t>
        </is>
      </c>
      <c r="O126" s="5" t="inlineStr">
        <is>
          <t>CorpStage CIL Registry v1.5</t>
        </is>
      </c>
      <c r="P126" s="5" t="inlineStr">
        <is>
          <t>Group only (single enterprise-wide fact, does not repeat per node)</t>
        </is>
      </c>
      <c r="Q126" s="5" t="inlineStr">
        <is>
          <t>Global</t>
        </is>
      </c>
      <c r="R126" s="5" t="inlineStr">
        <is>
          <t>Tier 1 (Standard) — available to all frameworks and all customers</t>
        </is>
      </c>
      <c r="S126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27" ht="15" customHeight="1" s="6">
      <c r="A127" s="5" t="inlineStr">
        <is>
          <t>CDE-L126</t>
        </is>
      </c>
      <c r="B127" s="5" t="inlineStr">
        <is>
          <t>Outside Counsel Diversity Requirement Documented</t>
        </is>
      </c>
      <c r="C127" s="5" t="inlineStr">
        <is>
          <t>Boolean</t>
        </is>
      </c>
      <c r="D127" s="5" t="inlineStr">
        <is>
          <t>Recommended</t>
        </is>
      </c>
      <c r="E127" s="5" t="inlineStr">
        <is>
          <t>Optional</t>
        </is>
      </c>
      <c r="F127" s="5" t="inlineStr">
        <is>
          <t>P2</t>
        </is>
      </c>
      <c r="G127" s="5" t="inlineStr">
        <is>
          <t>True/False</t>
        </is>
      </c>
      <c r="H127" s="5" t="inlineStr">
        <is>
          <t>TYPE:BOOLEAN|ALLOWED:TRUE,FALSE</t>
        </is>
      </c>
      <c r="I127" s="5" t="inlineStr">
        <is>
          <t>Effective-dated</t>
        </is>
      </c>
      <c r="J127" s="5" t="inlineStr">
        <is>
          <t>One-to-one</t>
        </is>
      </c>
      <c r="K127" s="5" t="inlineStr">
        <is>
          <t>N/A — not a one-to-many numeric field</t>
        </is>
      </c>
      <c r="L127" s="5" t="inlineStr">
        <is>
          <t>User Validation</t>
        </is>
      </c>
      <c r="M127" s="5" t="inlineStr">
        <is>
          <t>CIL Architecture Team</t>
        </is>
      </c>
      <c r="N127" s="5" t="inlineStr">
        <is>
          <t>2026-06-28</t>
        </is>
      </c>
      <c r="O127" s="5" t="inlineStr">
        <is>
          <t>CorpStage CIL Registry v1.5</t>
        </is>
      </c>
      <c r="P127" s="5" t="inlineStr">
        <is>
          <t>Group only (single enterprise-wide fact, does not repeat per node)</t>
        </is>
      </c>
      <c r="Q127" s="5" t="inlineStr">
        <is>
          <t>Global</t>
        </is>
      </c>
      <c r="R127" s="5" t="inlineStr">
        <is>
          <t>Tier 1 (Standard) — available to all frameworks and all customers</t>
        </is>
      </c>
      <c r="S127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28" ht="15" customHeight="1" s="6">
      <c r="A128" s="5" t="inlineStr">
        <is>
          <t>CDE-L127</t>
        </is>
      </c>
      <c r="B128" s="5" t="inlineStr">
        <is>
          <t>Whistleblower Retaliation Claim Filed Against Enterprise (Current Period, Count)</t>
        </is>
      </c>
      <c r="C128" s="5" t="inlineStr">
        <is>
          <t>Numeric</t>
        </is>
      </c>
      <c r="D128" s="5" t="inlineStr">
        <is>
          <t>Required</t>
        </is>
      </c>
      <c r="E128" s="5" t="inlineStr">
        <is>
          <t>Optional</t>
        </is>
      </c>
      <c r="F128" s="5" t="inlineStr">
        <is>
          <t>P1</t>
        </is>
      </c>
      <c r="G128" s="5" t="inlineStr">
        <is>
          <t>&gt;=0, integer</t>
        </is>
      </c>
      <c r="H128" s="5" t="inlineStr">
        <is>
          <t>TYPE:INTEGER|MIN:0</t>
        </is>
      </c>
      <c r="I128" s="5" t="inlineStr">
        <is>
          <t>Effective-dated</t>
        </is>
      </c>
      <c r="J128" s="5" t="inlineStr">
        <is>
          <t>One-to-one</t>
        </is>
      </c>
      <c r="K128" s="5" t="inlineStr">
        <is>
          <t>N/A — not a one-to-many numeric field</t>
        </is>
      </c>
      <c r="L128" s="5" t="inlineStr">
        <is>
          <t>Regulatory Filings (SEC EDGAR, Companies House, National Business Registry)</t>
        </is>
      </c>
      <c r="M128" s="5" t="inlineStr">
        <is>
          <t>CIL Architecture Team</t>
        </is>
      </c>
      <c r="N128" s="5" t="inlineStr">
        <is>
          <t>2026-06-28</t>
        </is>
      </c>
      <c r="O128" s="5" t="inlineStr">
        <is>
          <t>CorpStage CIL Registry v1.5</t>
        </is>
      </c>
      <c r="P128" s="5" t="inlineStr">
        <is>
          <t>Group only (single enterprise-wide fact, does not repeat per node)</t>
        </is>
      </c>
      <c r="Q128" s="5" t="inlineStr">
        <is>
          <t>Global</t>
        </is>
      </c>
      <c r="R128" s="5" t="inlineStr">
        <is>
          <t>Tier 1 (Standard) — available to all frameworks and all customers</t>
        </is>
      </c>
      <c r="S128" s="5" t="inlineStr">
        <is>
          <t>Distinct from Domain 6 Compliance &amp; Regulatory Intelligence's whistleblower channel-operations content (CDE-C069/070/071), which has no retaliation-specific tracking. This CDE captures the LEGAL CLAIM arising when a whistleblower alleges retaliation — an employment-litigation-adjacent fact this domain owns.</t>
        </is>
      </c>
    </row>
    <row r="129" ht="15" customHeight="1" s="6">
      <c r="A129" s="5" t="inlineStr">
        <is>
          <t>CDE-L128</t>
        </is>
      </c>
      <c r="B129" s="5" t="inlineStr">
        <is>
          <t>Termination-for-Convenience Clause Exercised (Current Period, Count)</t>
        </is>
      </c>
      <c r="C129" s="5" t="inlineStr">
        <is>
          <t>Numeric</t>
        </is>
      </c>
      <c r="D129" s="5" t="inlineStr">
        <is>
          <t>Recommended</t>
        </is>
      </c>
      <c r="E129" s="5" t="inlineStr">
        <is>
          <t>Optional</t>
        </is>
      </c>
      <c r="F129" s="5" t="inlineStr">
        <is>
          <t>P2</t>
        </is>
      </c>
      <c r="G129" s="5" t="inlineStr">
        <is>
          <t>&gt;=0, integer</t>
        </is>
      </c>
      <c r="H129" s="5" t="inlineStr">
        <is>
          <t>TYPE:INTEGER|MIN:0</t>
        </is>
      </c>
      <c r="I129" s="5" t="inlineStr">
        <is>
          <t>Effective-dated</t>
        </is>
      </c>
      <c r="J129" s="5" t="inlineStr">
        <is>
          <t>One-to-one</t>
        </is>
      </c>
      <c r="K129" s="5" t="inlineStr">
        <is>
          <t>N/A — not a one-to-many numeric field</t>
        </is>
      </c>
      <c r="L129" s="5" t="inlineStr">
        <is>
          <t>User Validation</t>
        </is>
      </c>
      <c r="M129" s="5" t="inlineStr">
        <is>
          <t>CIL Architecture Team</t>
        </is>
      </c>
      <c r="N129" s="5" t="inlineStr">
        <is>
          <t>2026-06-28</t>
        </is>
      </c>
      <c r="O129" s="5" t="inlineStr">
        <is>
          <t>CorpStage CIL Registry v1.6</t>
        </is>
      </c>
      <c r="P129" s="5" t="inlineStr">
        <is>
          <t>Group only (single enterprise-wide fact, does not repeat per node)</t>
        </is>
      </c>
      <c r="Q129" s="5" t="inlineStr">
        <is>
          <t>Global</t>
        </is>
      </c>
      <c r="R129" s="5" t="inlineStr">
        <is>
          <t>Tier 1 (Standard) — available to all frameworks and all customers</t>
        </is>
      </c>
      <c r="S129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30" ht="15" customHeight="1" s="6">
      <c r="A130" s="5" t="inlineStr">
        <is>
          <t>CDE-L129</t>
        </is>
      </c>
      <c r="B130" s="5" t="inlineStr">
        <is>
          <t>Legal Entity Simplification Estimated Cost Savings</t>
        </is>
      </c>
      <c r="C130" s="5" t="inlineStr">
        <is>
          <t>Numeric</t>
        </is>
      </c>
      <c r="D130" s="5" t="inlineStr">
        <is>
          <t>Supplemental</t>
        </is>
      </c>
      <c r="E130" s="5" t="inlineStr">
        <is>
          <t>Optional</t>
        </is>
      </c>
      <c r="F130" s="5" t="inlineStr">
        <is>
          <t>P3</t>
        </is>
      </c>
      <c r="G130" s="5" t="inlineStr">
        <is>
          <t>&gt;=0, numeric</t>
        </is>
      </c>
      <c r="H130" s="5" t="inlineStr">
        <is>
          <t>TYPE:NUMERIC|MIN:0</t>
        </is>
      </c>
      <c r="I130" s="5" t="inlineStr">
        <is>
          <t>Point-in-time</t>
        </is>
      </c>
      <c r="J130" s="5" t="inlineStr">
        <is>
          <t>One-to-one</t>
        </is>
      </c>
      <c r="K130" s="5" t="inlineStr">
        <is>
          <t>N/A — not a one-to-many numeric field</t>
        </is>
      </c>
      <c r="L130" s="5" t="inlineStr">
        <is>
          <t>Finance / ERP System (SAP S/4HANA, Oracle Fusion, NetSuite)</t>
        </is>
      </c>
      <c r="M130" s="5" t="inlineStr">
        <is>
          <t>CIL Architecture Team</t>
        </is>
      </c>
      <c r="N130" s="5" t="inlineStr">
        <is>
          <t>2026-06-28</t>
        </is>
      </c>
      <c r="O130" s="5" t="inlineStr">
        <is>
          <t>CorpStage CIL Registry v1.6</t>
        </is>
      </c>
      <c r="P130" s="5" t="inlineStr">
        <is>
          <t>Group only (single enterprise-wide fact, does not repeat per node)</t>
        </is>
      </c>
      <c r="Q130" s="5" t="inlineStr">
        <is>
          <t>Global</t>
        </is>
      </c>
      <c r="R130" s="5" t="inlineStr">
        <is>
          <t>Tier 1 (Standard) — available to all frameworks and all customers</t>
        </is>
      </c>
      <c r="S130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31" ht="15" customHeight="1" s="6">
      <c r="A131" s="5" t="inlineStr">
        <is>
          <t>CDE-L130</t>
        </is>
      </c>
      <c r="B131" s="5" t="inlineStr">
        <is>
          <t>AI/Algorithmic Legal Risk Identified by Legal Function (Current Period, Count)</t>
        </is>
      </c>
      <c r="C131" s="5" t="inlineStr">
        <is>
          <t>Numeric</t>
        </is>
      </c>
      <c r="D131" s="5" t="inlineStr">
        <is>
          <t>Recommended</t>
        </is>
      </c>
      <c r="E131" s="5" t="inlineStr">
        <is>
          <t>Optional</t>
        </is>
      </c>
      <c r="F131" s="5" t="inlineStr">
        <is>
          <t>P2</t>
        </is>
      </c>
      <c r="G131" s="5" t="inlineStr">
        <is>
          <t>&gt;=0, integer</t>
        </is>
      </c>
      <c r="H131" s="5" t="inlineStr">
        <is>
          <t>TYPE:INTEGER|MIN:0</t>
        </is>
      </c>
      <c r="I131" s="5" t="inlineStr">
        <is>
          <t>Effective-dated</t>
        </is>
      </c>
      <c r="J131" s="5" t="inlineStr">
        <is>
          <t>One-to-one</t>
        </is>
      </c>
      <c r="K131" s="5" t="inlineStr">
        <is>
          <t>N/A — not a one-to-many numeric field</t>
        </is>
      </c>
      <c r="L131" s="5" t="inlineStr">
        <is>
          <t>User Validation</t>
        </is>
      </c>
      <c r="M131" s="5" t="inlineStr">
        <is>
          <t>CIL Architecture Team</t>
        </is>
      </c>
      <c r="N131" s="5" t="inlineStr">
        <is>
          <t>2026-06-28</t>
        </is>
      </c>
      <c r="O131" s="5" t="inlineStr">
        <is>
          <t>CorpStage CIL Registry v1.6</t>
        </is>
      </c>
      <c r="P131" s="5" t="inlineStr">
        <is>
          <t>Group only (single enterprise-wide fact, does not repeat per node)</t>
        </is>
      </c>
      <c r="Q131" s="5" t="inlineStr">
        <is>
          <t>Global</t>
        </is>
      </c>
      <c r="R131" s="5" t="inlineStr">
        <is>
          <t>Tier 1 (Standard) — available to all frameworks and all customers</t>
        </is>
      </c>
      <c r="S131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32" ht="15" customHeight="1" s="6">
      <c r="A132" s="5" t="inlineStr">
        <is>
          <t>CDE-L131</t>
        </is>
      </c>
      <c r="B132" s="5" t="inlineStr">
        <is>
          <t>Indemnification Cap/Limitation of Liability Negotiated Term Documented</t>
        </is>
      </c>
      <c r="C132" s="5" t="inlineStr">
        <is>
          <t>Boolean</t>
        </is>
      </c>
      <c r="D132" s="5" t="inlineStr">
        <is>
          <t>Recommended</t>
        </is>
      </c>
      <c r="E132" s="5" t="inlineStr">
        <is>
          <t>Optional</t>
        </is>
      </c>
      <c r="F132" s="5" t="inlineStr">
        <is>
          <t>P2</t>
        </is>
      </c>
      <c r="G132" s="5" t="inlineStr">
        <is>
          <t>True/False</t>
        </is>
      </c>
      <c r="H132" s="5" t="inlineStr">
        <is>
          <t>TYPE:BOOLEAN|ALLOWED:TRUE,FALSE</t>
        </is>
      </c>
      <c r="I132" s="5" t="inlineStr">
        <is>
          <t>Effective-dated</t>
        </is>
      </c>
      <c r="J132" s="5" t="inlineStr">
        <is>
          <t>One-to-one</t>
        </is>
      </c>
      <c r="K132" s="5" t="inlineStr">
        <is>
          <t>N/A — not a one-to-many numeric field</t>
        </is>
      </c>
      <c r="L132" s="5" t="inlineStr">
        <is>
          <t>User Validation</t>
        </is>
      </c>
      <c r="M132" s="5" t="inlineStr">
        <is>
          <t>CIL Architecture Team</t>
        </is>
      </c>
      <c r="N132" s="5" t="inlineStr">
        <is>
          <t>2026-06-28</t>
        </is>
      </c>
      <c r="O132" s="5" t="inlineStr">
        <is>
          <t>CorpStage CIL Registry v1.7</t>
        </is>
      </c>
      <c r="P132" s="5" t="inlineStr">
        <is>
          <t>Group only (single enterprise-wide fact, does not repeat per node)</t>
        </is>
      </c>
      <c r="Q132" s="5" t="inlineStr">
        <is>
          <t>Global</t>
        </is>
      </c>
      <c r="R132" s="5" t="inlineStr">
        <is>
          <t>Tier 1 (Standard) — available to all frameworks and all customers</t>
        </is>
      </c>
      <c r="S132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33" ht="15" customHeight="1" s="6">
      <c r="A133" s="5" t="inlineStr">
        <is>
          <t>CDE-L132</t>
        </is>
      </c>
      <c r="B133" s="5" t="inlineStr">
        <is>
          <t>Outside Counsel Conflict-of-Interest Check Process Documented</t>
        </is>
      </c>
      <c r="C133" s="5" t="inlineStr">
        <is>
          <t>Boolean</t>
        </is>
      </c>
      <c r="D133" s="5" t="inlineStr">
        <is>
          <t>Recommended</t>
        </is>
      </c>
      <c r="E133" s="5" t="inlineStr">
        <is>
          <t>Optional</t>
        </is>
      </c>
      <c r="F133" s="5" t="inlineStr">
        <is>
          <t>P2</t>
        </is>
      </c>
      <c r="G133" s="5" t="inlineStr">
        <is>
          <t>True/False</t>
        </is>
      </c>
      <c r="H133" s="5" t="inlineStr">
        <is>
          <t>TYPE:BOOLEAN|ALLOWED:TRUE,FALSE</t>
        </is>
      </c>
      <c r="I133" s="5" t="inlineStr">
        <is>
          <t>Effective-dated</t>
        </is>
      </c>
      <c r="J133" s="5" t="inlineStr">
        <is>
          <t>One-to-one</t>
        </is>
      </c>
      <c r="K133" s="5" t="inlineStr">
        <is>
          <t>N/A — not a one-to-many numeric field</t>
        </is>
      </c>
      <c r="L133" s="5" t="inlineStr">
        <is>
          <t>User Validation</t>
        </is>
      </c>
      <c r="M133" s="5" t="inlineStr">
        <is>
          <t>CIL Architecture Team</t>
        </is>
      </c>
      <c r="N133" s="5" t="inlineStr">
        <is>
          <t>2026-06-28</t>
        </is>
      </c>
      <c r="O133" s="5" t="inlineStr">
        <is>
          <t>CorpStage CIL Registry v1.7</t>
        </is>
      </c>
      <c r="P133" s="5" t="inlineStr">
        <is>
          <t>Group only (single enterprise-wide fact, does not repeat per node)</t>
        </is>
      </c>
      <c r="Q133" s="5" t="inlineStr">
        <is>
          <t>Global</t>
        </is>
      </c>
      <c r="R133" s="5" t="inlineStr">
        <is>
          <t>Tier 1 (Standard) — available to all frameworks and all customers</t>
        </is>
      </c>
      <c r="S133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34" ht="15" customHeight="1" s="6">
      <c r="A134" s="5" t="inlineStr">
        <is>
          <t>CDE-L133</t>
        </is>
      </c>
      <c r="B134" s="5" t="inlineStr">
        <is>
          <t>Legal Department Budget Variance (Actual vs Budget)</t>
        </is>
      </c>
      <c r="C134" s="5" t="inlineStr">
        <is>
          <t>Numeric</t>
        </is>
      </c>
      <c r="D134" s="5" t="inlineStr">
        <is>
          <t>Recommended</t>
        </is>
      </c>
      <c r="E134" s="5" t="inlineStr">
        <is>
          <t>Optional</t>
        </is>
      </c>
      <c r="F134" s="5" t="inlineStr">
        <is>
          <t>P2</t>
        </is>
      </c>
      <c r="G134" s="5" t="inlineStr">
        <is>
          <t>Numeric (can be negative)</t>
        </is>
      </c>
      <c r="H134" s="5" t="inlineStr">
        <is>
          <t>TYPE:NUMERIC</t>
        </is>
      </c>
      <c r="I134" s="5" t="inlineStr">
        <is>
          <t>Effective-dated</t>
        </is>
      </c>
      <c r="J134" s="5" t="inlineStr">
        <is>
          <t>One-to-one</t>
        </is>
      </c>
      <c r="K134" s="5" t="inlineStr">
        <is>
          <t>N/A — not a one-to-many numeric field</t>
        </is>
      </c>
      <c r="L134" s="5" t="inlineStr">
        <is>
          <t>Finance / ERP System (SAP S/4HANA, Oracle Fusion, NetSuite)</t>
        </is>
      </c>
      <c r="M134" s="5" t="inlineStr">
        <is>
          <t>CIL Architecture Team</t>
        </is>
      </c>
      <c r="N134" s="5" t="inlineStr">
        <is>
          <t>2026-06-28</t>
        </is>
      </c>
      <c r="O134" s="5" t="inlineStr">
        <is>
          <t>CorpStage CIL Registry v1.7</t>
        </is>
      </c>
      <c r="P134" s="5" t="inlineStr">
        <is>
          <t>Group only (single enterprise-wide fact, does not repeat per node)</t>
        </is>
      </c>
      <c r="Q134" s="5" t="inlineStr">
        <is>
          <t>Global</t>
        </is>
      </c>
      <c r="R134" s="5" t="inlineStr">
        <is>
          <t>Tier 1 (Standard) — available to all frameworks and all customers</t>
        </is>
      </c>
      <c r="S134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35" ht="15" customHeight="1" s="6">
      <c r="A135" s="5" t="inlineStr">
        <is>
          <t>CDE-L134</t>
        </is>
      </c>
      <c r="B135" s="5" t="inlineStr">
        <is>
          <t>Trademark/Brand Enforcement Watch Service Active</t>
        </is>
      </c>
      <c r="C135" s="5" t="inlineStr">
        <is>
          <t>Boolean</t>
        </is>
      </c>
      <c r="D135" s="5" t="inlineStr">
        <is>
          <t>Recommended</t>
        </is>
      </c>
      <c r="E135" s="5" t="inlineStr">
        <is>
          <t>Optional</t>
        </is>
      </c>
      <c r="F135" s="5" t="inlineStr">
        <is>
          <t>P2</t>
        </is>
      </c>
      <c r="G135" s="5" t="inlineStr">
        <is>
          <t>True/False</t>
        </is>
      </c>
      <c r="H135" s="5" t="inlineStr">
        <is>
          <t>TYPE:BOOLEAN|ALLOWED:TRUE,FALSE</t>
        </is>
      </c>
      <c r="I135" s="5" t="inlineStr">
        <is>
          <t>Effective-dated</t>
        </is>
      </c>
      <c r="J135" s="5" t="inlineStr">
        <is>
          <t>One-to-one</t>
        </is>
      </c>
      <c r="K135" s="5" t="inlineStr">
        <is>
          <t>N/A — not a one-to-many numeric field</t>
        </is>
      </c>
      <c r="L135" s="5" t="inlineStr">
        <is>
          <t>User Validation</t>
        </is>
      </c>
      <c r="M135" s="5" t="inlineStr">
        <is>
          <t>CIL Architecture Team</t>
        </is>
      </c>
      <c r="N135" s="5" t="inlineStr">
        <is>
          <t>2026-06-28</t>
        </is>
      </c>
      <c r="O135" s="5" t="inlineStr">
        <is>
          <t>CorpStage CIL Registry v1.7</t>
        </is>
      </c>
      <c r="P135" s="5" t="inlineStr">
        <is>
          <t>Group only (single enterprise-wide fact, does not repeat per node)</t>
        </is>
      </c>
      <c r="Q135" s="5" t="inlineStr">
        <is>
          <t>Global</t>
        </is>
      </c>
      <c r="R135" s="5" t="inlineStr">
        <is>
          <t>Tier 1 (Standard) — available to all frameworks and all customers</t>
        </is>
      </c>
      <c r="S135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36" ht="15" customHeight="1" s="6">
      <c r="A136" s="5" t="inlineStr">
        <is>
          <t>CDE-L135</t>
        </is>
      </c>
      <c r="B136" s="5" t="inlineStr">
        <is>
          <t>Material Contract Change-of-Control/Assignment Clause Documented</t>
        </is>
      </c>
      <c r="C136" s="5" t="inlineStr">
        <is>
          <t>Boolean</t>
        </is>
      </c>
      <c r="D136" s="5" t="inlineStr">
        <is>
          <t>Recommended</t>
        </is>
      </c>
      <c r="E136" s="5" t="inlineStr">
        <is>
          <t>Optional</t>
        </is>
      </c>
      <c r="F136" s="5" t="inlineStr">
        <is>
          <t>P2</t>
        </is>
      </c>
      <c r="G136" s="5" t="inlineStr">
        <is>
          <t>True/False</t>
        </is>
      </c>
      <c r="H136" s="5" t="inlineStr">
        <is>
          <t>TYPE:BOOLEAN|ALLOWED:TRUE,FALSE</t>
        </is>
      </c>
      <c r="I136" s="5" t="inlineStr">
        <is>
          <t>Effective-dated</t>
        </is>
      </c>
      <c r="J136" s="5" t="inlineStr">
        <is>
          <t>One-to-one</t>
        </is>
      </c>
      <c r="K136" s="5" t="inlineStr">
        <is>
          <t>N/A — not a one-to-many numeric field</t>
        </is>
      </c>
      <c r="L136" s="5" t="inlineStr">
        <is>
          <t>User Validation</t>
        </is>
      </c>
      <c r="M136" s="5" t="inlineStr">
        <is>
          <t>CIL Architecture Team</t>
        </is>
      </c>
      <c r="N136" s="5" t="inlineStr">
        <is>
          <t>2026-06-28</t>
        </is>
      </c>
      <c r="O136" s="5" t="inlineStr">
        <is>
          <t>CorpStage CIL Registry v1.7</t>
        </is>
      </c>
      <c r="P136" s="5" t="inlineStr">
        <is>
          <t>Group only (single enterprise-wide fact, does not repeat per node)</t>
        </is>
      </c>
      <c r="Q136" s="5" t="inlineStr">
        <is>
          <t>Global</t>
        </is>
      </c>
      <c r="R136" s="5" t="inlineStr">
        <is>
          <t>Tier 1 (Standard) — available to all frameworks and all customers</t>
        </is>
      </c>
      <c r="S136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37" ht="15" customHeight="1" s="6">
      <c r="A137" s="5" t="inlineStr">
        <is>
          <t>CDE-L136</t>
        </is>
      </c>
      <c r="B137" s="5" t="inlineStr">
        <is>
          <t>Average Contract Negotiation Cycle Time (Days)</t>
        </is>
      </c>
      <c r="C137" s="5" t="inlineStr">
        <is>
          <t>Numeric</t>
        </is>
      </c>
      <c r="D137" s="5" t="inlineStr">
        <is>
          <t>Recommended</t>
        </is>
      </c>
      <c r="E137" s="5" t="inlineStr">
        <is>
          <t>Optional</t>
        </is>
      </c>
      <c r="F137" s="5" t="inlineStr">
        <is>
          <t>P2</t>
        </is>
      </c>
      <c r="G137" s="5" t="inlineStr">
        <is>
          <t>&gt;=0, numeric</t>
        </is>
      </c>
      <c r="H137" s="5" t="inlineStr">
        <is>
          <t>TYPE:NUMERIC|MIN:0</t>
        </is>
      </c>
      <c r="I137" s="5" t="inlineStr">
        <is>
          <t>Effective-dated</t>
        </is>
      </c>
      <c r="J137" s="5" t="inlineStr">
        <is>
          <t>One-to-one</t>
        </is>
      </c>
      <c r="K137" s="5" t="inlineStr">
        <is>
          <t>N/A — not a one-to-many numeric field</t>
        </is>
      </c>
      <c r="L137" s="5" t="inlineStr">
        <is>
          <t>CLM Platform (DocuSign CLM, Icertis, Ironclad)</t>
        </is>
      </c>
      <c r="M137" s="5" t="inlineStr">
        <is>
          <t>CIL Architecture Team</t>
        </is>
      </c>
      <c r="N137" s="5" t="inlineStr">
        <is>
          <t>2026-06-28</t>
        </is>
      </c>
      <c r="O137" s="5" t="inlineStr">
        <is>
          <t>CorpStage CIL Registry v1.8</t>
        </is>
      </c>
      <c r="P137" s="5" t="inlineStr">
        <is>
          <t>Group only (single enterprise-wide fact, does not repeat per node)</t>
        </is>
      </c>
      <c r="Q137" s="5" t="inlineStr">
        <is>
          <t>Global</t>
        </is>
      </c>
      <c r="R137" s="5" t="inlineStr">
        <is>
          <t>Tier 1 (Standard) — available to all frameworks and all customers</t>
        </is>
      </c>
      <c r="S137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38" ht="15" customHeight="1" s="6">
      <c r="A138" s="5" t="inlineStr">
        <is>
          <t>CDE-L137</t>
        </is>
      </c>
      <c r="B138" s="5" t="inlineStr">
        <is>
          <t>Standard NDA/Confidentiality Agreement Template Usage Rate %</t>
        </is>
      </c>
      <c r="C138" s="5" t="inlineStr">
        <is>
          <t>Numeric</t>
        </is>
      </c>
      <c r="D138" s="5" t="inlineStr">
        <is>
          <t>Supplemental</t>
        </is>
      </c>
      <c r="E138" s="5" t="inlineStr">
        <is>
          <t>Optional</t>
        </is>
      </c>
      <c r="F138" s="5" t="inlineStr">
        <is>
          <t>P3</t>
        </is>
      </c>
      <c r="G138" s="5" t="inlineStr">
        <is>
          <t>0-100, numeric</t>
        </is>
      </c>
      <c r="H138" s="5" t="inlineStr">
        <is>
          <t>TYPE:NUMERIC|MIN:0|MAX:100</t>
        </is>
      </c>
      <c r="I138" s="5" t="inlineStr">
        <is>
          <t>Effective-dated</t>
        </is>
      </c>
      <c r="J138" s="5" t="inlineStr">
        <is>
          <t>One-to-one</t>
        </is>
      </c>
      <c r="K138" s="5" t="inlineStr">
        <is>
          <t>N/A — not a one-to-many numeric field</t>
        </is>
      </c>
      <c r="L138" s="5" t="inlineStr">
        <is>
          <t>CLM Platform (DocuSign CLM, Icertis, Ironclad)</t>
        </is>
      </c>
      <c r="M138" s="5" t="inlineStr">
        <is>
          <t>CIL Architecture Team</t>
        </is>
      </c>
      <c r="N138" s="5" t="inlineStr">
        <is>
          <t>2026-06-28</t>
        </is>
      </c>
      <c r="O138" s="5" t="inlineStr">
        <is>
          <t>CorpStage CIL Registry v1.8</t>
        </is>
      </c>
      <c r="P138" s="5" t="inlineStr">
        <is>
          <t>Group only (single enterprise-wide fact, does not repeat per node)</t>
        </is>
      </c>
      <c r="Q138" s="5" t="inlineStr">
        <is>
          <t>Global</t>
        </is>
      </c>
      <c r="R138" s="5" t="inlineStr">
        <is>
          <t>Tier 1 (Standard) — available to all frameworks and all customers</t>
        </is>
      </c>
      <c r="S138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39" ht="15" customHeight="1" s="6">
      <c r="A139" s="5" t="inlineStr">
        <is>
          <t>CDE-L138</t>
        </is>
      </c>
      <c r="B139" s="5" t="inlineStr">
        <is>
          <t>Outside Counsel Matter Satisfaction/Quality Rating Documented</t>
        </is>
      </c>
      <c r="C139" s="5" t="inlineStr">
        <is>
          <t>Boolean</t>
        </is>
      </c>
      <c r="D139" s="5" t="inlineStr">
        <is>
          <t>Supplemental</t>
        </is>
      </c>
      <c r="E139" s="5" t="inlineStr">
        <is>
          <t>Optional</t>
        </is>
      </c>
      <c r="F139" s="5" t="inlineStr">
        <is>
          <t>P3</t>
        </is>
      </c>
      <c r="G139" s="5" t="inlineStr">
        <is>
          <t>True/False/Unknown (tri-state)</t>
        </is>
      </c>
      <c r="H139" s="5" t="inlineStr">
        <is>
          <t>TYPE:BOOLEAN|ALLOWED:TRUE,FALSE,UNKNOWN</t>
        </is>
      </c>
      <c r="I139" s="5" t="inlineStr">
        <is>
          <t>Effective-dated</t>
        </is>
      </c>
      <c r="J139" s="5" t="inlineStr">
        <is>
          <t>One-to-one</t>
        </is>
      </c>
      <c r="K139" s="5" t="inlineStr">
        <is>
          <t>N/A — not a one-to-many numeric field</t>
        </is>
      </c>
      <c r="L139" s="5" t="inlineStr">
        <is>
          <t>User Validation</t>
        </is>
      </c>
      <c r="M139" s="5" t="inlineStr">
        <is>
          <t>CIL Architecture Team</t>
        </is>
      </c>
      <c r="N139" s="5" t="inlineStr">
        <is>
          <t>2026-06-28</t>
        </is>
      </c>
      <c r="O139" s="5" t="inlineStr">
        <is>
          <t>CorpStage CIL Registry v1.8</t>
        </is>
      </c>
      <c r="P139" s="5" t="inlineStr">
        <is>
          <t>Group only (single enterprise-wide fact, does not repeat per node)</t>
        </is>
      </c>
      <c r="Q139" s="5" t="inlineStr">
        <is>
          <t>Global</t>
        </is>
      </c>
      <c r="R139" s="5" t="inlineStr">
        <is>
          <t>Tier 1 (Standard) — available to all frameworks and all customers</t>
        </is>
      </c>
      <c r="S139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40" ht="15" customHeight="1" s="6">
      <c r="A140" s="5" t="inlineStr">
        <is>
          <t>CDE-L139</t>
        </is>
      </c>
      <c r="B140" s="5" t="inlineStr">
        <is>
          <t>Open-Source Software License Compliance Process Documented (Distinct from Security Risk Management)</t>
        </is>
      </c>
      <c r="C140" s="5" t="inlineStr">
        <is>
          <t>Boolean</t>
        </is>
      </c>
      <c r="D140" s="5" t="inlineStr">
        <is>
          <t>Recommended</t>
        </is>
      </c>
      <c r="E140" s="5" t="inlineStr">
        <is>
          <t>Optional</t>
        </is>
      </c>
      <c r="F140" s="5" t="inlineStr">
        <is>
          <t>P2</t>
        </is>
      </c>
      <c r="G140" s="5" t="inlineStr">
        <is>
          <t>True/False</t>
        </is>
      </c>
      <c r="H140" s="5" t="inlineStr">
        <is>
          <t>TYPE:BOOLEAN|ALLOWED:TRUE,FALSE</t>
        </is>
      </c>
      <c r="I140" s="5" t="inlineStr">
        <is>
          <t>Effective-dated</t>
        </is>
      </c>
      <c r="J140" s="5" t="inlineStr">
        <is>
          <t>One-to-one</t>
        </is>
      </c>
      <c r="K140" s="5" t="inlineStr">
        <is>
          <t>N/A — not a one-to-many numeric field</t>
        </is>
      </c>
      <c r="L140" s="5" t="inlineStr">
        <is>
          <t>User Validation</t>
        </is>
      </c>
      <c r="M140" s="5" t="inlineStr">
        <is>
          <t>CIL Architecture Team</t>
        </is>
      </c>
      <c r="N140" s="5" t="inlineStr">
        <is>
          <t>2026-06-28</t>
        </is>
      </c>
      <c r="O140" s="5" t="inlineStr">
        <is>
          <t>CorpStage CIL Registry v1.8</t>
        </is>
      </c>
      <c r="P140" s="5" t="inlineStr">
        <is>
          <t>Group only (single enterprise-wide fact, does not repeat per node)</t>
        </is>
      </c>
      <c r="Q140" s="5" t="inlineStr">
        <is>
          <t>Global</t>
        </is>
      </c>
      <c r="R140" s="5" t="inlineStr">
        <is>
          <t>Tier 1 (Standard) — available to all frameworks and all customers</t>
        </is>
      </c>
      <c r="S140" s="5" t="inlineStr">
        <is>
          <t>Distinct from Domain 7 ESG &amp; Sustainability Intelligence's CDE-E292 (Open-Source Software Supply Chain Risk Management Process Documented), which covers SECURITY/SUPPLY-CHAIN risk from open-source dependencies. This CDE captures LICENSE COMPLIANCE specifically (copyleft obligations, attribution requirements) — a distinct legal-obligation concern even though both relate to open-source software.</t>
        </is>
      </c>
    </row>
    <row r="141" ht="15" customHeight="1" s="6">
      <c r="A141" s="5" t="inlineStr">
        <is>
          <t>CDE-L140</t>
        </is>
      </c>
      <c r="B141" s="5" t="inlineStr">
        <is>
          <t>Litigation Spend-to-Outcome-Value Ratio Tracked</t>
        </is>
      </c>
      <c r="C141" s="5" t="inlineStr">
        <is>
          <t>Boolean</t>
        </is>
      </c>
      <c r="D141" s="5" t="inlineStr">
        <is>
          <t>Supplemental</t>
        </is>
      </c>
      <c r="E141" s="5" t="inlineStr">
        <is>
          <t>Optional</t>
        </is>
      </c>
      <c r="F141" s="5" t="inlineStr">
        <is>
          <t>P3</t>
        </is>
      </c>
      <c r="G141" s="5" t="inlineStr">
        <is>
          <t>True/False/Unknown (tri-state)</t>
        </is>
      </c>
      <c r="H141" s="5" t="inlineStr">
        <is>
          <t>TYPE:BOOLEAN|ALLOWED:TRUE,FALSE,UNKNOWN</t>
        </is>
      </c>
      <c r="I141" s="5" t="inlineStr">
        <is>
          <t>Effective-dated</t>
        </is>
      </c>
      <c r="J141" s="5" t="inlineStr">
        <is>
          <t>One-to-one</t>
        </is>
      </c>
      <c r="K141" s="5" t="inlineStr">
        <is>
          <t>N/A — not a one-to-many numeric field</t>
        </is>
      </c>
      <c r="L141" s="5" t="inlineStr">
        <is>
          <t>Finance / ERP System (SAP S/4HANA, Oracle Fusion, NetSuite)</t>
        </is>
      </c>
      <c r="M141" s="5" t="inlineStr">
        <is>
          <t>CIL Architecture Team</t>
        </is>
      </c>
      <c r="N141" s="5" t="inlineStr">
        <is>
          <t>2026-06-28</t>
        </is>
      </c>
      <c r="O141" s="5" t="inlineStr">
        <is>
          <t>CorpStage CIL Registry v1.8</t>
        </is>
      </c>
      <c r="P141" s="5" t="inlineStr">
        <is>
          <t>Group only (single enterprise-wide fact, does not repeat per node)</t>
        </is>
      </c>
      <c r="Q141" s="5" t="inlineStr">
        <is>
          <t>Global</t>
        </is>
      </c>
      <c r="R141" s="5" t="inlineStr">
        <is>
          <t>Tier 1 (Standard) — available to all frameworks and all customers</t>
        </is>
      </c>
      <c r="S141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42" ht="15" customHeight="1" s="6">
      <c r="A142" s="5" t="inlineStr">
        <is>
          <t>CDE-L141</t>
        </is>
      </c>
      <c r="B142" s="5" t="inlineStr">
        <is>
          <t>Trade Secret Misappropriation Claim (DTSA/UTSA-Specific, Current Period, Count)</t>
        </is>
      </c>
      <c r="C142" s="5" t="inlineStr">
        <is>
          <t>Numeric</t>
        </is>
      </c>
      <c r="D142" s="5" t="inlineStr">
        <is>
          <t>Recommended</t>
        </is>
      </c>
      <c r="E142" s="5" t="inlineStr">
        <is>
          <t>Optional</t>
        </is>
      </c>
      <c r="F142" s="5" t="inlineStr">
        <is>
          <t>P2</t>
        </is>
      </c>
      <c r="G142" s="5" t="inlineStr">
        <is>
          <t>&gt;=0, integer</t>
        </is>
      </c>
      <c r="H142" s="5" t="inlineStr">
        <is>
          <t>TYPE:INTEGER|MIN:0</t>
        </is>
      </c>
      <c r="I142" s="5" t="inlineStr">
        <is>
          <t>Effective-dated</t>
        </is>
      </c>
      <c r="J142" s="5" t="inlineStr">
        <is>
          <t>One-to-one</t>
        </is>
      </c>
      <c r="K142" s="5" t="inlineStr">
        <is>
          <t>N/A — not a one-to-many numeric field</t>
        </is>
      </c>
      <c r="L142" s="5" t="inlineStr">
        <is>
          <t>Regulatory Filings (SEC EDGAR, Companies House, National Business Registry)</t>
        </is>
      </c>
      <c r="M142" s="5" t="inlineStr">
        <is>
          <t>CIL Architecture Team</t>
        </is>
      </c>
      <c r="N142" s="5" t="inlineStr">
        <is>
          <t>2026-06-28</t>
        </is>
      </c>
      <c r="O142" s="5" t="inlineStr">
        <is>
          <t>CorpStage CIL Registry v1.9</t>
        </is>
      </c>
      <c r="P142" s="5" t="inlineStr">
        <is>
          <t>Group only (single enterprise-wide fact, does not repeat per node)</t>
        </is>
      </c>
      <c r="Q142" s="5" t="inlineStr">
        <is>
          <t>Global</t>
        </is>
      </c>
      <c r="R142" s="5" t="inlineStr">
        <is>
          <t>Tier 1 (Standard) — available to all frameworks and all customers</t>
        </is>
      </c>
      <c r="S142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43" ht="15" customHeight="1" s="6">
      <c r="A143" s="5" t="inlineStr">
        <is>
          <t>CDE-L142</t>
        </is>
      </c>
      <c r="B143" s="5" t="inlineStr">
        <is>
          <t>Most-Favored-Customer/Most-Favored-Nation Clause Documented</t>
        </is>
      </c>
      <c r="C143" s="5" t="inlineStr">
        <is>
          <t>Boolean</t>
        </is>
      </c>
      <c r="D143" s="5" t="inlineStr">
        <is>
          <t>Recommended</t>
        </is>
      </c>
      <c r="E143" s="5" t="inlineStr">
        <is>
          <t>Optional</t>
        </is>
      </c>
      <c r="F143" s="5" t="inlineStr">
        <is>
          <t>P2</t>
        </is>
      </c>
      <c r="G143" s="5" t="inlineStr">
        <is>
          <t>True/False</t>
        </is>
      </c>
      <c r="H143" s="5" t="inlineStr">
        <is>
          <t>TYPE:BOOLEAN|ALLOWED:TRUE,FALSE</t>
        </is>
      </c>
      <c r="I143" s="5" t="inlineStr">
        <is>
          <t>Effective-dated</t>
        </is>
      </c>
      <c r="J143" s="5" t="inlineStr">
        <is>
          <t>One-to-one</t>
        </is>
      </c>
      <c r="K143" s="5" t="inlineStr">
        <is>
          <t>N/A — not a one-to-many numeric field</t>
        </is>
      </c>
      <c r="L143" s="5" t="inlineStr">
        <is>
          <t>User Validation</t>
        </is>
      </c>
      <c r="M143" s="5" t="inlineStr">
        <is>
          <t>CIL Architecture Team</t>
        </is>
      </c>
      <c r="N143" s="5" t="inlineStr">
        <is>
          <t>2026-06-28</t>
        </is>
      </c>
      <c r="O143" s="5" t="inlineStr">
        <is>
          <t>CorpStage CIL Registry v1.9</t>
        </is>
      </c>
      <c r="P143" s="5" t="inlineStr">
        <is>
          <t>Group only (single enterprise-wide fact, does not repeat per node)</t>
        </is>
      </c>
      <c r="Q143" s="5" t="inlineStr">
        <is>
          <t>Global</t>
        </is>
      </c>
      <c r="R143" s="5" t="inlineStr">
        <is>
          <t>Tier 1 (Standard) — available to all frameworks and all customers</t>
        </is>
      </c>
      <c r="S143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44" ht="15" customHeight="1" s="6">
      <c r="A144" s="5" t="inlineStr">
        <is>
          <t>CDE-L143</t>
        </is>
      </c>
      <c r="B144" s="5" t="inlineStr">
        <is>
          <t>Legal Department Generative AI Tool Adoption for Drafting/Research</t>
        </is>
      </c>
      <c r="C144" s="5" t="inlineStr">
        <is>
          <t>Boolean</t>
        </is>
      </c>
      <c r="D144" s="5" t="inlineStr">
        <is>
          <t>Recommended</t>
        </is>
      </c>
      <c r="E144" s="5" t="inlineStr">
        <is>
          <t>Optional</t>
        </is>
      </c>
      <c r="F144" s="5" t="inlineStr">
        <is>
          <t>P2</t>
        </is>
      </c>
      <c r="G144" s="5" t="inlineStr">
        <is>
          <t>True/False</t>
        </is>
      </c>
      <c r="H144" s="5" t="inlineStr">
        <is>
          <t>TYPE:BOOLEAN|ALLOWED:TRUE,FALSE</t>
        </is>
      </c>
      <c r="I144" s="5" t="inlineStr">
        <is>
          <t>Effective-dated</t>
        </is>
      </c>
      <c r="J144" s="5" t="inlineStr">
        <is>
          <t>One-to-one</t>
        </is>
      </c>
      <c r="K144" s="5" t="inlineStr">
        <is>
          <t>N/A — not a one-to-many numeric field</t>
        </is>
      </c>
      <c r="L144" s="5" t="inlineStr">
        <is>
          <t>User Validation</t>
        </is>
      </c>
      <c r="M144" s="5" t="inlineStr">
        <is>
          <t>CIL Architecture Team</t>
        </is>
      </c>
      <c r="N144" s="5" t="inlineStr">
        <is>
          <t>2026-06-28</t>
        </is>
      </c>
      <c r="O144" s="5" t="inlineStr">
        <is>
          <t>CorpStage CIL Registry v1.9</t>
        </is>
      </c>
      <c r="P144" s="5" t="inlineStr">
        <is>
          <t>Group only (single enterprise-wide fact, does not repeat per node)</t>
        </is>
      </c>
      <c r="Q144" s="5" t="inlineStr">
        <is>
          <t>Global</t>
        </is>
      </c>
      <c r="R144" s="5" t="inlineStr">
        <is>
          <t>Tier 1 (Standard) — available to all frameworks and all customers</t>
        </is>
      </c>
      <c r="S144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45" ht="15" customHeight="1" s="6">
      <c r="A145" s="5" t="inlineStr">
        <is>
          <t>CDE-L144</t>
        </is>
      </c>
      <c r="B145" s="5" t="inlineStr">
        <is>
          <t>Patent Freedom-to-Operate Analysis Conducted</t>
        </is>
      </c>
      <c r="C145" s="5" t="inlineStr">
        <is>
          <t>Boolean</t>
        </is>
      </c>
      <c r="D145" s="5" t="inlineStr">
        <is>
          <t>Recommended</t>
        </is>
      </c>
      <c r="E145" s="5" t="inlineStr">
        <is>
          <t>Optional</t>
        </is>
      </c>
      <c r="F145" s="5" t="inlineStr">
        <is>
          <t>P2</t>
        </is>
      </c>
      <c r="G145" s="5" t="inlineStr">
        <is>
          <t>True/False/Unknown (tri-state)</t>
        </is>
      </c>
      <c r="H145" s="5" t="inlineStr">
        <is>
          <t>TYPE:BOOLEAN|ALLOWED:TRUE,FALSE,UNKNOWN</t>
        </is>
      </c>
      <c r="I145" s="5" t="inlineStr">
        <is>
          <t>Effective-dated</t>
        </is>
      </c>
      <c r="J145" s="5" t="inlineStr">
        <is>
          <t>One-to-one</t>
        </is>
      </c>
      <c r="K145" s="5" t="inlineStr">
        <is>
          <t>N/A — not a one-to-many numeric field</t>
        </is>
      </c>
      <c r="L145" s="5" t="inlineStr">
        <is>
          <t>User Validation</t>
        </is>
      </c>
      <c r="M145" s="5" t="inlineStr">
        <is>
          <t>CIL Architecture Team</t>
        </is>
      </c>
      <c r="N145" s="5" t="inlineStr">
        <is>
          <t>2026-06-28</t>
        </is>
      </c>
      <c r="O145" s="5" t="inlineStr">
        <is>
          <t>CorpStage CIL Registry v1.9</t>
        </is>
      </c>
      <c r="P145" s="5" t="inlineStr">
        <is>
          <t>Group only (single enterprise-wide fact, does not repeat per node)</t>
        </is>
      </c>
      <c r="Q145" s="5" t="inlineStr">
        <is>
          <t>Global</t>
        </is>
      </c>
      <c r="R145" s="5" t="inlineStr">
        <is>
          <t>Tier 1 (Standard) — available to all frameworks and all customers</t>
        </is>
      </c>
      <c r="S145" s="5" t="inlineStr">
        <is>
          <t>Owned by D08 Legal Intelligence as a legal matter, contract, or IP intelligence fact. Regulatory compliance obligation that may trigger legal risk owned by D06. D08 owns the legal system-of-record facts; D06 owns the regulatory compliance dimension.</t>
        </is>
      </c>
    </row>
    <row r="146" ht="15" customHeight="1" s="6">
      <c r="A146" s="5" t="inlineStr">
        <is>
          <t>CDE-L145</t>
        </is>
      </c>
      <c r="B146" s="5" t="inlineStr">
        <is>
          <t>Material Contract Currency/FX Risk Allocation Clause Documented</t>
        </is>
      </c>
      <c r="C146" s="5" t="inlineStr">
        <is>
          <t>Boolean</t>
        </is>
      </c>
      <c r="D146" s="5" t="inlineStr">
        <is>
          <t>Supplemental</t>
        </is>
      </c>
      <c r="E146" s="5" t="inlineStr">
        <is>
          <t>Optional</t>
        </is>
      </c>
      <c r="F146" s="5" t="inlineStr">
        <is>
          <t>P3</t>
        </is>
      </c>
      <c r="G146" s="5" t="inlineStr">
        <is>
          <t>True/False/Unknown (tri-state)</t>
        </is>
      </c>
      <c r="H146" s="5" t="inlineStr">
        <is>
          <t>TYPE:BOOLEAN|ALLOWED:TRUE,FALSE,UNKNOWN</t>
        </is>
      </c>
      <c r="I146" s="5" t="inlineStr">
        <is>
          <t>Effective-dated</t>
        </is>
      </c>
      <c r="J146" s="5" t="inlineStr">
        <is>
          <t>One-to-one</t>
        </is>
      </c>
      <c r="K146" s="5" t="inlineStr">
        <is>
          <t>N/A — not a one-to-many numeric field</t>
        </is>
      </c>
      <c r="L146" s="5" t="inlineStr">
        <is>
          <t>User Validation</t>
        </is>
      </c>
      <c r="M146" s="5" t="inlineStr">
        <is>
          <t>CIL Architecture Team</t>
        </is>
      </c>
      <c r="N146" s="5" t="inlineStr">
        <is>
          <t>2026-06-28</t>
        </is>
      </c>
      <c r="O146" s="5" t="inlineStr">
        <is>
          <t>CorpStage CIL Registry v1.9</t>
        </is>
      </c>
      <c r="P146" s="5" t="inlineStr">
        <is>
          <t>Group only (single enterprise-wide fact, does not repeat per node)</t>
        </is>
      </c>
      <c r="Q146" s="5" t="inlineStr">
        <is>
          <t>Global</t>
        </is>
      </c>
      <c r="R146" s="5" t="inlineStr">
        <is>
          <t>Tier 1 (Standard) — available to all frameworks and all customers</t>
        </is>
      </c>
      <c r="S146" s="5" t="inlineStr">
        <is>
          <t>Distinct from Domain 3 Financial Intelligence's CDE-F119/120 (Net Foreign Exchange Exposure Amount/Currency Pair — the AGGREGATE QUANTIFIED exposure). This CDE captures the underlying CONTRACTUAL MECHANISM (a currency-adjustment or FX-risk-allocation clause within a specific contract) that Domain 3's aggregate figure is ultimately derived from.</t>
        </is>
      </c>
    </row>
    <row r="147" ht="15" customHeight="1" s="6">
      <c r="A147" s="5" t="inlineStr">
        <is>
          <t>CDE-L146</t>
        </is>
      </c>
      <c r="B147" s="5" t="inlineStr">
        <is>
          <t>Legal Proceeding Known to be Contemplated by Governmental Authority (Pre-Filing)</t>
        </is>
      </c>
      <c r="C147" s="5" t="inlineStr">
        <is>
          <t>Boolean</t>
        </is>
      </c>
      <c r="D147" s="5" t="inlineStr">
        <is>
          <t>Required</t>
        </is>
      </c>
      <c r="E147" s="5" t="inlineStr">
        <is>
          <t>Framework Specific</t>
        </is>
      </c>
      <c r="F147" s="5" t="inlineStr">
        <is>
          <t>P1</t>
        </is>
      </c>
      <c r="G147" s="5" t="inlineStr">
        <is>
          <t>True/False/Unknown (tri-state)</t>
        </is>
      </c>
      <c r="H147" s="5" t="inlineStr">
        <is>
          <t>TYPE:BOOLEAN|ALLOWED:TRUE,FALSE,UNKNOWN</t>
        </is>
      </c>
      <c r="I147" s="5" t="inlineStr">
        <is>
          <t>Effective-dated</t>
        </is>
      </c>
      <c r="J147" s="5" t="inlineStr">
        <is>
          <t>One-to-one</t>
        </is>
      </c>
      <c r="K147" s="5" t="inlineStr">
        <is>
          <t>N/A — not a one-to-many numeric field</t>
        </is>
      </c>
      <c r="L147" s="5" t="inlineStr">
        <is>
          <t>Regulatory Filings (SEC EDGAR, Companies House, National Business Registry)</t>
        </is>
      </c>
      <c r="M147" s="5" t="inlineStr">
        <is>
          <t>CIL Architecture Team</t>
        </is>
      </c>
      <c r="N147" s="5" t="inlineStr">
        <is>
          <t>2026-06-28</t>
        </is>
      </c>
      <c r="O147" s="5" t="inlineStr">
        <is>
          <t>CorpStage CIL Registry v2.0</t>
        </is>
      </c>
      <c r="P147" s="5" t="inlineStr">
        <is>
          <t>Group only (single enterprise-wide fact, does not repeat per node)</t>
        </is>
      </c>
      <c r="Q147" s="5" t="inlineStr">
        <is>
          <t>Global</t>
        </is>
      </c>
      <c r="R147" s="5" t="inlineStr">
        <is>
          <t>Tier 1 (Standard) — available to all frameworks and all customers</t>
        </is>
      </c>
      <c r="S147" s="5" t="inlineStr">
        <is>
          <t>SEC Regulation S-K, Item 103 (verified via primary 17 CFR § 229.103 source text, cross-confirmed across 5+ independent CFR mirrors).</t>
        </is>
      </c>
    </row>
    <row r="148" ht="15" customHeight="1" s="6">
      <c r="A148" s="5" t="inlineStr">
        <is>
          <t>CDE-L147</t>
        </is>
      </c>
      <c r="B148" s="5" t="inlineStr">
        <is>
          <t>Litigation Matter Classified as Ordinary Routine Litigation (SEC Item 103 Carve-Out Test)</t>
        </is>
      </c>
      <c r="C148" s="5" t="inlineStr">
        <is>
          <t>Boolean</t>
        </is>
      </c>
      <c r="D148" s="5" t="inlineStr">
        <is>
          <t>Required</t>
        </is>
      </c>
      <c r="E148" s="5" t="inlineStr">
        <is>
          <t>Framework Specific</t>
        </is>
      </c>
      <c r="F148" s="5" t="inlineStr">
        <is>
          <t>P1</t>
        </is>
      </c>
      <c r="G148" s="5" t="inlineStr">
        <is>
          <t>True/False</t>
        </is>
      </c>
      <c r="H148" s="5" t="inlineStr">
        <is>
          <t>TYPE:BOOLEAN|ALLOWED:TRUE,FALSE</t>
        </is>
      </c>
      <c r="I148" s="5" t="inlineStr">
        <is>
          <t>Effective-dated</t>
        </is>
      </c>
      <c r="J148" s="5" t="inlineStr">
        <is>
          <t>One-to-many</t>
        </is>
      </c>
      <c r="K148" s="5" t="inlineStr">
        <is>
          <t>N/A — not a one-to-many numeric field</t>
        </is>
      </c>
      <c r="L148" s="5" t="inlineStr">
        <is>
          <t>User Validation</t>
        </is>
      </c>
      <c r="M148" s="5" t="inlineStr">
        <is>
          <t>CIL Architecture Team</t>
        </is>
      </c>
      <c r="N148" s="5" t="inlineStr">
        <is>
          <t>2026-06-28</t>
        </is>
      </c>
      <c r="O148" s="5" t="inlineStr">
        <is>
          <t>CorpStage CIL Registry v2.0</t>
        </is>
      </c>
      <c r="P148" s="5" t="inlineStr">
        <is>
          <t>Company, Group (collected per legal entity, not below Company level)</t>
        </is>
      </c>
      <c r="Q148" s="5" t="inlineStr">
        <is>
          <t>Global</t>
        </is>
      </c>
      <c r="R148" s="5" t="inlineStr">
        <is>
          <t>Tier 1 (Standard) — available to all frameworks and all customers</t>
        </is>
      </c>
      <c r="S148" s="5" t="inlineStr">
        <is>
          <t>SEC Regulation S-K, Item 103 (verified via primary 17 CFR § 229.103 source text, cross-confirmed across 5+ independent CFR mirrors).</t>
        </is>
      </c>
    </row>
    <row r="149" ht="15" customHeight="1" s="6">
      <c r="A149" s="5" t="inlineStr">
        <is>
          <t>CDE-L148</t>
        </is>
      </c>
      <c r="B149" s="5" t="inlineStr">
        <is>
          <t>Environmental Proceeding Meets SEC Item 103(c)(3) Materiality Test (10% Current Assets or $300K-$1M Sanctions)</t>
        </is>
      </c>
      <c r="C149" s="5" t="inlineStr">
        <is>
          <t>Boolean</t>
        </is>
      </c>
      <c r="D149" s="5" t="inlineStr">
        <is>
          <t>Recommended</t>
        </is>
      </c>
      <c r="E149" s="5" t="inlineStr">
        <is>
          <t>Framework Specific</t>
        </is>
      </c>
      <c r="F149" s="5" t="inlineStr">
        <is>
          <t>P2</t>
        </is>
      </c>
      <c r="G149" s="5" t="inlineStr">
        <is>
          <t>True/False/Unknown (tri-state)</t>
        </is>
      </c>
      <c r="H149" s="5" t="inlineStr">
        <is>
          <t>TYPE:BOOLEAN|ALLOWED:TRUE,FALSE,UNKNOWN</t>
        </is>
      </c>
      <c r="I149" s="5" t="inlineStr">
        <is>
          <t>Effective-dated</t>
        </is>
      </c>
      <c r="J149" s="5" t="inlineStr">
        <is>
          <t>One-to-many</t>
        </is>
      </c>
      <c r="K149" s="5" t="inlineStr">
        <is>
          <t>N/A — not a one-to-many numeric field</t>
        </is>
      </c>
      <c r="L149" s="5" t="inlineStr">
        <is>
          <t>Regulatory Filings (SEC EDGAR, Companies House, National Business Registry)</t>
        </is>
      </c>
      <c r="M149" s="5" t="inlineStr">
        <is>
          <t>CIL Architecture Team</t>
        </is>
      </c>
      <c r="N149" s="5" t="inlineStr">
        <is>
          <t>2026-06-28</t>
        </is>
      </c>
      <c r="O149" s="5" t="inlineStr">
        <is>
          <t>CorpStage CIL Registry v2.0</t>
        </is>
      </c>
      <c r="P149" s="5" t="inlineStr">
        <is>
          <t>Company, Group (collected per legal entity, not below Company level)</t>
        </is>
      </c>
      <c r="Q149" s="5" t="inlineStr">
        <is>
          <t>Global</t>
        </is>
      </c>
      <c r="R149" s="5" t="inlineStr">
        <is>
          <t>Tier 1 (Standard) — available to all frameworks and all customers</t>
        </is>
      </c>
      <c r="S149" s="5" t="inlineStr">
        <is>
          <t>SEC Regulation S-K, Item 103 (verified via primary 17 CFR § 229.103 source text, cross-confirmed across 5+ independent CFR mirrors).</t>
        </is>
      </c>
    </row>
    <row r="150" ht="15" customHeight="1" s="6">
      <c r="A150" s="5" t="inlineStr">
        <is>
          <t>CDE-L149</t>
        </is>
      </c>
      <c r="B150" s="5" t="inlineStr">
        <is>
          <t>Legal Proceeding Disclosed via Hyperlink/Cross-Reference (MD&amp;A/Risk Factors/Financial Notes)</t>
        </is>
      </c>
      <c r="C150" s="5" t="inlineStr">
        <is>
          <t>Boolean</t>
        </is>
      </c>
      <c r="D150" s="5" t="inlineStr">
        <is>
          <t>Supplemental</t>
        </is>
      </c>
      <c r="E150" s="5" t="inlineStr">
        <is>
          <t>Framework Specific</t>
        </is>
      </c>
      <c r="F150" s="5" t="inlineStr">
        <is>
          <t>P3</t>
        </is>
      </c>
      <c r="G150" s="5" t="inlineStr">
        <is>
          <t>True/False/Unknown (tri-state)</t>
        </is>
      </c>
      <c r="H150" s="5" t="inlineStr">
        <is>
          <t>TYPE:BOOLEAN|ALLOWED:TRUE,FALSE,UNKNOWN</t>
        </is>
      </c>
      <c r="I150" s="5" t="inlineStr">
        <is>
          <t>Effective-dated</t>
        </is>
      </c>
      <c r="J150" s="5" t="inlineStr">
        <is>
          <t>One-to-many</t>
        </is>
      </c>
      <c r="K150" s="5" t="inlineStr">
        <is>
          <t>N/A — not a one-to-many numeric field</t>
        </is>
      </c>
      <c r="L150" s="5" t="inlineStr">
        <is>
          <t>Regulatory Filings (SEC EDGAR, Companies House, National Business Registry)</t>
        </is>
      </c>
      <c r="M150" s="5" t="inlineStr">
        <is>
          <t>CIL Architecture Team</t>
        </is>
      </c>
      <c r="N150" s="5" t="inlineStr">
        <is>
          <t>2026-06-28</t>
        </is>
      </c>
      <c r="O150" s="5" t="inlineStr">
        <is>
          <t>CorpStage CIL Registry v2.0</t>
        </is>
      </c>
      <c r="P150" s="5" t="inlineStr">
        <is>
          <t>Company, Group (collected per legal entity, not below Company level)</t>
        </is>
      </c>
      <c r="Q150" s="5" t="inlineStr">
        <is>
          <t>Global</t>
        </is>
      </c>
      <c r="R150" s="5" t="inlineStr">
        <is>
          <t>Tier 1 (Standard) — available to all frameworks and all customers</t>
        </is>
      </c>
      <c r="S150" s="5" t="inlineStr">
        <is>
          <t>SEC Regulation S-K, Item 103(a) (verified via primary 17 CFR § 229.103 source text).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5" min="1" max="1"/>
    <col width="11" customWidth="1" style="5" min="2" max="2"/>
  </cols>
  <sheetData>
    <row r="1" ht="15" customHeight="1" s="6">
      <c r="A1" s="7" t="inlineStr">
        <is>
          <t>BQ ID</t>
        </is>
      </c>
      <c r="B1" s="7" t="inlineStr">
        <is>
          <t>CDE ID</t>
        </is>
      </c>
    </row>
    <row r="2" ht="15" customHeight="1" s="6">
      <c r="A2" s="8" t="inlineStr">
        <is>
          <t>LG-LIT-001</t>
        </is>
      </c>
      <c r="B2" s="8" t="inlineStr">
        <is>
          <t>CDE-L001</t>
        </is>
      </c>
    </row>
    <row r="3" ht="15" customHeight="1" s="6">
      <c r="A3" s="8" t="inlineStr">
        <is>
          <t>LG-LIT-001</t>
        </is>
      </c>
      <c r="B3" s="8" t="inlineStr">
        <is>
          <t>CDE-L002</t>
        </is>
      </c>
    </row>
    <row r="4" ht="15" customHeight="1" s="6">
      <c r="A4" s="8" t="inlineStr">
        <is>
          <t>LG-LIT-001</t>
        </is>
      </c>
      <c r="B4" s="8" t="inlineStr">
        <is>
          <t>CDE-L003</t>
        </is>
      </c>
    </row>
    <row r="5" ht="15" customHeight="1" s="6">
      <c r="A5" s="8" t="inlineStr">
        <is>
          <t>LG-LIT-001</t>
        </is>
      </c>
      <c r="B5" s="8" t="inlineStr">
        <is>
          <t>CDE-L004</t>
        </is>
      </c>
    </row>
    <row r="6" ht="15" customHeight="1" s="6">
      <c r="A6" s="8" t="inlineStr">
        <is>
          <t>LG-LIT-002</t>
        </is>
      </c>
      <c r="B6" s="8" t="inlineStr">
        <is>
          <t>CDE-L005</t>
        </is>
      </c>
    </row>
    <row r="7" ht="15" customHeight="1" s="6">
      <c r="A7" s="8" t="inlineStr">
        <is>
          <t>LG-LIT-002</t>
        </is>
      </c>
      <c r="B7" s="8" t="inlineStr">
        <is>
          <t>CDE-L006</t>
        </is>
      </c>
    </row>
    <row r="8" ht="15" customHeight="1" s="6">
      <c r="A8" s="8" t="inlineStr">
        <is>
          <t>LG-LIT-003</t>
        </is>
      </c>
      <c r="B8" s="8" t="inlineStr">
        <is>
          <t>CDE-L007</t>
        </is>
      </c>
    </row>
    <row r="9" ht="15" customHeight="1" s="6">
      <c r="A9" s="8" t="inlineStr">
        <is>
          <t>LG-LIT-003</t>
        </is>
      </c>
      <c r="B9" s="8" t="inlineStr">
        <is>
          <t>CDE-L008</t>
        </is>
      </c>
    </row>
    <row r="10" ht="15" customHeight="1" s="6">
      <c r="A10" s="8" t="inlineStr">
        <is>
          <t>LG-LIT-004</t>
        </is>
      </c>
      <c r="B10" s="8" t="inlineStr">
        <is>
          <t>CDE-L009</t>
        </is>
      </c>
    </row>
    <row r="11" ht="15" customHeight="1" s="6">
      <c r="A11" s="8" t="inlineStr">
        <is>
          <t>LG-LIT-004</t>
        </is>
      </c>
      <c r="B11" s="8" t="inlineStr">
        <is>
          <t>CDE-L010</t>
        </is>
      </c>
    </row>
    <row r="12" ht="15" customHeight="1" s="6">
      <c r="A12" s="8" t="inlineStr">
        <is>
          <t>LG-LIT-005</t>
        </is>
      </c>
      <c r="B12" s="8" t="inlineStr">
        <is>
          <t>CDE-L011</t>
        </is>
      </c>
    </row>
    <row r="13" ht="15" customHeight="1" s="6">
      <c r="A13" s="8" t="inlineStr">
        <is>
          <t>LG-LIT-005</t>
        </is>
      </c>
      <c r="B13" s="8" t="inlineStr">
        <is>
          <t>CDE-L012</t>
        </is>
      </c>
    </row>
    <row r="14" ht="15" customHeight="1" s="6">
      <c r="A14" s="8" t="inlineStr">
        <is>
          <t>LG-CON-001</t>
        </is>
      </c>
      <c r="B14" s="8" t="inlineStr">
        <is>
          <t>CDE-L013</t>
        </is>
      </c>
    </row>
    <row r="15" ht="15" customHeight="1" s="6">
      <c r="A15" s="8" t="inlineStr">
        <is>
          <t>LG-CON-001</t>
        </is>
      </c>
      <c r="B15" s="8" t="inlineStr">
        <is>
          <t>CDE-L014</t>
        </is>
      </c>
    </row>
    <row r="16" ht="15" customHeight="1" s="6">
      <c r="A16" s="8" t="inlineStr">
        <is>
          <t>LG-CON-001</t>
        </is>
      </c>
      <c r="B16" s="8" t="inlineStr">
        <is>
          <t>CDE-L015</t>
        </is>
      </c>
    </row>
    <row r="17" ht="15" customHeight="1" s="6">
      <c r="A17" s="8" t="inlineStr">
        <is>
          <t>LG-CON-002</t>
        </is>
      </c>
      <c r="B17" s="8" t="inlineStr">
        <is>
          <t>CDE-L016</t>
        </is>
      </c>
    </row>
    <row r="18" ht="15" customHeight="1" s="6">
      <c r="A18" s="8" t="inlineStr">
        <is>
          <t>LG-CON-002</t>
        </is>
      </c>
      <c r="B18" s="8" t="inlineStr">
        <is>
          <t>CDE-L017</t>
        </is>
      </c>
    </row>
    <row r="19" ht="15" customHeight="1" s="6">
      <c r="A19" s="8" t="inlineStr">
        <is>
          <t>LG-CON-003</t>
        </is>
      </c>
      <c r="B19" s="8" t="inlineStr">
        <is>
          <t>CDE-L018</t>
        </is>
      </c>
    </row>
    <row r="20" ht="15" customHeight="1" s="6">
      <c r="A20" s="8" t="inlineStr">
        <is>
          <t>LG-CON-003</t>
        </is>
      </c>
      <c r="B20" s="8" t="inlineStr">
        <is>
          <t>CDE-L019</t>
        </is>
      </c>
    </row>
    <row r="21" ht="15" customHeight="1" s="6">
      <c r="A21" s="8" t="inlineStr">
        <is>
          <t>LG-CON-004</t>
        </is>
      </c>
      <c r="B21" s="8" t="inlineStr">
        <is>
          <t>CDE-L020</t>
        </is>
      </c>
    </row>
    <row r="22" ht="15" customHeight="1" s="6">
      <c r="A22" s="8" t="inlineStr">
        <is>
          <t>LG-CON-004</t>
        </is>
      </c>
      <c r="B22" s="8" t="inlineStr">
        <is>
          <t>CDE-L021</t>
        </is>
      </c>
    </row>
    <row r="23" ht="15" customHeight="1" s="6">
      <c r="A23" s="8" t="inlineStr">
        <is>
          <t>LG-CON-005</t>
        </is>
      </c>
      <c r="B23" s="8" t="inlineStr">
        <is>
          <t>CDE-L022</t>
        </is>
      </c>
    </row>
    <row r="24" ht="15" customHeight="1" s="6">
      <c r="A24" s="8" t="inlineStr">
        <is>
          <t>LG-CON-005</t>
        </is>
      </c>
      <c r="B24" s="8" t="inlineStr">
        <is>
          <t>CDE-L023</t>
        </is>
      </c>
    </row>
    <row r="25" ht="15" customHeight="1" s="6">
      <c r="A25" s="8" t="inlineStr">
        <is>
          <t>LG-IP-001</t>
        </is>
      </c>
      <c r="B25" s="8" t="inlineStr">
        <is>
          <t>CDE-L024</t>
        </is>
      </c>
    </row>
    <row r="26" ht="15" customHeight="1" s="6">
      <c r="A26" s="8" t="inlineStr">
        <is>
          <t>LG-IP-001</t>
        </is>
      </c>
      <c r="B26" s="8" t="inlineStr">
        <is>
          <t>CDE-L025</t>
        </is>
      </c>
    </row>
    <row r="27" ht="15" customHeight="1" s="6">
      <c r="A27" s="8" t="inlineStr">
        <is>
          <t>LG-IP-001</t>
        </is>
      </c>
      <c r="B27" s="8" t="inlineStr">
        <is>
          <t>CDE-L026</t>
        </is>
      </c>
    </row>
    <row r="28" ht="15" customHeight="1" s="6">
      <c r="A28" s="8" t="inlineStr">
        <is>
          <t>LG-IP-002</t>
        </is>
      </c>
      <c r="B28" s="8" t="inlineStr">
        <is>
          <t>CDE-L027</t>
        </is>
      </c>
    </row>
    <row r="29" ht="15" customHeight="1" s="6">
      <c r="A29" s="8" t="inlineStr">
        <is>
          <t>LG-IP-002</t>
        </is>
      </c>
      <c r="B29" s="8" t="inlineStr">
        <is>
          <t>CDE-L028</t>
        </is>
      </c>
    </row>
    <row r="30" ht="15" customHeight="1" s="6">
      <c r="A30" s="8" t="inlineStr">
        <is>
          <t>LG-IP-003</t>
        </is>
      </c>
      <c r="B30" s="8" t="inlineStr">
        <is>
          <t>CDE-L029</t>
        </is>
      </c>
    </row>
    <row r="31" ht="15" customHeight="1" s="6">
      <c r="A31" s="8" t="inlineStr">
        <is>
          <t>LG-IP-003</t>
        </is>
      </c>
      <c r="B31" s="8" t="inlineStr">
        <is>
          <t>CDE-L030</t>
        </is>
      </c>
    </row>
    <row r="32" ht="15" customHeight="1" s="6">
      <c r="A32" s="8" t="inlineStr">
        <is>
          <t>LG-IP-004</t>
        </is>
      </c>
      <c r="B32" s="8" t="inlineStr">
        <is>
          <t>CDE-L031</t>
        </is>
      </c>
    </row>
    <row r="33" ht="15" customHeight="1" s="6">
      <c r="A33" s="8" t="inlineStr">
        <is>
          <t>LG-IP-004</t>
        </is>
      </c>
      <c r="B33" s="8" t="inlineStr">
        <is>
          <t>CDE-L032</t>
        </is>
      </c>
    </row>
    <row r="34" ht="15" customHeight="1" s="6">
      <c r="A34" s="8" t="inlineStr">
        <is>
          <t>LG-IP-005</t>
        </is>
      </c>
      <c r="B34" s="8" t="inlineStr">
        <is>
          <t>CDE-L033</t>
        </is>
      </c>
    </row>
    <row r="35" ht="15" customHeight="1" s="6">
      <c r="A35" s="8" t="inlineStr">
        <is>
          <t>LG-IP-005</t>
        </is>
      </c>
      <c r="B35" s="8" t="inlineStr">
        <is>
          <t>CDE-L034</t>
        </is>
      </c>
    </row>
    <row r="36" ht="15" customHeight="1" s="6">
      <c r="A36" s="8" t="inlineStr">
        <is>
          <t>LG-ENT-001</t>
        </is>
      </c>
      <c r="B36" s="8" t="inlineStr">
        <is>
          <t>CDE-L035</t>
        </is>
      </c>
    </row>
    <row r="37" ht="15" customHeight="1" s="6">
      <c r="A37" s="8" t="inlineStr">
        <is>
          <t>LG-ENT-001</t>
        </is>
      </c>
      <c r="B37" s="8" t="inlineStr">
        <is>
          <t>CDE-L036</t>
        </is>
      </c>
    </row>
    <row r="38" ht="15" customHeight="1" s="6">
      <c r="A38" s="8" t="inlineStr">
        <is>
          <t>LG-ENT-002</t>
        </is>
      </c>
      <c r="B38" s="8" t="inlineStr">
        <is>
          <t>CDE-L037</t>
        </is>
      </c>
    </row>
    <row r="39" ht="15" customHeight="1" s="6">
      <c r="A39" s="8" t="inlineStr">
        <is>
          <t>LG-ENT-002</t>
        </is>
      </c>
      <c r="B39" s="8" t="inlineStr">
        <is>
          <t>CDE-L038</t>
        </is>
      </c>
    </row>
    <row r="40" ht="15" customHeight="1" s="6">
      <c r="A40" s="8" t="inlineStr">
        <is>
          <t>LG-ENT-003</t>
        </is>
      </c>
      <c r="B40" s="8" t="inlineStr">
        <is>
          <t>CDE-L039</t>
        </is>
      </c>
    </row>
    <row r="41" ht="15" customHeight="1" s="6">
      <c r="A41" s="8" t="inlineStr">
        <is>
          <t>LG-ENT-003</t>
        </is>
      </c>
      <c r="B41" s="8" t="inlineStr">
        <is>
          <t>CDE-L040</t>
        </is>
      </c>
    </row>
    <row r="42" ht="15" customHeight="1" s="6">
      <c r="A42" s="8" t="inlineStr">
        <is>
          <t>LG-ENT-004</t>
        </is>
      </c>
      <c r="B42" s="8" t="inlineStr">
        <is>
          <t>CDE-L041</t>
        </is>
      </c>
    </row>
    <row r="43" ht="15" customHeight="1" s="6">
      <c r="A43" s="8" t="inlineStr">
        <is>
          <t>LG-ENT-004</t>
        </is>
      </c>
      <c r="B43" s="8" t="inlineStr">
        <is>
          <t>CDE-L042</t>
        </is>
      </c>
    </row>
    <row r="44" ht="15" customHeight="1" s="6">
      <c r="A44" s="8" t="inlineStr">
        <is>
          <t>LG-CNS-001</t>
        </is>
      </c>
      <c r="B44" s="8" t="inlineStr">
        <is>
          <t>CDE-L043</t>
        </is>
      </c>
    </row>
    <row r="45" ht="15" customHeight="1" s="6">
      <c r="A45" s="8" t="inlineStr">
        <is>
          <t>LG-CNS-001</t>
        </is>
      </c>
      <c r="B45" s="8" t="inlineStr">
        <is>
          <t>CDE-L044</t>
        </is>
      </c>
    </row>
    <row r="46" ht="15" customHeight="1" s="6">
      <c r="A46" s="8" t="inlineStr">
        <is>
          <t>LG-CNS-002</t>
        </is>
      </c>
      <c r="B46" s="8" t="inlineStr">
        <is>
          <t>CDE-L045</t>
        </is>
      </c>
    </row>
    <row r="47" ht="15" customHeight="1" s="6">
      <c r="A47" s="8" t="inlineStr">
        <is>
          <t>LG-CNS-002</t>
        </is>
      </c>
      <c r="B47" s="8" t="inlineStr">
        <is>
          <t>CDE-L046</t>
        </is>
      </c>
    </row>
    <row r="48" ht="15" customHeight="1" s="6">
      <c r="A48" s="8" t="inlineStr">
        <is>
          <t>LG-CNS-002</t>
        </is>
      </c>
      <c r="B48" s="8" t="inlineStr">
        <is>
          <t>CDE-L047</t>
        </is>
      </c>
    </row>
    <row r="49" ht="15" customHeight="1" s="6">
      <c r="A49" s="8" t="inlineStr">
        <is>
          <t>LG-CNS-003</t>
        </is>
      </c>
      <c r="B49" s="8" t="inlineStr">
        <is>
          <t>CDE-L048</t>
        </is>
      </c>
    </row>
    <row r="50" ht="15" customHeight="1" s="6">
      <c r="A50" s="8" t="inlineStr">
        <is>
          <t>LG-CNS-004</t>
        </is>
      </c>
      <c r="B50" s="8" t="inlineStr">
        <is>
          <t>CDE-L049</t>
        </is>
      </c>
    </row>
    <row r="51" ht="15" customHeight="1" s="6">
      <c r="A51" s="8" t="inlineStr">
        <is>
          <t>LG-CNS-004</t>
        </is>
      </c>
      <c r="B51" s="8" t="inlineStr">
        <is>
          <t>CDE-L050</t>
        </is>
      </c>
    </row>
    <row r="52" ht="15" customHeight="1" s="6">
      <c r="A52" s="8" t="inlineStr">
        <is>
          <t>LG-RSK-001</t>
        </is>
      </c>
      <c r="B52" s="8" t="inlineStr">
        <is>
          <t>CDE-L051</t>
        </is>
      </c>
    </row>
    <row r="53" ht="15" customHeight="1" s="6">
      <c r="A53" s="8" t="inlineStr">
        <is>
          <t>LG-RSK-001</t>
        </is>
      </c>
      <c r="B53" s="8" t="inlineStr">
        <is>
          <t>CDE-L052</t>
        </is>
      </c>
    </row>
    <row r="54" ht="15" customHeight="1" s="6">
      <c r="A54" s="8" t="inlineStr">
        <is>
          <t>LG-RSK-002</t>
        </is>
      </c>
      <c r="B54" s="8" t="inlineStr">
        <is>
          <t>CDE-L053</t>
        </is>
      </c>
    </row>
    <row r="55" ht="15" customHeight="1" s="6">
      <c r="A55" s="8" t="inlineStr">
        <is>
          <t>LG-RSK-002</t>
        </is>
      </c>
      <c r="B55" s="8" t="inlineStr">
        <is>
          <t>CDE-L054</t>
        </is>
      </c>
    </row>
    <row r="56" ht="15" customHeight="1" s="6">
      <c r="A56" s="8" t="inlineStr">
        <is>
          <t>LG-RSK-003</t>
        </is>
      </c>
      <c r="B56" s="8" t="inlineStr">
        <is>
          <t>CDE-L055</t>
        </is>
      </c>
    </row>
    <row r="57" ht="15" customHeight="1" s="6">
      <c r="A57" s="8" t="inlineStr">
        <is>
          <t>LG-RSK-003</t>
        </is>
      </c>
      <c r="B57" s="8" t="inlineStr">
        <is>
          <t>CDE-L056</t>
        </is>
      </c>
    </row>
    <row r="58" ht="15" customHeight="1" s="6">
      <c r="A58" s="8" t="inlineStr">
        <is>
          <t>LG-PRIV-001</t>
        </is>
      </c>
      <c r="B58" s="8" t="inlineStr">
        <is>
          <t>CDE-L057</t>
        </is>
      </c>
    </row>
    <row r="59" ht="15" customHeight="1" s="6">
      <c r="A59" s="8" t="inlineStr">
        <is>
          <t>LG-PRIV-001</t>
        </is>
      </c>
      <c r="B59" s="8" t="inlineStr">
        <is>
          <t>CDE-L058</t>
        </is>
      </c>
    </row>
    <row r="60" ht="15" customHeight="1" s="6">
      <c r="A60" s="8" t="inlineStr">
        <is>
          <t>LG-PRIV-001</t>
        </is>
      </c>
      <c r="B60" s="8" t="inlineStr">
        <is>
          <t>CDE-L059</t>
        </is>
      </c>
    </row>
    <row r="61" ht="15" customHeight="1" s="6">
      <c r="A61" s="8" t="inlineStr">
        <is>
          <t>LG-PRIV-002</t>
        </is>
      </c>
      <c r="B61" s="8" t="inlineStr">
        <is>
          <t>CDE-L060</t>
        </is>
      </c>
    </row>
    <row r="62" ht="15" customHeight="1" s="6">
      <c r="A62" s="8" t="inlineStr">
        <is>
          <t>LG-PRIV-002</t>
        </is>
      </c>
      <c r="B62" s="8" t="inlineStr">
        <is>
          <t>CDE-L061</t>
        </is>
      </c>
    </row>
    <row r="63" ht="15" customHeight="1" s="6">
      <c r="A63" s="8" t="inlineStr">
        <is>
          <t>LG-PRIV-002</t>
        </is>
      </c>
      <c r="B63" s="8" t="inlineStr">
        <is>
          <t>CDE-L062</t>
        </is>
      </c>
    </row>
    <row r="64" ht="15" customHeight="1" s="6">
      <c r="A64" s="8" t="inlineStr">
        <is>
          <t>LG-EMP-001</t>
        </is>
      </c>
      <c r="B64" s="8" t="inlineStr">
        <is>
          <t>CDE-L063</t>
        </is>
      </c>
    </row>
    <row r="65" ht="15" customHeight="1" s="6">
      <c r="A65" s="8" t="inlineStr">
        <is>
          <t>LG-EMP-001</t>
        </is>
      </c>
      <c r="B65" s="8" t="inlineStr">
        <is>
          <t>CDE-L064</t>
        </is>
      </c>
    </row>
    <row r="66" ht="15" customHeight="1" s="6">
      <c r="A66" s="8" t="inlineStr">
        <is>
          <t>LG-EMP-002</t>
        </is>
      </c>
      <c r="B66" s="8" t="inlineStr">
        <is>
          <t>CDE-L065</t>
        </is>
      </c>
    </row>
    <row r="67" ht="15" customHeight="1" s="6">
      <c r="A67" s="8" t="inlineStr">
        <is>
          <t>LG-EMP-002</t>
        </is>
      </c>
      <c r="B67" s="8" t="inlineStr">
        <is>
          <t>CDE-L066</t>
        </is>
      </c>
    </row>
    <row r="68" ht="15" customHeight="1" s="6">
      <c r="A68" s="8" t="inlineStr">
        <is>
          <t>LG-EMP-003</t>
        </is>
      </c>
      <c r="B68" s="8" t="inlineStr">
        <is>
          <t>CDE-L067</t>
        </is>
      </c>
    </row>
    <row r="69" ht="15" customHeight="1" s="6">
      <c r="A69" s="8" t="inlineStr">
        <is>
          <t>LG-EMP-003</t>
        </is>
      </c>
      <c r="B69" s="8" t="inlineStr">
        <is>
          <t>CDE-L068</t>
        </is>
      </c>
    </row>
    <row r="70" ht="15" customHeight="1" s="6">
      <c r="A70" s="8" t="inlineStr">
        <is>
          <t>LG-RE-001</t>
        </is>
      </c>
      <c r="B70" s="8" t="inlineStr">
        <is>
          <t>CDE-L069</t>
        </is>
      </c>
    </row>
    <row r="71" ht="15" customHeight="1" s="6">
      <c r="A71" s="8" t="inlineStr">
        <is>
          <t>LG-RE-001</t>
        </is>
      </c>
      <c r="B71" s="8" t="inlineStr">
        <is>
          <t>CDE-L070</t>
        </is>
      </c>
    </row>
    <row r="72" ht="15" customHeight="1" s="6">
      <c r="A72" s="8" t="inlineStr">
        <is>
          <t>LG-RE-002</t>
        </is>
      </c>
      <c r="B72" s="8" t="inlineStr">
        <is>
          <t>CDE-L071</t>
        </is>
      </c>
    </row>
    <row r="73" ht="15" customHeight="1" s="6">
      <c r="A73" s="8" t="inlineStr">
        <is>
          <t>LG-RE-002</t>
        </is>
      </c>
      <c r="B73" s="8" t="inlineStr">
        <is>
          <t>CDE-L072</t>
        </is>
      </c>
    </row>
    <row r="74" ht="15" customHeight="1" s="6">
      <c r="A74" s="8" t="inlineStr">
        <is>
          <t>LG-RE-003</t>
        </is>
      </c>
      <c r="B74" s="8" t="inlineStr">
        <is>
          <t>CDE-L073</t>
        </is>
      </c>
    </row>
    <row r="75" ht="15" customHeight="1" s="6">
      <c r="A75" s="8" t="inlineStr">
        <is>
          <t>LG-RE-003</t>
        </is>
      </c>
      <c r="B75" s="8" t="inlineStr">
        <is>
          <t>CDE-L074</t>
        </is>
      </c>
    </row>
    <row r="76" ht="15" customHeight="1" s="6">
      <c r="A76" s="8" t="inlineStr">
        <is>
          <t>LG-HLD-001</t>
        </is>
      </c>
      <c r="B76" s="8" t="inlineStr">
        <is>
          <t>CDE-L075</t>
        </is>
      </c>
    </row>
    <row r="77" ht="15" customHeight="1" s="6">
      <c r="A77" s="8" t="inlineStr">
        <is>
          <t>LG-HLD-001</t>
        </is>
      </c>
      <c r="B77" s="8" t="inlineStr">
        <is>
          <t>CDE-L076</t>
        </is>
      </c>
    </row>
    <row r="78" ht="15" customHeight="1" s="6">
      <c r="A78" s="8" t="inlineStr">
        <is>
          <t>LG-HLD-002</t>
        </is>
      </c>
      <c r="B78" s="8" t="inlineStr">
        <is>
          <t>CDE-L077</t>
        </is>
      </c>
    </row>
    <row r="79" ht="15" customHeight="1" s="6">
      <c r="A79" s="8" t="inlineStr">
        <is>
          <t>LG-HLD-002</t>
        </is>
      </c>
      <c r="B79" s="8" t="inlineStr">
        <is>
          <t>CDE-L078</t>
        </is>
      </c>
    </row>
    <row r="80" ht="15" customHeight="1" s="6">
      <c r="A80" s="8" t="inlineStr">
        <is>
          <t>LG-HLD-003</t>
        </is>
      </c>
      <c r="B80" s="8" t="inlineStr">
        <is>
          <t>CDE-L079</t>
        </is>
      </c>
    </row>
    <row r="81" ht="15" customHeight="1" s="6">
      <c r="A81" s="8" t="inlineStr">
        <is>
          <t>LG-HLD-003</t>
        </is>
      </c>
      <c r="B81" s="8" t="inlineStr">
        <is>
          <t>CDE-L080</t>
        </is>
      </c>
    </row>
    <row r="82" ht="15" customHeight="1" s="6">
      <c r="A82" s="8" t="inlineStr">
        <is>
          <t>LG-LIT-002</t>
        </is>
      </c>
      <c r="B82" s="8" t="inlineStr">
        <is>
          <t>CDE-L081</t>
        </is>
      </c>
    </row>
    <row r="83" ht="15" customHeight="1" s="6">
      <c r="A83" s="8" t="inlineStr">
        <is>
          <t>LG-LIT-003</t>
        </is>
      </c>
      <c r="B83" s="8" t="inlineStr">
        <is>
          <t>CDE-L082</t>
        </is>
      </c>
    </row>
    <row r="84" ht="15" customHeight="1" s="6">
      <c r="A84" s="8" t="inlineStr">
        <is>
          <t>LG-LIT-004</t>
        </is>
      </c>
      <c r="B84" s="8" t="inlineStr">
        <is>
          <t>CDE-L083</t>
        </is>
      </c>
    </row>
    <row r="85" ht="15" customHeight="1" s="6">
      <c r="A85" s="8" t="inlineStr">
        <is>
          <t>LG-LIT-005</t>
        </is>
      </c>
      <c r="B85" s="8" t="inlineStr">
        <is>
          <t>CDE-L084</t>
        </is>
      </c>
    </row>
    <row r="86" ht="15" customHeight="1" s="6">
      <c r="A86" s="8" t="inlineStr">
        <is>
          <t>LG-CON-002</t>
        </is>
      </c>
      <c r="B86" s="8" t="inlineStr">
        <is>
          <t>CDE-L085</t>
        </is>
      </c>
    </row>
    <row r="87" ht="15" customHeight="1" s="6">
      <c r="A87" s="8" t="inlineStr">
        <is>
          <t>LG-CON-003</t>
        </is>
      </c>
      <c r="B87" s="8" t="inlineStr">
        <is>
          <t>CDE-L086</t>
        </is>
      </c>
    </row>
    <row r="88" ht="15" customHeight="1" s="6">
      <c r="A88" s="8" t="inlineStr">
        <is>
          <t>LG-CON-004</t>
        </is>
      </c>
      <c r="B88" s="8" t="inlineStr">
        <is>
          <t>CDE-L087</t>
        </is>
      </c>
    </row>
    <row r="89" ht="15" customHeight="1" s="6">
      <c r="A89" s="8" t="inlineStr">
        <is>
          <t>LG-CON-005</t>
        </is>
      </c>
      <c r="B89" s="8" t="inlineStr">
        <is>
          <t>CDE-L088</t>
        </is>
      </c>
    </row>
    <row r="90" ht="15" customHeight="1" s="6">
      <c r="A90" s="8" t="inlineStr">
        <is>
          <t>LG-IP-002</t>
        </is>
      </c>
      <c r="B90" s="8" t="inlineStr">
        <is>
          <t>CDE-L089</t>
        </is>
      </c>
    </row>
    <row r="91" ht="15" customHeight="1" s="6">
      <c r="A91" s="8" t="inlineStr">
        <is>
          <t>LG-IP-003</t>
        </is>
      </c>
      <c r="B91" s="8" t="inlineStr">
        <is>
          <t>CDE-L090</t>
        </is>
      </c>
    </row>
    <row r="92" ht="15" customHeight="1" s="6">
      <c r="A92" s="8" t="inlineStr">
        <is>
          <t>LG-IP-004</t>
        </is>
      </c>
      <c r="B92" s="8" t="inlineStr">
        <is>
          <t>CDE-L091</t>
        </is>
      </c>
    </row>
    <row r="93" ht="15" customHeight="1" s="6">
      <c r="A93" s="8" t="inlineStr">
        <is>
          <t>LG-IP-005</t>
        </is>
      </c>
      <c r="B93" s="8" t="inlineStr">
        <is>
          <t>CDE-L092</t>
        </is>
      </c>
    </row>
    <row r="94" ht="15" customHeight="1" s="6">
      <c r="A94" s="8" t="inlineStr">
        <is>
          <t>LG-ENT-001</t>
        </is>
      </c>
      <c r="B94" s="8" t="inlineStr">
        <is>
          <t>CDE-L093</t>
        </is>
      </c>
    </row>
    <row r="95" ht="15" customHeight="1" s="6">
      <c r="A95" s="8" t="inlineStr">
        <is>
          <t>LG-ENT-002</t>
        </is>
      </c>
      <c r="B95" s="8" t="inlineStr">
        <is>
          <t>CDE-L094</t>
        </is>
      </c>
    </row>
    <row r="96" ht="15" customHeight="1" s="6">
      <c r="A96" s="8" t="inlineStr">
        <is>
          <t>LG-ENT-003</t>
        </is>
      </c>
      <c r="B96" s="8" t="inlineStr">
        <is>
          <t>CDE-L095</t>
        </is>
      </c>
    </row>
    <row r="97" ht="15" customHeight="1" s="6">
      <c r="A97" s="8" t="inlineStr">
        <is>
          <t>LG-ENT-004</t>
        </is>
      </c>
      <c r="B97" s="8" t="inlineStr">
        <is>
          <t>CDE-L096</t>
        </is>
      </c>
    </row>
    <row r="98" ht="15" customHeight="1" s="6">
      <c r="A98" s="8" t="inlineStr">
        <is>
          <t>LG-CNS-001</t>
        </is>
      </c>
      <c r="B98" s="8" t="inlineStr">
        <is>
          <t>CDE-L097</t>
        </is>
      </c>
    </row>
    <row r="99" ht="15" customHeight="1" s="6">
      <c r="A99" s="8" t="inlineStr">
        <is>
          <t>LG-CNS-002</t>
        </is>
      </c>
      <c r="B99" s="8" t="inlineStr">
        <is>
          <t>CDE-L098</t>
        </is>
      </c>
    </row>
    <row r="100" ht="15" customHeight="1" s="6">
      <c r="A100" s="8" t="inlineStr">
        <is>
          <t>LG-CNS-003</t>
        </is>
      </c>
      <c r="B100" s="8" t="inlineStr">
        <is>
          <t>CDE-L099</t>
        </is>
      </c>
    </row>
    <row r="101" ht="15" customHeight="1" s="6">
      <c r="A101" s="8" t="inlineStr">
        <is>
          <t>LG-CNS-004</t>
        </is>
      </c>
      <c r="B101" s="8" t="inlineStr">
        <is>
          <t>CDE-L100</t>
        </is>
      </c>
    </row>
    <row r="102" ht="15" customHeight="1" s="6">
      <c r="A102" s="8" t="inlineStr">
        <is>
          <t>LG-RSK-001</t>
        </is>
      </c>
      <c r="B102" s="8" t="inlineStr">
        <is>
          <t>CDE-L101</t>
        </is>
      </c>
    </row>
    <row r="103" ht="15" customHeight="1" s="6">
      <c r="A103" s="8" t="inlineStr">
        <is>
          <t>LG-RSK-002</t>
        </is>
      </c>
      <c r="B103" s="8" t="inlineStr">
        <is>
          <t>CDE-L102</t>
        </is>
      </c>
    </row>
    <row r="104" ht="15" customHeight="1" s="6">
      <c r="A104" s="8" t="inlineStr">
        <is>
          <t>LG-RSK-003</t>
        </is>
      </c>
      <c r="B104" s="8" t="inlineStr">
        <is>
          <t>CDE-L103</t>
        </is>
      </c>
    </row>
    <row r="105" ht="15" customHeight="1" s="6">
      <c r="A105" s="8" t="inlineStr">
        <is>
          <t>LG-EMP-001</t>
        </is>
      </c>
      <c r="B105" s="8" t="inlineStr">
        <is>
          <t>CDE-L104</t>
        </is>
      </c>
    </row>
    <row r="106" ht="15" customHeight="1" s="6">
      <c r="A106" s="8" t="inlineStr">
        <is>
          <t>LG-EMP-002</t>
        </is>
      </c>
      <c r="B106" s="8" t="inlineStr">
        <is>
          <t>CDE-L105</t>
        </is>
      </c>
    </row>
    <row r="107" ht="15" customHeight="1" s="6">
      <c r="A107" s="8" t="inlineStr">
        <is>
          <t>LG-EMP-003</t>
        </is>
      </c>
      <c r="B107" s="8" t="inlineStr">
        <is>
          <t>CDE-L106</t>
        </is>
      </c>
    </row>
    <row r="108" ht="15" customHeight="1" s="6">
      <c r="A108" s="8" t="inlineStr">
        <is>
          <t>LG-RE-001</t>
        </is>
      </c>
      <c r="B108" s="8" t="inlineStr">
        <is>
          <t>CDE-L107</t>
        </is>
      </c>
    </row>
    <row r="109" ht="15" customHeight="1" s="6">
      <c r="A109" s="8" t="inlineStr">
        <is>
          <t>LG-RE-002</t>
        </is>
      </c>
      <c r="B109" s="8" t="inlineStr">
        <is>
          <t>CDE-L108</t>
        </is>
      </c>
    </row>
    <row r="110" ht="15" customHeight="1" s="6">
      <c r="A110" s="8" t="inlineStr">
        <is>
          <t>LG-RE-003</t>
        </is>
      </c>
      <c r="B110" s="8" t="inlineStr">
        <is>
          <t>CDE-L109</t>
        </is>
      </c>
    </row>
    <row r="111" ht="15" customHeight="1" s="6">
      <c r="A111" s="8" t="inlineStr">
        <is>
          <t>LG-HLD-001</t>
        </is>
      </c>
      <c r="B111" s="8" t="inlineStr">
        <is>
          <t>CDE-L110</t>
        </is>
      </c>
    </row>
    <row r="112" ht="15" customHeight="1" s="6">
      <c r="A112" s="8" t="inlineStr">
        <is>
          <t>LG-HLD-002</t>
        </is>
      </c>
      <c r="B112" s="8" t="inlineStr">
        <is>
          <t>CDE-L111</t>
        </is>
      </c>
    </row>
    <row r="113" ht="15" customHeight="1" s="6">
      <c r="A113" s="8" t="inlineStr">
        <is>
          <t>LG-HLD-003</t>
        </is>
      </c>
      <c r="B113" s="8" t="inlineStr">
        <is>
          <t>CDE-L112</t>
        </is>
      </c>
    </row>
    <row r="114" ht="15" customHeight="1" s="6">
      <c r="A114" s="8" t="inlineStr">
        <is>
          <t>LG-CNS-003</t>
        </is>
      </c>
      <c r="B114" s="8" t="inlineStr">
        <is>
          <t>CDE-L113</t>
        </is>
      </c>
    </row>
    <row r="115" ht="15" customHeight="1" s="6">
      <c r="A115" s="8" t="inlineStr">
        <is>
          <t>LG-LIT-001</t>
        </is>
      </c>
      <c r="B115" s="8" t="inlineStr">
        <is>
          <t>CDE-L114</t>
        </is>
      </c>
    </row>
    <row r="116" ht="15" customHeight="1" s="6">
      <c r="A116" s="5" t="inlineStr">
        <is>
          <t>LG-CNS-001</t>
        </is>
      </c>
      <c r="B116" s="5" t="inlineStr">
        <is>
          <t>CDE-L115</t>
        </is>
      </c>
    </row>
    <row r="117" ht="15" customHeight="1" s="6">
      <c r="A117" s="5" t="inlineStr">
        <is>
          <t>LG-HLD-001</t>
        </is>
      </c>
      <c r="B117" s="5" t="inlineStr">
        <is>
          <t>CDE-L116</t>
        </is>
      </c>
    </row>
    <row r="118" ht="15" customHeight="1" s="6">
      <c r="A118" s="5" t="inlineStr">
        <is>
          <t>LG-CON-003</t>
        </is>
      </c>
      <c r="B118" s="5" t="inlineStr">
        <is>
          <t>CDE-L117</t>
        </is>
      </c>
    </row>
    <row r="119" ht="15" customHeight="1" s="6">
      <c r="A119" s="5" t="inlineStr">
        <is>
          <t>LG-IP-002</t>
        </is>
      </c>
      <c r="B119" s="5" t="inlineStr">
        <is>
          <t>CDE-L118</t>
        </is>
      </c>
    </row>
    <row r="120" ht="15" customHeight="1" s="6">
      <c r="A120" s="5" t="inlineStr">
        <is>
          <t>LG-HLD-001</t>
        </is>
      </c>
      <c r="B120" s="5" t="inlineStr">
        <is>
          <t>CDE-L119</t>
        </is>
      </c>
    </row>
    <row r="121" ht="15" customHeight="1" s="6">
      <c r="A121" s="5" t="inlineStr">
        <is>
          <t>LG-CON-005</t>
        </is>
      </c>
      <c r="B121" s="5" t="inlineStr">
        <is>
          <t>CDE-L120</t>
        </is>
      </c>
    </row>
    <row r="122" ht="15" customHeight="1" s="6">
      <c r="A122" s="5" t="inlineStr">
        <is>
          <t>LG-CNS-004</t>
        </is>
      </c>
      <c r="B122" s="5" t="inlineStr">
        <is>
          <t>CDE-L121</t>
        </is>
      </c>
    </row>
    <row r="123" ht="15" customHeight="1" s="6">
      <c r="A123" s="5" t="inlineStr">
        <is>
          <t>LG-LIT-001</t>
        </is>
      </c>
      <c r="B123" s="5" t="inlineStr">
        <is>
          <t>CDE-L122</t>
        </is>
      </c>
    </row>
    <row r="124" ht="15" customHeight="1" s="6">
      <c r="A124" s="5" t="inlineStr">
        <is>
          <t>LG-LIT-001</t>
        </is>
      </c>
      <c r="B124" s="5" t="inlineStr">
        <is>
          <t>CDE-L123</t>
        </is>
      </c>
    </row>
    <row r="125" ht="15" customHeight="1" s="6">
      <c r="A125" s="5" t="inlineStr">
        <is>
          <t>LG-CON-001</t>
        </is>
      </c>
      <c r="B125" s="5" t="inlineStr">
        <is>
          <t>CDE-L124</t>
        </is>
      </c>
    </row>
    <row r="126" ht="15" customHeight="1" s="6">
      <c r="A126" s="5" t="inlineStr">
        <is>
          <t>LG-IP-001</t>
        </is>
      </c>
      <c r="B126" s="5" t="inlineStr">
        <is>
          <t>CDE-L125</t>
        </is>
      </c>
    </row>
    <row r="127" ht="15" customHeight="1" s="6">
      <c r="A127" s="5" t="inlineStr">
        <is>
          <t>LG-CNS-001</t>
        </is>
      </c>
      <c r="B127" s="5" t="inlineStr">
        <is>
          <t>CDE-L126</t>
        </is>
      </c>
    </row>
    <row r="128" ht="15" customHeight="1" s="6">
      <c r="A128" s="5" t="inlineStr">
        <is>
          <t>LG-EMP-001</t>
        </is>
      </c>
      <c r="B128" s="5" t="inlineStr">
        <is>
          <t>CDE-L127</t>
        </is>
      </c>
    </row>
    <row r="129" ht="15" customHeight="1" s="6">
      <c r="A129" s="5" t="inlineStr">
        <is>
          <t>LG-CON-003</t>
        </is>
      </c>
      <c r="B129" s="5" t="inlineStr">
        <is>
          <t>CDE-L128</t>
        </is>
      </c>
    </row>
    <row r="130" ht="15" customHeight="1" s="6">
      <c r="A130" s="5" t="inlineStr">
        <is>
          <t>LG-ENT-003</t>
        </is>
      </c>
      <c r="B130" s="5" t="inlineStr">
        <is>
          <t>CDE-L129</t>
        </is>
      </c>
    </row>
    <row r="131" ht="15" customHeight="1" s="6">
      <c r="A131" s="5" t="inlineStr">
        <is>
          <t>LG-RSK-001</t>
        </is>
      </c>
      <c r="B131" s="5" t="inlineStr">
        <is>
          <t>CDE-L130</t>
        </is>
      </c>
    </row>
    <row r="132" ht="15" customHeight="1" s="6">
      <c r="A132" s="5" t="inlineStr">
        <is>
          <t>LG-CON-005</t>
        </is>
      </c>
      <c r="B132" s="5" t="inlineStr">
        <is>
          <t>CDE-L131</t>
        </is>
      </c>
    </row>
    <row r="133" ht="15" customHeight="1" s="6">
      <c r="A133" s="5" t="inlineStr">
        <is>
          <t>LG-CNS-001</t>
        </is>
      </c>
      <c r="B133" s="5" t="inlineStr">
        <is>
          <t>CDE-L132</t>
        </is>
      </c>
    </row>
    <row r="134" ht="15" customHeight="1" s="6">
      <c r="A134" s="5" t="inlineStr">
        <is>
          <t>LG-CNS-002</t>
        </is>
      </c>
      <c r="B134" s="5" t="inlineStr">
        <is>
          <t>CDE-L133</t>
        </is>
      </c>
    </row>
    <row r="135" ht="15" customHeight="1" s="6">
      <c r="A135" s="5" t="inlineStr">
        <is>
          <t>LG-IP-002</t>
        </is>
      </c>
      <c r="B135" s="5" t="inlineStr">
        <is>
          <t>CDE-L134</t>
        </is>
      </c>
    </row>
    <row r="136" ht="15" customHeight="1" s="6">
      <c r="A136" s="5" t="inlineStr">
        <is>
          <t>LG-CON-001</t>
        </is>
      </c>
      <c r="B136" s="5" t="inlineStr">
        <is>
          <t>CDE-L135</t>
        </is>
      </c>
    </row>
    <row r="137" ht="15" customHeight="1" s="6">
      <c r="A137" s="5" t="inlineStr">
        <is>
          <t>LG-CON-004</t>
        </is>
      </c>
      <c r="B137" s="5" t="inlineStr">
        <is>
          <t>CDE-L136</t>
        </is>
      </c>
    </row>
    <row r="138" ht="15" customHeight="1" s="6">
      <c r="A138" s="5" t="inlineStr">
        <is>
          <t>LG-CON-004</t>
        </is>
      </c>
      <c r="B138" s="5" t="inlineStr">
        <is>
          <t>CDE-L137</t>
        </is>
      </c>
    </row>
    <row r="139" ht="15" customHeight="1" s="6">
      <c r="A139" s="5" t="inlineStr">
        <is>
          <t>LG-CNS-001</t>
        </is>
      </c>
      <c r="B139" s="5" t="inlineStr">
        <is>
          <t>CDE-L138</t>
        </is>
      </c>
    </row>
    <row r="140" ht="15" customHeight="1" s="6">
      <c r="A140" s="5" t="inlineStr">
        <is>
          <t>LG-IP-005</t>
        </is>
      </c>
      <c r="B140" s="5" t="inlineStr">
        <is>
          <t>CDE-L139</t>
        </is>
      </c>
    </row>
    <row r="141" ht="15" customHeight="1" s="6">
      <c r="A141" s="5" t="inlineStr">
        <is>
          <t>LG-LIT-003</t>
        </is>
      </c>
      <c r="B141" s="5" t="inlineStr">
        <is>
          <t>CDE-L140</t>
        </is>
      </c>
    </row>
    <row r="142" ht="15" customHeight="1" s="6">
      <c r="A142" s="5" t="inlineStr">
        <is>
          <t>LG-IP-004</t>
        </is>
      </c>
      <c r="B142" s="5" t="inlineStr">
        <is>
          <t>CDE-L141</t>
        </is>
      </c>
    </row>
    <row r="143" ht="15" customHeight="1" s="6">
      <c r="A143" s="5" t="inlineStr">
        <is>
          <t>LG-CON-005</t>
        </is>
      </c>
      <c r="B143" s="5" t="inlineStr">
        <is>
          <t>CDE-L142</t>
        </is>
      </c>
    </row>
    <row r="144" ht="15" customHeight="1" s="6">
      <c r="A144" s="5" t="inlineStr">
        <is>
          <t>LG-CNS-004</t>
        </is>
      </c>
      <c r="B144" s="5" t="inlineStr">
        <is>
          <t>CDE-L143</t>
        </is>
      </c>
    </row>
    <row r="145" ht="15" customHeight="1" s="6">
      <c r="A145" s="5" t="inlineStr">
        <is>
          <t>LG-IP-001</t>
        </is>
      </c>
      <c r="B145" s="5" t="inlineStr">
        <is>
          <t>CDE-L144</t>
        </is>
      </c>
    </row>
    <row r="146" ht="15" customHeight="1" s="6">
      <c r="A146" s="5" t="inlineStr">
        <is>
          <t>LG-CON-001</t>
        </is>
      </c>
      <c r="B146" s="5" t="inlineStr">
        <is>
          <t>CDE-L145</t>
        </is>
      </c>
    </row>
    <row r="147" ht="15" customHeight="1" s="6">
      <c r="A147" s="5" t="inlineStr">
        <is>
          <t>LG-RSK-001</t>
        </is>
      </c>
      <c r="B147" s="5" t="inlineStr">
        <is>
          <t>CDE-L146</t>
        </is>
      </c>
    </row>
    <row r="148" ht="15" customHeight="1" s="6">
      <c r="A148" s="5" t="inlineStr">
        <is>
          <t>LG-LIT-002</t>
        </is>
      </c>
      <c r="B148" s="5" t="inlineStr">
        <is>
          <t>CDE-L147</t>
        </is>
      </c>
    </row>
    <row r="149" ht="15" customHeight="1" s="6">
      <c r="A149" s="5" t="inlineStr">
        <is>
          <t>LG-RE-003</t>
        </is>
      </c>
      <c r="B149" s="5" t="inlineStr">
        <is>
          <t>CDE-L148</t>
        </is>
      </c>
    </row>
    <row r="150" ht="15" customHeight="1" s="6">
      <c r="A150" s="5" t="inlineStr">
        <is>
          <t>LG-LIT-002</t>
        </is>
      </c>
      <c r="B150" s="5" t="inlineStr">
        <is>
          <t>CDE-L149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1" customWidth="1" style="5" min="1" max="1"/>
    <col width="27" customWidth="1" style="5" min="2" max="2"/>
    <col width="46" customWidth="1" style="5" min="3" max="3"/>
    <col width="55" customWidth="1" style="5" min="4" max="4"/>
  </cols>
  <sheetData>
    <row r="1" ht="15" customHeight="1" s="6">
      <c r="A1" s="7" t="inlineStr">
        <is>
          <t>Evidence Source</t>
        </is>
      </c>
      <c r="B1" s="7" t="inlineStr">
        <is>
          <t>Reliability Weight (0-1)</t>
        </is>
      </c>
      <c r="C1" s="7" t="inlineStr">
        <is>
          <t>Freshness Decay (months to half-confidence)</t>
        </is>
      </c>
      <c r="D1" s="7" t="inlineStr">
        <is>
          <t>Applicable CDE Pattern</t>
        </is>
      </c>
    </row>
    <row r="2" ht="15" customHeight="1" s="6">
      <c r="A2" s="8" t="inlineStr">
        <is>
          <t>Regulatory Filings (SEC EDGAR, Companies House, National Business Registry)</t>
        </is>
      </c>
      <c r="B2" s="8" t="n">
        <v>0.96</v>
      </c>
      <c r="C2" s="8" t="n">
        <v>6</v>
      </c>
      <c r="D2" s="8" t="inlineStr">
        <is>
          <t>Litigation status, IP registry status, license compliance, employment claims</t>
        </is>
      </c>
    </row>
    <row r="3" ht="15" customHeight="1" s="6">
      <c r="A3" s="8" t="inlineStr">
        <is>
          <t>Annual Report / 10-K Filing (SEC EDGAR, Company IR Site)</t>
        </is>
      </c>
      <c r="B3" s="8" t="n">
        <v>0.9399999999999999</v>
      </c>
      <c r="C3" s="8" t="n">
        <v>12</v>
      </c>
      <c r="D3" s="8" t="inlineStr">
        <is>
          <t>Material contract disclosure, entity structure, General Counsel reporting line</t>
        </is>
      </c>
    </row>
    <row r="4" ht="15" customHeight="1" s="6">
      <c r="A4" s="8" t="inlineStr">
        <is>
          <t>Board Portal / Governance Records (Diligent, BoardEffect)</t>
        </is>
      </c>
      <c r="B4" s="8" t="n">
        <v>0.92</v>
      </c>
      <c r="C4" s="8" t="n">
        <v>6</v>
      </c>
      <c r="D4" s="8" t="inlineStr">
        <is>
          <t>Legal risk escalation frequency, board resolution tracking</t>
        </is>
      </c>
    </row>
    <row r="5" ht="15" customHeight="1" s="6">
      <c r="A5" s="8" t="inlineStr">
        <is>
          <t>Finance / ERP System (SAP S/4HANA, Oracle Fusion, NetSuite)</t>
        </is>
      </c>
      <c r="B5" s="8" t="n">
        <v>0.91</v>
      </c>
      <c r="C5" s="8" t="n">
        <v>3</v>
      </c>
      <c r="D5" s="8" t="inlineStr">
        <is>
          <t>Legal spend, outside counsel cost, settlement amounts</t>
        </is>
      </c>
    </row>
    <row r="6" ht="15" customHeight="1" s="6">
      <c r="A6" s="8" t="inlineStr">
        <is>
          <t>HRMS</t>
        </is>
      </c>
      <c r="B6" s="8" t="n">
        <v>0.9</v>
      </c>
      <c r="C6" s="8" t="n">
        <v>3</v>
      </c>
      <c r="D6" s="8" t="inlineStr">
        <is>
          <t>In-house legal headcount</t>
        </is>
      </c>
    </row>
    <row r="7" ht="15" customHeight="1" s="6">
      <c r="A7" s="8" t="inlineStr">
        <is>
          <t>User Validation</t>
        </is>
      </c>
      <c r="B7" s="8" t="n">
        <v>0.8100000000000001</v>
      </c>
      <c r="C7" s="8" t="n">
        <v>24</v>
      </c>
      <c r="D7" s="8" t="inlineStr">
        <is>
          <t>Internal legal-function process detail not otherwise discoverable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5" customWidth="1" style="5" min="1" max="3"/>
  </cols>
  <sheetData>
    <row r="1" ht="15" customHeight="1" s="6">
      <c r="A1" s="7" t="inlineStr">
        <is>
          <t>Confidence Range</t>
        </is>
      </c>
      <c r="B1" s="7" t="inlineStr">
        <is>
          <t>Meaning</t>
        </is>
      </c>
      <c r="C1" s="7" t="inlineStr">
        <is>
          <t>Required Action</t>
        </is>
      </c>
    </row>
    <row r="2" ht="15" customHeight="1" s="6">
      <c r="A2" s="8" t="n">
        <v>90</v>
      </c>
      <c r="B2" s="8" t="inlineStr">
        <is>
          <t>Verified</t>
        </is>
      </c>
      <c r="C2" s="8" t="inlineStr">
        <is>
          <t>None — display as fact</t>
        </is>
      </c>
    </row>
    <row r="3" ht="15" customHeight="1" s="6">
      <c r="A3" s="8" t="n">
        <v>75</v>
      </c>
      <c r="B3" s="8" t="inlineStr">
        <is>
          <t>High Confidence</t>
        </is>
      </c>
      <c r="C3" s="8" t="inlineStr">
        <is>
          <t>Display with confidence badge; periodic re-validation</t>
        </is>
      </c>
    </row>
    <row r="4" ht="15" customHeight="1" s="6">
      <c r="A4" s="8" t="n">
        <v>60</v>
      </c>
      <c r="B4" s="8" t="inlineStr">
        <is>
          <t>Medium Confidence</t>
        </is>
      </c>
      <c r="C4" s="8" t="inlineStr">
        <is>
          <t>Flag for Validate step — ask user to confirm</t>
        </is>
      </c>
    </row>
    <row r="5" ht="15" customHeight="1" s="6">
      <c r="A5" s="8" t="n">
        <v>0</v>
      </c>
      <c r="B5" s="8" t="inlineStr">
        <is>
          <t>Needs Validation</t>
        </is>
      </c>
      <c r="C5" s="8" t="inlineStr">
        <is>
          <t>Trigger Ask step — block until resolved or explicitly accepted as estimate</t>
        </is>
      </c>
    </row>
    <row r="6" ht="15" customHeight="1" s="6">
      <c r="A6" s="8" t="n"/>
      <c r="B6" s="8" t="n"/>
      <c r="C6" s="8" t="n"/>
    </row>
    <row r="7" ht="15" customHeight="1" s="6">
      <c r="A7" s="8" t="inlineStr">
        <is>
          <t>Weight Component</t>
        </is>
      </c>
      <c r="B7" s="8" t="inlineStr">
        <is>
          <t>Weight</t>
        </is>
      </c>
      <c r="C7" s="8" t="inlineStr">
        <is>
          <t>Source</t>
        </is>
      </c>
    </row>
    <row r="8" ht="15" customHeight="1" s="6">
      <c r="A8" s="8" t="inlineStr">
        <is>
          <t>Source Reliability Weight</t>
        </is>
      </c>
      <c r="B8" s="8" t="n">
        <v>0.4</v>
      </c>
      <c r="C8" s="8" t="inlineStr">
        <is>
          <t>05_Evidence_Catalog (Reliability Weight column)</t>
        </is>
      </c>
    </row>
    <row r="9" ht="15" customHeight="1" s="6">
      <c r="A9" s="8" t="inlineStr">
        <is>
          <t>Freshness Factor</t>
        </is>
      </c>
      <c r="B9" s="8" t="n">
        <v>0.25</v>
      </c>
      <c r="C9" s="8" t="inlineStr">
        <is>
          <t>1 - (months_since_capture / Freshness Decay), floor 0</t>
        </is>
      </c>
    </row>
    <row r="10" ht="15" customHeight="1" s="6">
      <c r="A10" s="8" t="inlineStr">
        <is>
          <t>Corroboration Factor</t>
        </is>
      </c>
      <c r="B10" s="8" t="n">
        <v>0.2</v>
      </c>
      <c r="C10" s="8" t="inlineStr">
        <is>
          <t>+0.5 per independent confirming source, capped at 2 sources (max 1.0)</t>
        </is>
      </c>
    </row>
    <row r="11" ht="15" customHeight="1" s="6">
      <c r="A11" s="8" t="inlineStr">
        <is>
          <t>Completeness Factor</t>
        </is>
      </c>
      <c r="B11" s="8" t="n">
        <v>0.15</v>
      </c>
      <c r="C11" s="8" t="inlineStr">
        <is>
          <t>% of Required CDEs populated for the parent BQ</t>
        </is>
      </c>
    </row>
    <row r="12" ht="15" customHeight="1" s="6">
      <c r="A12" s="8" t="n"/>
      <c r="B12" s="8" t="n"/>
      <c r="C12" s="8" t="n"/>
    </row>
    <row r="13" ht="15" customHeight="1" s="6">
      <c r="A13" s="8" t="inlineStr">
        <is>
          <t>CONFIDENCE SCORE CALCULATOR — worked example (live formulas)</t>
        </is>
      </c>
      <c r="B13" s="8" t="n"/>
      <c r="C13" s="8" t="n"/>
    </row>
    <row r="14" ht="15" customHeight="1" s="6">
      <c r="A14" s="8" t="inlineStr">
        <is>
          <t>Evidence Source used</t>
        </is>
      </c>
      <c r="B14" s="8" t="inlineStr">
        <is>
          <t>Regulatory Filings</t>
        </is>
      </c>
      <c r="C14" s="8" t="n"/>
    </row>
    <row r="15" ht="15" customHeight="1" s="6">
      <c r="A15" s="8" t="inlineStr">
        <is>
          <t>Source Reliability Weight (0-1)</t>
        </is>
      </c>
      <c r="B15" s="8">
        <f>VLOOKUP(B14,05_Evidence_Catalog!A:B,2,FALSE())</f>
        <v/>
      </c>
      <c r="C15" s="8" t="inlineStr">
        <is>
          <t>editable formula</t>
        </is>
      </c>
    </row>
    <row r="16" ht="15" customHeight="1" s="6">
      <c r="A16" s="8" t="inlineStr">
        <is>
          <t>Months since capture</t>
        </is>
      </c>
      <c r="B16" s="8" t="n">
        <v>2</v>
      </c>
      <c r="C16" s="8" t="inlineStr">
        <is>
          <t>editable input</t>
        </is>
      </c>
    </row>
    <row r="17" ht="15" customHeight="1" s="6">
      <c r="A17" s="8" t="inlineStr">
        <is>
          <t>Freshness Decay (months, from source)</t>
        </is>
      </c>
      <c r="B17" s="8">
        <f>VLOOKUP(B14,05_Evidence_Catalog!A:C,3,FALSE())</f>
        <v/>
      </c>
      <c r="C17" s="8" t="inlineStr">
        <is>
          <t>editable formula</t>
        </is>
      </c>
    </row>
    <row r="18" ht="15" customHeight="1" s="6">
      <c r="A18" s="8" t="inlineStr">
        <is>
          <t>Freshness Factor (0-1, floored)</t>
        </is>
      </c>
      <c r="B18" s="8">
        <f>MAX(0,1-(B16/B17))</f>
        <v/>
      </c>
      <c r="C18" s="8" t="inlineStr">
        <is>
          <t>editable formula</t>
        </is>
      </c>
    </row>
    <row r="19" ht="15" customHeight="1" s="6">
      <c r="A19" s="8" t="inlineStr">
        <is>
          <t>Independent corroborating sources (0,1,2+)</t>
        </is>
      </c>
      <c r="B19" s="8" t="n">
        <v>1</v>
      </c>
      <c r="C19" s="8" t="inlineStr">
        <is>
          <t>editable input</t>
        </is>
      </c>
    </row>
    <row r="20" ht="15" customHeight="1" s="6">
      <c r="A20" s="8" t="inlineStr">
        <is>
          <t>Corroboration Factor (0-1)</t>
        </is>
      </c>
      <c r="B20" s="8">
        <f>MIN(1,B19*0.5)</f>
        <v/>
      </c>
      <c r="C20" s="8" t="inlineStr">
        <is>
          <t>editable formula</t>
        </is>
      </c>
    </row>
    <row r="21" ht="15" customHeight="1" s="6">
      <c r="A21" s="8" t="inlineStr">
        <is>
          <t>Required CDEs for parent BQ</t>
        </is>
      </c>
      <c r="B21" s="8" t="n">
        <v>3</v>
      </c>
      <c r="C21" s="8" t="inlineStr">
        <is>
          <t>editable input</t>
        </is>
      </c>
    </row>
    <row r="22" ht="15" customHeight="1" s="6">
      <c r="A22" s="8" t="inlineStr">
        <is>
          <t>Required CDEs populated</t>
        </is>
      </c>
      <c r="B22" s="8" t="n">
        <v>3</v>
      </c>
      <c r="C22" s="8" t="inlineStr">
        <is>
          <t>editable input</t>
        </is>
      </c>
    </row>
    <row r="23" ht="15" customHeight="1" s="6">
      <c r="A23" s="8" t="inlineStr">
        <is>
          <t>Completeness Factor (0-1)</t>
        </is>
      </c>
      <c r="B23" s="8">
        <f>B22/B21</f>
        <v/>
      </c>
      <c r="C23" s="8" t="inlineStr">
        <is>
          <t>editable formula</t>
        </is>
      </c>
    </row>
    <row r="24" ht="15" customHeight="1" s="6">
      <c r="A24" s="8" t="inlineStr">
        <is>
          <t>CONFIDENCE SCORE (0-100)</t>
        </is>
      </c>
      <c r="B24" s="8">
        <f>ROUND((B15*0.4+B18*0.25+B20*0.2+B23*0.15)*100,0)</f>
        <v/>
      </c>
      <c r="C24" s="8" t="inlineStr">
        <is>
          <t>editable formula</t>
        </is>
      </c>
    </row>
    <row r="25" ht="15" customHeight="1" s="6">
      <c r="A25" s="8" t="inlineStr">
        <is>
          <t>Resulting Band</t>
        </is>
      </c>
      <c r="B25" s="8">
        <f>IF(B24&gt;=90,"Verified",IF(B24&gt;=75,"High Confidence",IF(B24&gt;=60,"Medium Confidence","Needs Validation")))</f>
        <v/>
      </c>
      <c r="C25" s="8" t="inlineStr">
        <is>
          <t>editable formula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5" customWidth="1" style="5" min="1" max="2"/>
    <col width="33" customWidth="1" style="5" min="3" max="3"/>
    <col width="35" customWidth="1" style="5" min="4" max="4"/>
  </cols>
  <sheetData>
    <row r="1" ht="15" customHeight="1" s="6">
      <c r="A1" s="7" t="inlineStr">
        <is>
          <t>Intelligence Area</t>
        </is>
      </c>
      <c r="B1" s="7" t="inlineStr">
        <is>
          <t>Owner</t>
        </is>
      </c>
      <c r="C1" s="7" t="inlineStr">
        <is>
          <t>Validation SLA (business days)</t>
        </is>
      </c>
      <c r="D1" s="7" t="inlineStr">
        <is>
          <t>Escalation Owner (if SLA missed)</t>
        </is>
      </c>
    </row>
    <row r="2" ht="15" customHeight="1" s="6">
      <c r="A2" s="8" t="inlineStr">
        <is>
          <t>Litigation &amp; Dispute Management</t>
        </is>
      </c>
      <c r="B2" s="8" t="inlineStr">
        <is>
          <t>General Counsel</t>
        </is>
      </c>
      <c r="C2" s="8" t="n">
        <v>5</v>
      </c>
      <c r="D2" s="8" t="inlineStr">
        <is>
          <t>CEO</t>
        </is>
      </c>
    </row>
    <row r="3" ht="15" customHeight="1" s="6">
      <c r="A3" s="8" t="inlineStr">
        <is>
          <t>Contract Lifecycle Management</t>
        </is>
      </c>
      <c r="B3" s="8" t="inlineStr">
        <is>
          <t>General Counsel / Head of Commercial Legal</t>
        </is>
      </c>
      <c r="C3" s="8" t="n">
        <v>5</v>
      </c>
      <c r="D3" s="8" t="inlineStr">
        <is>
          <t>General Counsel</t>
        </is>
      </c>
    </row>
    <row r="4" ht="15" customHeight="1" s="6">
      <c r="A4" s="8" t="inlineStr">
        <is>
          <t>Intellectual Property Portfolio</t>
        </is>
      </c>
      <c r="B4" s="8" t="inlineStr">
        <is>
          <t>Head of IP / General Counsel</t>
        </is>
      </c>
      <c r="C4" s="8" t="n">
        <v>5</v>
      </c>
      <c r="D4" s="8" t="inlineStr">
        <is>
          <t>General Counsel</t>
        </is>
      </c>
    </row>
    <row r="5" ht="15" customHeight="1" s="6">
      <c r="A5" s="8" t="inlineStr">
        <is>
          <t>Legal Entity Structure &amp; Corporate Records</t>
        </is>
      </c>
      <c r="B5" s="8" t="inlineStr">
        <is>
          <t>Company Secretary / General Counsel</t>
        </is>
      </c>
      <c r="C5" s="8" t="n">
        <v>5</v>
      </c>
      <c r="D5" s="8" t="inlineStr">
        <is>
          <t>General Counsel</t>
        </is>
      </c>
    </row>
    <row r="6" ht="15" customHeight="1" s="6">
      <c r="A6" s="8" t="inlineStr">
        <is>
          <t>Outside Counsel &amp; Legal Spend</t>
        </is>
      </c>
      <c r="B6" s="8" t="inlineStr">
        <is>
          <t>General Counsel</t>
        </is>
      </c>
      <c r="C6" s="8" t="n">
        <v>5</v>
      </c>
      <c r="D6" s="8" t="inlineStr">
        <is>
          <t>CFO</t>
        </is>
      </c>
    </row>
    <row r="7" ht="15" customHeight="1" s="6">
      <c r="A7" s="8" t="inlineStr">
        <is>
          <t>Regulatory &amp; Legal Risk Identification</t>
        </is>
      </c>
      <c r="B7" s="8" t="inlineStr">
        <is>
          <t>General Counsel</t>
        </is>
      </c>
      <c r="C7" s="8" t="n">
        <v>5</v>
      </c>
      <c r="D7" s="8" t="inlineStr">
        <is>
          <t>Board Risk Committee Chair</t>
        </is>
      </c>
    </row>
    <row r="8" ht="15" customHeight="1" s="6">
      <c r="A8" s="8" t="inlineStr">
        <is>
          <t>Privacy &amp; Data Protection Legal Compliance</t>
        </is>
      </c>
      <c r="B8" s="8" t="inlineStr">
        <is>
          <t>General Counsel / DPO</t>
        </is>
      </c>
      <c r="C8" s="8" t="n">
        <v>5</v>
      </c>
      <c r="D8" s="8" t="inlineStr">
        <is>
          <t>Chief Compliance Officer</t>
        </is>
      </c>
    </row>
    <row r="9" ht="15" customHeight="1" s="6">
      <c r="A9" s="8" t="inlineStr">
        <is>
          <t>Employment &amp; Labor Legal Matters</t>
        </is>
      </c>
      <c r="B9" s="8" t="inlineStr">
        <is>
          <t>General Counsel / Chief HR Officer</t>
        </is>
      </c>
      <c r="C9" s="8" t="n">
        <v>5</v>
      </c>
      <c r="D9" s="8" t="inlineStr">
        <is>
          <t>General Counsel</t>
        </is>
      </c>
    </row>
    <row r="10" ht="15" customHeight="1" s="6">
      <c r="A10" s="8" t="inlineStr">
        <is>
          <t>Real Estate &amp; Property Legal Matters</t>
        </is>
      </c>
      <c r="B10" s="8" t="inlineStr">
        <is>
          <t>General Counsel / Head of Facilities</t>
        </is>
      </c>
      <c r="C10" s="8" t="n">
        <v>5</v>
      </c>
      <c r="D10" s="8" t="inlineStr">
        <is>
          <t>CFO</t>
        </is>
      </c>
    </row>
    <row r="11" ht="15" customHeight="1" s="6">
      <c r="A11" s="8" t="inlineStr">
        <is>
          <t>Legal Hold &amp; Document Retention</t>
        </is>
      </c>
      <c r="B11" s="8" t="inlineStr">
        <is>
          <t>General Counsel</t>
        </is>
      </c>
      <c r="C11" s="8" t="n">
        <v>5</v>
      </c>
      <c r="D11" s="8" t="inlineStr">
        <is>
          <t>Chief Compliance Officer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5" customWidth="1" style="5" min="1" max="5"/>
  </cols>
  <sheetData>
    <row r="1" ht="15" customHeight="1" s="6">
      <c r="A1" s="7" t="inlineStr">
        <is>
          <t>Pattern</t>
        </is>
      </c>
      <c r="B1" s="7" t="inlineStr">
        <is>
          <t>Discover</t>
        </is>
      </c>
      <c r="C1" s="7" t="inlineStr">
        <is>
          <t>Infer</t>
        </is>
      </c>
      <c r="D1" s="7" t="inlineStr">
        <is>
          <t>Validate</t>
        </is>
      </c>
      <c r="E1" s="7" t="inlineStr">
        <is>
          <t>Ask</t>
        </is>
      </c>
    </row>
    <row r="2" ht="15" customHeight="1" s="6">
      <c r="A2" s="8" t="inlineStr">
        <is>
          <t>Text, One-to-one, Universal/Multi</t>
        </is>
      </c>
      <c r="B2" s="8" t="inlineStr">
        <is>
          <t>Parse from Annual Report/Regulatory Filings</t>
        </is>
      </c>
      <c r="C2" s="8" t="inlineStr">
        <is>
          <t>If found in 1 source only, infer from User Validation as secondary</t>
        </is>
      </c>
      <c r="D2" s="8" t="inlineStr">
        <is>
          <t>Ask user to confirm if confidence 60-89</t>
        </is>
      </c>
      <c r="E2" s="8" t="inlineStr">
        <is>
          <t>Ask outright only if confidence &lt;60 after Discover+Infer</t>
        </is>
      </c>
    </row>
    <row r="3" ht="15" customHeight="1" s="6">
      <c r="A3" s="8" t="inlineStr">
        <is>
          <t>Numeric, spend/settlement figures, One-to-one</t>
        </is>
      </c>
      <c r="B3" s="8" t="inlineStr">
        <is>
          <t>Parse directly from Finance/ERP or Regulatory Filings</t>
        </is>
      </c>
      <c r="C3" s="8" t="inlineStr">
        <is>
          <t>Infer from prior-year figure with stated growth assumption if current year unavailable</t>
        </is>
      </c>
      <c r="D3" s="8" t="inlineStr">
        <is>
          <t>Ask user to confirm if multiple sources disagree by &gt;5%</t>
        </is>
      </c>
      <c r="E3" s="8" t="inlineStr">
        <is>
          <t>Ask outright if no source provides any number</t>
        </is>
      </c>
    </row>
    <row r="4" ht="15" customHeight="1" s="6">
      <c r="A4" s="8" t="inlineStr">
        <is>
          <t>Text/Numeric, One-to-many (e.g. per-matter, per-contract, per-entity)</t>
        </is>
      </c>
      <c r="B4" s="8" t="inlineStr">
        <is>
          <t>Parse tabular sections of Regulatory Filings/legal matter management system exports</t>
        </is>
      </c>
      <c r="C4" s="8" t="inlineStr">
        <is>
          <t>Cross-reference Annual Report for items not in primary source</t>
        </is>
      </c>
      <c r="D4" s="8" t="inlineStr">
        <is>
          <t>Ask user to confirm completeness of the list</t>
        </is>
      </c>
      <c r="E4" s="8" t="inlineStr">
        <is>
          <t>Ask user to supply missing entries if Discover yields zero rows</t>
        </is>
      </c>
    </row>
    <row r="5" ht="15" customHeight="1" s="6">
      <c r="A5" s="8" t="inlineStr">
        <is>
          <t>Date</t>
        </is>
      </c>
      <c r="B5" s="8" t="inlineStr">
        <is>
          <t>Parse from filing metadata or matter management system date field</t>
        </is>
      </c>
      <c r="C5" s="8" t="inlineStr">
        <is>
          <t>Infer from stated legal calendar if exact date not given</t>
        </is>
      </c>
      <c r="D5" s="8" t="inlineStr">
        <is>
          <t>Ask user to confirm if inferred</t>
        </is>
      </c>
      <c r="E5" s="8" t="inlineStr">
        <is>
          <t>Ask outright if no source provides a date</t>
        </is>
      </c>
    </row>
    <row r="6" ht="15" customHeight="1" s="6">
      <c r="A6" s="8" t="inlineStr">
        <is>
          <t>Boolean (tri-state)</t>
        </is>
      </c>
      <c r="B6" s="8" t="inlineStr">
        <is>
          <t>Parse explicit Yes/No statement from filings/Annual Report</t>
        </is>
      </c>
      <c r="C6" s="8" t="inlineStr">
        <is>
          <t>Infer False if condition is absent across all sources after 2 independent checks</t>
        </is>
      </c>
      <c r="D6" s="8" t="inlineStr">
        <is>
          <t>Ask user to confirm an inferred False (never auto-finalize an inferred negative)</t>
        </is>
      </c>
      <c r="E6" s="8" t="inlineStr">
        <is>
          <t>Ask outright if neither Discover nor Infer can resolve</t>
        </is>
      </c>
    </row>
    <row r="7" ht="15" customHeight="1" s="6">
      <c r="A7" s="8" t="inlineStr">
        <is>
          <t>Framework-Specific / Optional Criticality</t>
        </is>
      </c>
      <c r="B7" s="8" t="inlineStr">
        <is>
          <t>Discover only from named jurisdiction filing if one exists</t>
        </is>
      </c>
      <c r="C7" s="8" t="inlineStr">
        <is>
          <t>Skip Infer — not worth estimating</t>
        </is>
      </c>
      <c r="D7" s="8" t="inlineStr">
        <is>
          <t>Skip Validate — not worth user time unless Framework selected</t>
        </is>
      </c>
      <c r="E7" s="8" t="inlineStr">
        <is>
          <t>Ask only if a Framework requiring it is actively selected by user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5" customWidth="1" style="5" min="1" max="1"/>
    <col width="36" customWidth="1" style="5" min="2" max="2"/>
    <col width="55" customWidth="1" style="5" min="3" max="3"/>
    <col width="15" customWidth="1" style="5" min="4" max="4"/>
  </cols>
  <sheetData>
    <row r="1" ht="15" customHeight="1" s="6">
      <c r="A1" s="7" t="inlineStr">
        <is>
          <t>Framework</t>
        </is>
      </c>
      <c r="B1" s="7" t="inlineStr">
        <is>
          <t>Disclosure / Question ID</t>
        </is>
      </c>
      <c r="C1" s="7" t="inlineStr">
        <is>
          <t>Disclosure / Question Text</t>
        </is>
      </c>
      <c r="D1" s="7" t="inlineStr">
        <is>
          <t>Mapped BQ ID</t>
        </is>
      </c>
    </row>
    <row r="2" ht="15" customHeight="1" s="6">
      <c r="A2" s="8" t="inlineStr">
        <is>
          <t>SEC Regulation S-K</t>
        </is>
      </c>
      <c r="B2" s="8" t="inlineStr">
        <is>
          <t>Item 103(a)</t>
        </is>
      </c>
      <c r="C2" s="8" t="inlineStr">
        <is>
          <t>Description of material pending legal proceedings (name of court, date instituted, parties, factual basis, relief sought)</t>
        </is>
      </c>
      <c r="D2" s="8" t="inlineStr">
        <is>
          <t>LG-LIT-001</t>
        </is>
      </c>
    </row>
    <row r="3" ht="15" customHeight="1" s="6">
      <c r="A3" s="8" t="inlineStr">
        <is>
          <t>SEC Regulation S-K</t>
        </is>
      </c>
      <c r="B3" s="8" t="inlineStr">
        <is>
          <t>Item 103(b)(2)</t>
        </is>
      </c>
      <c r="C3" s="8" t="inlineStr">
        <is>
          <t>10%-of-current-assets materiality threshold for damages/monetary-sanction claims</t>
        </is>
      </c>
      <c r="D3" s="8" t="inlineStr">
        <is>
          <t>LG-LIT-001</t>
        </is>
      </c>
    </row>
    <row r="4" ht="15" customHeight="1" s="6">
      <c r="A4" s="8" t="inlineStr">
        <is>
          <t>SEC Regulation S-K</t>
        </is>
      </c>
      <c r="B4" s="8" t="inlineStr">
        <is>
          <t>Item 103(c)(1)</t>
        </is>
      </c>
      <c r="C4" s="8" t="inlineStr">
        <is>
          <t>Material bankruptcy/receivership proceeding disclosure</t>
        </is>
      </c>
      <c r="D4" s="8" t="inlineStr">
        <is>
          <t>LG-ENT-003</t>
        </is>
      </c>
    </row>
    <row r="5" ht="15" customHeight="1" s="6">
      <c r="A5" s="8" t="inlineStr">
        <is>
          <t>SEC Regulation S-K</t>
        </is>
      </c>
      <c r="B5" s="8" t="inlineStr">
        <is>
          <t>Item 103(c)(2)</t>
        </is>
      </c>
      <c r="C5" s="8" t="inlineStr">
        <is>
          <t>Proceedings where a director/officer/affiliate is adverse to the registrant</t>
        </is>
      </c>
      <c r="D5" s="8" t="inlineStr">
        <is>
          <t>LG-LIT-001</t>
        </is>
      </c>
    </row>
    <row r="6" ht="15" customHeight="1" s="6">
      <c r="A6" s="8" t="inlineStr">
        <is>
          <t>SEC Regulation S-K</t>
        </is>
      </c>
      <c r="B6" s="8" t="inlineStr">
        <is>
          <t>Item 103(c)(3)</t>
        </is>
      </c>
      <c r="C6" s="8" t="inlineStr">
        <is>
          <t>Environmental proceedings arising under federal/state/local discharge regulation, $300,000+ monetary sanction threshold</t>
        </is>
      </c>
      <c r="D6" s="8" t="inlineStr">
        <is>
          <t>LG-RE-003</t>
        </is>
      </c>
    </row>
    <row r="7" ht="15" customHeight="1" s="6">
      <c r="A7" s="8" t="inlineStr">
        <is>
          <t>GRI</t>
        </is>
      </c>
      <c r="B7" s="8" t="inlineStr">
        <is>
          <t>GRI 2-27</t>
        </is>
      </c>
      <c r="C7" s="8" t="inlineStr">
        <is>
          <t>Compliance with laws and regulations — significant instances of non-compliance</t>
        </is>
      </c>
      <c r="D7" s="8" t="n"/>
    </row>
    <row r="8" ht="15" customHeight="1" s="6">
      <c r="A8" s="8" t="inlineStr">
        <is>
          <t>US Civil Procedure Rule 31 (England &amp; Wales equivalent)</t>
        </is>
      </c>
      <c r="B8" s="8" t="inlineStr">
        <is>
          <t>Legal Hold / Litigation Privilege</t>
        </is>
      </c>
      <c r="C8" s="8" t="inlineStr">
        <is>
          <t>Duty to preserve and disclose relevant documents once litigation is reasonably anticipated</t>
        </is>
      </c>
      <c r="D8" s="8" t="inlineStr">
        <is>
          <t>LG-HLD-001</t>
        </is>
      </c>
    </row>
    <row r="9" ht="15" customHeight="1" s="6">
      <c r="A9" s="5" t="inlineStr">
        <is>
          <t>SEC Regulation S-K</t>
        </is>
      </c>
      <c r="B9" s="5" t="inlineStr">
        <is>
          <t>Item 103(a) - Contemplated Proceedings</t>
        </is>
      </c>
      <c r="C9" s="5" t="inlineStr">
        <is>
          <t>Legal proceedings known to be contemplated by governmental authorities</t>
        </is>
      </c>
      <c r="D9" s="5" t="inlineStr">
        <is>
          <t>LG-RSK-001</t>
        </is>
      </c>
    </row>
    <row r="10" ht="15" customHeight="1" s="6">
      <c r="A10" s="5" t="inlineStr">
        <is>
          <t>SEC Regulation S-K</t>
        </is>
      </c>
      <c r="B10" s="5" t="inlineStr">
        <is>
          <t>Instruction 1-2 to Item 103</t>
        </is>
      </c>
      <c r="C10" s="5" t="inlineStr">
        <is>
          <t>Ordinary routine litigation carve-out and negligence-claim departure test</t>
        </is>
      </c>
      <c r="D10" s="5" t="inlineStr">
        <is>
          <t>LG-LIT-002</t>
        </is>
      </c>
    </row>
    <row r="11" ht="15" customHeight="1" s="6">
      <c r="A11" s="5" t="inlineStr">
        <is>
          <t>SEC Regulation S-K</t>
        </is>
      </c>
      <c r="B11" s="5" t="inlineStr">
        <is>
          <t>Item 103(a) - Disclosure Method</t>
        </is>
      </c>
      <c r="C11" s="5" t="inlineStr">
        <is>
          <t>Hyperlink/cross-reference disclosure to MD&amp;A, Risk Factors, or financial statement notes</t>
        </is>
      </c>
      <c r="D11" s="5" t="inlineStr">
        <is>
          <t>LG-LIT-002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Executive Role</t>
        </is>
      </c>
      <c r="B1" s="5" t="inlineStr">
        <is>
          <t>Priority Intelligence Question</t>
        </is>
      </c>
      <c r="C1" s="5" t="inlineStr">
        <is>
          <t>Current Signal</t>
        </is>
      </c>
      <c r="D1" s="5" t="inlineStr">
        <is>
          <t>Decision Required</t>
        </is>
      </c>
    </row>
    <row r="2">
      <c r="A2" s="5" t="inlineStr">
        <is>
          <t>CEO</t>
        </is>
      </c>
      <c r="B2" s="5" t="inlineStr">
        <is>
          <t>Is our Legal Intelligence posture creating or destroying value?</t>
        </is>
      </c>
      <c r="C2" s="5" t="inlineStr">
        <is>
          <t>37 BQs define the intelligence picture.</t>
        </is>
      </c>
      <c r="D2" s="5" t="inlineStr">
        <is>
          <t>Review top risks with domain owner and CFO.</t>
        </is>
      </c>
    </row>
    <row r="3">
      <c r="A3" s="5" t="inlineStr">
        <is>
          <t>CFO</t>
        </is>
      </c>
      <c r="B3" s="5" t="inlineStr">
        <is>
          <t>What is the financial consequence of gaps here?</t>
        </is>
      </c>
      <c r="C3" s="5" t="inlineStr">
        <is>
          <t>Cross-reference confidence rollup.</t>
        </is>
      </c>
      <c r="D3" s="5" t="inlineStr">
        <is>
          <t>Assign named remediation owners.</t>
        </is>
      </c>
    </row>
    <row r="4">
      <c r="A4" s="5" t="inlineStr">
        <is>
          <t>Board</t>
        </is>
      </c>
      <c r="B4" s="5" t="inlineStr">
        <is>
          <t>Are we governing Legal Intelligence at board-required standards?</t>
        </is>
      </c>
      <c r="C4" s="5" t="inlineStr">
        <is>
          <t>Review RED-rated Intelligence Areas.</t>
        </is>
      </c>
      <c r="D4" s="5" t="inlineStr">
        <is>
          <t>Require remediation plan.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Gap Category</t>
        </is>
      </c>
      <c r="B1" s="5" t="inlineStr">
        <is>
          <t>Status</t>
        </is>
      </c>
      <c r="C1" s="5" t="inlineStr">
        <is>
          <t>Resolution</t>
        </is>
      </c>
      <c r="D1" s="5" t="inlineStr">
        <is>
          <t>Evidence</t>
        </is>
      </c>
    </row>
    <row r="2">
      <c r="A2" s="5" t="inlineStr">
        <is>
          <t>CDE Coverage</t>
        </is>
      </c>
      <c r="B2" s="5" t="inlineStr">
        <is>
          <t>CLOSED</t>
        </is>
      </c>
      <c r="C2" s="5" t="inlineStr">
        <is>
          <t>149 CDEs verified</t>
        </is>
      </c>
      <c r="D2" s="5" t="inlineStr">
        <is>
          <t>03_CDE_Registry</t>
        </is>
      </c>
    </row>
    <row r="3">
      <c r="A3" s="5" t="inlineStr">
        <is>
          <t>BQ Governance</t>
        </is>
      </c>
      <c r="B3" s="5" t="inlineStr">
        <is>
          <t>CLOSED</t>
        </is>
      </c>
      <c r="C3" s="5" t="inlineStr">
        <is>
          <t>37 MECE BQs</t>
        </is>
      </c>
      <c r="D3" s="5" t="inlineStr">
        <is>
          <t>02_BQ_Registry</t>
        </is>
      </c>
    </row>
    <row r="4">
      <c r="A4" s="5" t="inlineStr">
        <is>
          <t>Certification</t>
        </is>
      </c>
      <c r="B4" s="5" t="inlineStr">
        <is>
          <t>CLOSED</t>
        </is>
      </c>
      <c r="C4" s="5" t="inlineStr">
        <is>
          <t>Gold Standard locked</t>
        </is>
      </c>
      <c r="D4" s="5" t="inlineStr">
        <is>
          <t>00_Freeze_Status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5" min="1" max="1"/>
    <col width="25" customWidth="1" style="5" min="2" max="2"/>
    <col width="15" customWidth="1" style="5" min="3" max="3"/>
    <col width="28" customWidth="1" style="5" min="4" max="4"/>
    <col width="16" customWidth="1" style="5" min="5" max="5"/>
  </cols>
  <sheetData>
    <row r="1" ht="15" customHeight="1" s="6">
      <c r="A1" s="7" t="inlineStr">
        <is>
          <t>Framework</t>
        </is>
      </c>
      <c r="B1" s="7" t="inlineStr">
        <is>
          <t>Disclosure/Question ID</t>
        </is>
      </c>
      <c r="C1" s="7" t="inlineStr">
        <is>
          <t>Mapped BQ ID</t>
        </is>
      </c>
      <c r="D1" s="7" t="inlineStr">
        <is>
          <t>Required CDE IDs (subset)</t>
        </is>
      </c>
      <c r="E1" s="7" t="inlineStr">
        <is>
          <t>CDEs Excluded</t>
        </is>
      </c>
    </row>
    <row r="2" ht="15" customHeight="1" s="6">
      <c r="A2" s="5" t="inlineStr">
        <is>
          <t>SEC Regulation S-K</t>
        </is>
      </c>
      <c r="B2" s="5" t="inlineStr">
        <is>
          <t>Item 103(a)</t>
        </is>
      </c>
      <c r="C2" s="5" t="inlineStr">
        <is>
          <t>LG-LIT-001</t>
        </is>
      </c>
      <c r="D2" s="5" t="inlineStr">
        <is>
          <t>CDE-L001, CDE-L002, CDE-L003</t>
        </is>
      </c>
      <c r="E2" s="5" t="inlineStr">
        <is>
          <t>Counterparty name (CDE-L004) is recommended/supplemental detail, not the core 103(a) requirement (court/date/parties/factual basis/relief) which is captured at the matter-inventory level</t>
        </is>
      </c>
    </row>
    <row r="3" ht="15" customHeight="1" s="6">
      <c r="A3" s="5" t="inlineStr">
        <is>
          <t>SEC Regulation S-K</t>
        </is>
      </c>
      <c r="B3" s="5" t="inlineStr">
        <is>
          <t>Item 103(b)(2)</t>
        </is>
      </c>
      <c r="C3" s="5" t="inlineStr">
        <is>
          <t>LG-LIT-001</t>
        </is>
      </c>
      <c r="D3" s="5" t="inlineStr">
        <is>
          <t>CDE-L114</t>
        </is>
      </c>
    </row>
    <row r="4" ht="15" customHeight="1" s="6">
      <c r="A4" s="5" t="inlineStr">
        <is>
          <t>SEC Regulation S-K</t>
        </is>
      </c>
      <c r="B4" s="5" t="inlineStr">
        <is>
          <t>Item 103(c)(1)</t>
        </is>
      </c>
      <c r="C4" s="5" t="inlineStr">
        <is>
          <t>LG-ENT-003</t>
        </is>
      </c>
      <c r="D4" s="5" t="inlineStr">
        <is>
          <t>CDE-L039</t>
        </is>
      </c>
    </row>
    <row r="5" ht="15" customHeight="1" s="6">
      <c r="A5" s="5" t="inlineStr">
        <is>
          <t>SEC Regulation S-K</t>
        </is>
      </c>
      <c r="B5" s="5" t="inlineStr">
        <is>
          <t>Item 103(c)(2)</t>
        </is>
      </c>
      <c r="C5" s="5" t="inlineStr">
        <is>
          <t>LG-LIT-001</t>
        </is>
      </c>
      <c r="D5" s="5" t="inlineStr">
        <is>
          <t>CDE-L002</t>
        </is>
      </c>
      <c r="E5" s="5" t="inlineStr">
        <is>
          <t>Director/officer/affiliate-adverse proceedings are captured via the matter-type classification field; no separate party-relationship CDE currently exists — minor granularity gap, noted</t>
        </is>
      </c>
    </row>
    <row r="6" ht="15" customHeight="1" s="6">
      <c r="A6" s="5" t="inlineStr">
        <is>
          <t>SEC Regulation S-K</t>
        </is>
      </c>
      <c r="B6" s="5" t="inlineStr">
        <is>
          <t>Item 103(c)(3)</t>
        </is>
      </c>
      <c r="C6" s="5" t="inlineStr">
        <is>
          <t>LG-RE-003</t>
        </is>
      </c>
      <c r="D6" s="5" t="inlineStr">
        <is>
          <t>CDE-L148</t>
        </is>
      </c>
    </row>
    <row r="7" ht="15" customHeight="1" s="6">
      <c r="A7" s="5" t="inlineStr">
        <is>
          <t>US Civil Procedure Rule 31 (England &amp; Wales equivalent)</t>
        </is>
      </c>
      <c r="B7" s="5" t="inlineStr">
        <is>
          <t>Legal Hold / Litigation Privilege</t>
        </is>
      </c>
      <c r="C7" s="5" t="inlineStr">
        <is>
          <t>LG-HLD-001</t>
        </is>
      </c>
      <c r="D7" s="5" t="inlineStr">
        <is>
          <t>CDE-L075, CDE-L076</t>
        </is>
      </c>
    </row>
    <row r="8" ht="15" customHeight="1" s="6">
      <c r="A8" s="5" t="inlineStr">
        <is>
          <t>SEC Regulation S-K</t>
        </is>
      </c>
      <c r="B8" s="5" t="inlineStr">
        <is>
          <t>Item 103(a) - Contemplated Proceedings</t>
        </is>
      </c>
      <c r="C8" s="5" t="inlineStr">
        <is>
          <t>LG-RSK-001</t>
        </is>
      </c>
      <c r="D8" s="5" t="inlineStr">
        <is>
          <t>CDE-L146</t>
        </is>
      </c>
    </row>
    <row r="9" ht="15" customHeight="1" s="6">
      <c r="A9" s="5" t="inlineStr">
        <is>
          <t>SEC Regulation S-K</t>
        </is>
      </c>
      <c r="B9" s="5" t="inlineStr">
        <is>
          <t>Instruction 1-2 to Item 103</t>
        </is>
      </c>
      <c r="C9" s="5" t="inlineStr">
        <is>
          <t>LG-LIT-002</t>
        </is>
      </c>
      <c r="D9" s="5" t="inlineStr">
        <is>
          <t>CDE-L147</t>
        </is>
      </c>
    </row>
    <row r="10" ht="15" customHeight="1" s="6">
      <c r="A10" s="5" t="inlineStr">
        <is>
          <t>SEC Regulation S-K</t>
        </is>
      </c>
      <c r="B10" s="5" t="inlineStr">
        <is>
          <t>Item 103(a) - Disclosure Method</t>
        </is>
      </c>
      <c r="C10" s="5" t="inlineStr">
        <is>
          <t>LG-LIT-002</t>
        </is>
      </c>
      <c r="D10" s="5" t="inlineStr">
        <is>
          <t>CDE-L149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5" min="1" max="1"/>
    <col width="30" customWidth="1" style="5" min="2" max="2"/>
    <col width="34" customWidth="1" style="5" min="3" max="3"/>
  </cols>
  <sheetData>
    <row r="1" ht="15" customHeight="1" s="6">
      <c r="A1" s="7" t="inlineStr">
        <is>
          <t>BQ ID</t>
        </is>
      </c>
      <c r="B1" s="7" t="inlineStr">
        <is>
          <t>Executive Question (Q1-Q12)</t>
        </is>
      </c>
      <c r="C1" s="7" t="inlineStr">
        <is>
          <t>Sacred 12 Screen</t>
        </is>
      </c>
    </row>
    <row r="2" ht="15" customHeight="1" s="6">
      <c r="A2" s="8" t="inlineStr">
        <is>
          <t>LG-LIT-001</t>
        </is>
      </c>
      <c r="B2" s="8" t="inlineStr">
        <is>
          <t>Q4 - The Threat Map</t>
        </is>
      </c>
      <c r="C2" s="8" t="inlineStr">
        <is>
          <t>S4 Risk &amp; Opportunity Center</t>
        </is>
      </c>
    </row>
    <row r="3" ht="15" customHeight="1" s="6">
      <c r="A3" s="8" t="inlineStr">
        <is>
          <t>LG-LIT-002</t>
        </is>
      </c>
      <c r="B3" s="8" t="inlineStr">
        <is>
          <t>Q4 - The Threat Map</t>
        </is>
      </c>
      <c r="C3" s="8" t="inlineStr">
        <is>
          <t>S4 Risk &amp; Opportunity Center</t>
        </is>
      </c>
    </row>
    <row r="4" ht="15" customHeight="1" s="6">
      <c r="A4" s="8" t="inlineStr">
        <is>
          <t>LG-LIT-003</t>
        </is>
      </c>
      <c r="B4" s="8" t="inlineStr">
        <is>
          <t>Q4 - The Threat Map</t>
        </is>
      </c>
      <c r="C4" s="8" t="inlineStr">
        <is>
          <t>S4 Risk &amp; Opportunity Center</t>
        </is>
      </c>
    </row>
    <row r="5" ht="15" customHeight="1" s="6">
      <c r="A5" s="8" t="inlineStr">
        <is>
          <t>LG-LIT-004</t>
        </is>
      </c>
      <c r="B5" s="8" t="inlineStr">
        <is>
          <t>Q4 - The Threat Map</t>
        </is>
      </c>
      <c r="C5" s="8" t="inlineStr">
        <is>
          <t>S4 Risk &amp; Opportunity Center</t>
        </is>
      </c>
    </row>
    <row r="6" ht="15" customHeight="1" s="6">
      <c r="A6" s="8" t="inlineStr">
        <is>
          <t>LG-LIT-005</t>
        </is>
      </c>
      <c r="B6" s="8" t="inlineStr">
        <is>
          <t>Q4 - The Threat Map</t>
        </is>
      </c>
      <c r="C6" s="8" t="inlineStr">
        <is>
          <t>S4 Risk &amp; Opportunity Center</t>
        </is>
      </c>
    </row>
    <row r="7" ht="15" customHeight="1" s="6">
      <c r="A7" s="8" t="inlineStr">
        <is>
          <t>LG-CON-001</t>
        </is>
      </c>
      <c r="B7" s="8" t="inlineStr">
        <is>
          <t>Q2 - Who Decides</t>
        </is>
      </c>
      <c r="C7" s="8" t="inlineStr">
        <is>
          <t>S3 Decision Center</t>
        </is>
      </c>
    </row>
    <row r="8" ht="15" customHeight="1" s="6">
      <c r="A8" s="8" t="inlineStr">
        <is>
          <t>LG-CON-002</t>
        </is>
      </c>
      <c r="B8" s="8" t="inlineStr">
        <is>
          <t>Q2 - Who Decides</t>
        </is>
      </c>
      <c r="C8" s="8" t="inlineStr">
        <is>
          <t>S3 Decision Center</t>
        </is>
      </c>
    </row>
    <row r="9" ht="15" customHeight="1" s="6">
      <c r="A9" s="8" t="inlineStr">
        <is>
          <t>LG-CON-003</t>
        </is>
      </c>
      <c r="B9" s="8" t="inlineStr">
        <is>
          <t>Q2 - Who Decides</t>
        </is>
      </c>
      <c r="C9" s="8" t="inlineStr">
        <is>
          <t>S3 Decision Center</t>
        </is>
      </c>
    </row>
    <row r="10" ht="15" customHeight="1" s="6">
      <c r="A10" s="8" t="inlineStr">
        <is>
          <t>LG-CON-004</t>
        </is>
      </c>
      <c r="B10" s="8" t="inlineStr">
        <is>
          <t>Q2 - Who Decides</t>
        </is>
      </c>
      <c r="C10" s="8" t="inlineStr">
        <is>
          <t>S3 Decision Center</t>
        </is>
      </c>
    </row>
    <row r="11" ht="15" customHeight="1" s="6">
      <c r="A11" s="8" t="inlineStr">
        <is>
          <t>LG-CON-005</t>
        </is>
      </c>
      <c r="B11" s="8" t="inlineStr">
        <is>
          <t>Q2 - Who Decides</t>
        </is>
      </c>
      <c r="C11" s="8" t="inlineStr">
        <is>
          <t>S3 Decision Center</t>
        </is>
      </c>
    </row>
    <row r="12" ht="15" customHeight="1" s="6">
      <c r="A12" s="8" t="inlineStr">
        <is>
          <t>LG-IP-001</t>
        </is>
      </c>
      <c r="B12" s="8" t="inlineStr">
        <is>
          <t>Q7 - What Matters Most</t>
        </is>
      </c>
      <c r="C12" s="8" t="inlineStr">
        <is>
          <t>S10 Materiality &amp; ESG Center</t>
        </is>
      </c>
    </row>
    <row r="13" ht="15" customHeight="1" s="6">
      <c r="A13" s="8" t="inlineStr">
        <is>
          <t>LG-IP-002</t>
        </is>
      </c>
      <c r="B13" s="8" t="inlineStr">
        <is>
          <t>Q7 - What Matters Most</t>
        </is>
      </c>
      <c r="C13" s="8" t="inlineStr">
        <is>
          <t>S10 Materiality &amp; ESG Center</t>
        </is>
      </c>
    </row>
    <row r="14" ht="15" customHeight="1" s="6">
      <c r="A14" s="8" t="inlineStr">
        <is>
          <t>LG-IP-003</t>
        </is>
      </c>
      <c r="B14" s="8" t="inlineStr">
        <is>
          <t>Q7 - What Matters Most</t>
        </is>
      </c>
      <c r="C14" s="8" t="inlineStr">
        <is>
          <t>S10 Materiality &amp; ESG Center</t>
        </is>
      </c>
    </row>
    <row r="15" ht="15" customHeight="1" s="6">
      <c r="A15" s="8" t="inlineStr">
        <is>
          <t>LG-IP-004</t>
        </is>
      </c>
      <c r="B15" s="8" t="inlineStr">
        <is>
          <t>Q7 - What Matters Most</t>
        </is>
      </c>
      <c r="C15" s="8" t="inlineStr">
        <is>
          <t>S10 Materiality &amp; ESG Center</t>
        </is>
      </c>
    </row>
    <row r="16" ht="15" customHeight="1" s="6">
      <c r="A16" s="8" t="inlineStr">
        <is>
          <t>LG-IP-005</t>
        </is>
      </c>
      <c r="B16" s="8" t="inlineStr">
        <is>
          <t>Q7 - What Matters Most</t>
        </is>
      </c>
      <c r="C16" s="8" t="inlineStr">
        <is>
          <t>S10 Materiality &amp; ESG Center</t>
        </is>
      </c>
    </row>
    <row r="17" ht="15" customHeight="1" s="6">
      <c r="A17" s="8" t="inlineStr">
        <is>
          <t>LG-ENT-001</t>
        </is>
      </c>
      <c r="B17" s="8" t="inlineStr">
        <is>
          <t>Q2 - Who Decides</t>
        </is>
      </c>
      <c r="C17" s="8" t="inlineStr">
        <is>
          <t>S3 Decision Center</t>
        </is>
      </c>
    </row>
    <row r="18" ht="15" customHeight="1" s="6">
      <c r="A18" s="8" t="inlineStr">
        <is>
          <t>LG-ENT-002</t>
        </is>
      </c>
      <c r="B18" s="8" t="inlineStr">
        <is>
          <t>Q2 - Who Decides</t>
        </is>
      </c>
      <c r="C18" s="8" t="inlineStr">
        <is>
          <t>S3 Decision Center</t>
        </is>
      </c>
    </row>
    <row r="19" ht="15" customHeight="1" s="6">
      <c r="A19" s="8" t="inlineStr">
        <is>
          <t>LG-ENT-003</t>
        </is>
      </c>
      <c r="B19" s="8" t="inlineStr">
        <is>
          <t>Q2 - Who Decides</t>
        </is>
      </c>
      <c r="C19" s="8" t="inlineStr">
        <is>
          <t>S3 Decision Center</t>
        </is>
      </c>
    </row>
    <row r="20" ht="15" customHeight="1" s="6">
      <c r="A20" s="8" t="inlineStr">
        <is>
          <t>LG-ENT-004</t>
        </is>
      </c>
      <c r="B20" s="8" t="inlineStr">
        <is>
          <t>Q2 - Who Decides</t>
        </is>
      </c>
      <c r="C20" s="8" t="inlineStr">
        <is>
          <t>S3 Decision Center</t>
        </is>
      </c>
    </row>
    <row r="21" ht="15" customHeight="1" s="6">
      <c r="A21" s="8" t="inlineStr">
        <is>
          <t>LG-CNS-001</t>
        </is>
      </c>
      <c r="B21" s="8" t="inlineStr">
        <is>
          <t>Q3 - The Money Question</t>
        </is>
      </c>
      <c r="C21" s="8" t="inlineStr">
        <is>
          <t>S6 Financial Performance Center</t>
        </is>
      </c>
    </row>
    <row r="22" ht="15" customHeight="1" s="6">
      <c r="A22" s="8" t="inlineStr">
        <is>
          <t>LG-CNS-002</t>
        </is>
      </c>
      <c r="B22" s="8" t="inlineStr">
        <is>
          <t>Q3 - The Money Question</t>
        </is>
      </c>
      <c r="C22" s="8" t="inlineStr">
        <is>
          <t>S6 Financial Performance Center</t>
        </is>
      </c>
    </row>
    <row r="23" ht="15" customHeight="1" s="6">
      <c r="A23" s="8" t="inlineStr">
        <is>
          <t>LG-CNS-003</t>
        </is>
      </c>
      <c r="B23" s="8" t="inlineStr">
        <is>
          <t>Q3 - The Money Question</t>
        </is>
      </c>
      <c r="C23" s="8" t="inlineStr">
        <is>
          <t>S6 Financial Performance Center</t>
        </is>
      </c>
    </row>
    <row r="24" ht="15" customHeight="1" s="6">
      <c r="A24" s="8" t="inlineStr">
        <is>
          <t>LG-CNS-004</t>
        </is>
      </c>
      <c r="B24" s="8" t="inlineStr">
        <is>
          <t>Q3 - The Money Question</t>
        </is>
      </c>
      <c r="C24" s="8" t="inlineStr">
        <is>
          <t>S6 Financial Performance Center</t>
        </is>
      </c>
    </row>
    <row r="25" ht="15" customHeight="1" s="6">
      <c r="A25" s="8" t="inlineStr">
        <is>
          <t>LG-RSK-001</t>
        </is>
      </c>
      <c r="B25" s="8" t="inlineStr">
        <is>
          <t>Q4 - The Threat Map</t>
        </is>
      </c>
      <c r="C25" s="8" t="inlineStr">
        <is>
          <t>S4 Risk &amp; Opportunity Center</t>
        </is>
      </c>
    </row>
    <row r="26" ht="15" customHeight="1" s="6">
      <c r="A26" s="8" t="inlineStr">
        <is>
          <t>LG-RSK-002</t>
        </is>
      </c>
      <c r="B26" s="8" t="inlineStr">
        <is>
          <t>Q4 - The Threat Map</t>
        </is>
      </c>
      <c r="C26" s="8" t="inlineStr">
        <is>
          <t>S4 Risk &amp; Opportunity Center</t>
        </is>
      </c>
    </row>
    <row r="27" ht="15" customHeight="1" s="6">
      <c r="A27" s="8" t="inlineStr">
        <is>
          <t>LG-RSK-003</t>
        </is>
      </c>
      <c r="B27" s="8" t="inlineStr">
        <is>
          <t>Q4 - The Threat Map</t>
        </is>
      </c>
      <c r="C27" s="8" t="inlineStr">
        <is>
          <t>S4 Risk &amp; Opportunity Center</t>
        </is>
      </c>
    </row>
    <row r="28" ht="15" customHeight="1" s="6">
      <c r="A28" s="8" t="inlineStr">
        <is>
          <t>LG-EMP-001</t>
        </is>
      </c>
      <c r="B28" s="8" t="inlineStr">
        <is>
          <t>Q4 - The Threat Map</t>
        </is>
      </c>
      <c r="C28" s="8" t="inlineStr">
        <is>
          <t>S4 Risk &amp; Opportunity Center</t>
        </is>
      </c>
    </row>
    <row r="29" ht="15" customHeight="1" s="6">
      <c r="A29" s="8" t="inlineStr">
        <is>
          <t>LG-EMP-002</t>
        </is>
      </c>
      <c r="B29" s="8" t="inlineStr">
        <is>
          <t>Q4 - The Threat Map</t>
        </is>
      </c>
      <c r="C29" s="8" t="inlineStr">
        <is>
          <t>S4 Risk &amp; Opportunity Center</t>
        </is>
      </c>
    </row>
    <row r="30" ht="15" customHeight="1" s="6">
      <c r="A30" s="8" t="inlineStr">
        <is>
          <t>LG-EMP-003</t>
        </is>
      </c>
      <c r="B30" s="8" t="inlineStr">
        <is>
          <t>Q4 - The Threat Map</t>
        </is>
      </c>
      <c r="C30" s="8" t="inlineStr">
        <is>
          <t>S4 Risk &amp; Opportunity Center</t>
        </is>
      </c>
    </row>
    <row r="31" ht="15" customHeight="1" s="6">
      <c r="A31" s="8" t="inlineStr">
        <is>
          <t>LG-RE-001</t>
        </is>
      </c>
      <c r="B31" s="8" t="inlineStr">
        <is>
          <t>Q4 - The Threat Map</t>
        </is>
      </c>
      <c r="C31" s="8" t="inlineStr">
        <is>
          <t>S4 Risk &amp; Opportunity Center</t>
        </is>
      </c>
    </row>
    <row r="32" ht="15" customHeight="1" s="6">
      <c r="A32" s="8" t="inlineStr">
        <is>
          <t>LG-RE-002</t>
        </is>
      </c>
      <c r="B32" s="8" t="inlineStr">
        <is>
          <t>Q4 - The Threat Map</t>
        </is>
      </c>
      <c r="C32" s="8" t="inlineStr">
        <is>
          <t>S4 Risk &amp; Opportunity Center</t>
        </is>
      </c>
    </row>
    <row r="33" ht="15" customHeight="1" s="6">
      <c r="A33" s="8" t="inlineStr">
        <is>
          <t>LG-RE-003</t>
        </is>
      </c>
      <c r="B33" s="8" t="inlineStr">
        <is>
          <t>Q4 - The Threat Map</t>
        </is>
      </c>
      <c r="C33" s="8" t="inlineStr">
        <is>
          <t>S4 Risk &amp; Opportunity Center</t>
        </is>
      </c>
    </row>
    <row r="34" ht="15" customHeight="1" s="6">
      <c r="A34" s="8" t="inlineStr">
        <is>
          <t>LG-HLD-001</t>
        </is>
      </c>
      <c r="B34" s="8" t="inlineStr">
        <is>
          <t>Q12 - Are We Ready</t>
        </is>
      </c>
      <c r="C34" s="8" t="inlineStr">
        <is>
          <t>S12 Executive Readiness</t>
        </is>
      </c>
    </row>
    <row r="35" ht="15" customHeight="1" s="6">
      <c r="A35" s="8" t="inlineStr">
        <is>
          <t>LG-HLD-002</t>
        </is>
      </c>
      <c r="B35" s="8" t="inlineStr">
        <is>
          <t>Q12 - Are We Ready</t>
        </is>
      </c>
      <c r="C35" s="8" t="inlineStr">
        <is>
          <t>S12 Executive Readiness</t>
        </is>
      </c>
    </row>
    <row r="36" ht="15" customHeight="1" s="6">
      <c r="A36" s="8" t="inlineStr">
        <is>
          <t>LG-HLD-003</t>
        </is>
      </c>
      <c r="B36" s="8" t="inlineStr">
        <is>
          <t>Q12 - Are We Ready</t>
        </is>
      </c>
      <c r="C36" s="8" t="inlineStr">
        <is>
          <t>S12 Executive Readiness</t>
        </is>
      </c>
    </row>
    <row r="37" ht="15" customHeight="1" s="6">
      <c r="A37" s="8" t="inlineStr">
        <is>
          <t>LG-PRIV-001</t>
        </is>
      </c>
      <c r="B37" s="8" t="inlineStr">
        <is>
          <t>Q4 - The Threat Map</t>
        </is>
      </c>
      <c r="C37" s="8" t="inlineStr">
        <is>
          <t>S4 Risk &amp; Opportunity Center</t>
        </is>
      </c>
    </row>
    <row r="38" ht="15" customHeight="1" s="6">
      <c r="A38" s="8" t="inlineStr">
        <is>
          <t>LG-PRIV-002</t>
        </is>
      </c>
      <c r="B38" s="8" t="inlineStr">
        <is>
          <t>Q4 - The Threat Map</t>
        </is>
      </c>
      <c r="C38" s="8" t="inlineStr">
        <is>
          <t>S4 Risk &amp; Opportunity Center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Check</t>
        </is>
      </c>
      <c r="B1" s="5" t="inlineStr">
        <is>
          <t>Result</t>
        </is>
      </c>
    </row>
    <row r="2">
      <c r="A2" s="5" t="inlineStr">
        <is>
          <t>CDE count = 149</t>
        </is>
      </c>
      <c r="B2" s="5" t="inlineStr">
        <is>
          <t>PASS</t>
        </is>
      </c>
    </row>
    <row r="3">
      <c r="A3" s="5" t="inlineStr">
        <is>
          <t>BQ count = 37</t>
        </is>
      </c>
      <c r="B3" s="5" t="inlineStr">
        <is>
          <t>PASS</t>
        </is>
      </c>
    </row>
    <row r="4">
      <c r="A4" s="5" t="inlineStr">
        <is>
          <t>Gold Standard certification</t>
        </is>
      </c>
      <c r="B4" s="5" t="inlineStr">
        <is>
          <t>CERTIFIED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C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5" customWidth="1" style="5" min="1" max="3"/>
  </cols>
  <sheetData>
    <row r="1" ht="15" customHeight="1" s="6">
      <c r="A1" s="7" t="inlineStr">
        <is>
          <t>Roll-up Level</t>
        </is>
      </c>
      <c r="B1" s="7" t="inlineStr">
        <is>
          <t>Formula / Method</t>
        </is>
      </c>
      <c r="C1" s="7" t="inlineStr">
        <is>
          <t>Worked Example</t>
        </is>
      </c>
    </row>
    <row r="2" ht="15" customHeight="1" s="6">
      <c r="A2" s="8" t="inlineStr">
        <is>
          <t>CDE -&gt; BQ</t>
        </is>
      </c>
      <c r="B2" s="8" t="inlineStr">
        <is>
          <t>BQ Confidence = weighted average of all mapped CDE confidence scores, weighted by Executive Criticality (Required=1.0, Recommended=0.6, Supplemental=0.3)</t>
        </is>
      </c>
      <c r="C2" s="8" t="inlineStr">
        <is>
          <t>LG-LIT-001 has 5 CDEs: Required@88, Required@85, Recommended@70, Recommended@65, Supplemental@60 -&gt; weighted avg ≈ 76.9</t>
        </is>
      </c>
    </row>
    <row r="3" ht="15" customHeight="1" s="6">
      <c r="A3" s="8" t="inlineStr">
        <is>
          <t>BQ -&gt; BIR</t>
        </is>
      </c>
      <c r="B3" s="8" t="inlineStr">
        <is>
          <t>BIR Confidence = simple average of all BQ confidence scores nested under that BIR</t>
        </is>
      </c>
      <c r="C3" s="8" t="inlineStr">
        <is>
          <t>BIR-LG-01 has 5 BQs averaging to 77.5 -&gt; BIR-LG-01 Confidence = 77.5</t>
        </is>
      </c>
    </row>
    <row r="4" ht="15" customHeight="1" s="6">
      <c r="A4" s="8" t="inlineStr">
        <is>
          <t>BIR -&gt; Intelligence Area</t>
        </is>
      </c>
      <c r="B4" s="8" t="inlineStr">
        <is>
          <t>IA Confidence = simple average of all BIR confidence scores nested under that IA (most IAs have exactly 1 BIR, so this is usually 1:1 passthrough)</t>
        </is>
      </c>
      <c r="C4" s="8" t="inlineStr">
        <is>
          <t>Intelligence Area "Litigation &amp; Dispute Management" has 1 BIR (BIR-LG-01) at 77.5 -&gt; IA Confidence = 77.5</t>
        </is>
      </c>
    </row>
    <row r="5" ht="15" customHeight="1" s="6">
      <c r="A5" s="8" t="inlineStr">
        <is>
          <t>Intelligence Area -&gt; Domain</t>
        </is>
      </c>
      <c r="B5" s="8" t="inlineStr">
        <is>
          <t>Domain Confidence = weighted average of all IA confidence scores, weighted by number of Required CDEs in each IA</t>
        </is>
      </c>
      <c r="C5" s="8" t="inlineStr">
        <is>
          <t>See worked roll-up below for Legal Intelligence domain</t>
        </is>
      </c>
    </row>
    <row r="6" ht="15" customHeight="1" s="6">
      <c r="A6" s="8" t="n"/>
      <c r="B6" s="8" t="n"/>
      <c r="C6" s="8" t="n"/>
    </row>
    <row r="7" ht="15" customHeight="1" s="6">
      <c r="A7" s="9" t="inlineStr">
        <is>
          <t>⚠ REPLICATION NOTE: Rows below are a WORKED EXAMPLE for this domain only. When building another domain, replace the Intelligence Area names and illustrative values with that domain's own — do not leave this domain's labels in place. The FORMULA is domain-agnostic and structural; the ROWS ABOVE the formula are domain-specific content.</t>
        </is>
      </c>
      <c r="B7" s="8" t="n"/>
      <c r="C7" s="8" t="n"/>
    </row>
    <row r="8" ht="15" customHeight="1" s="6">
      <c r="A8" s="8" t="inlineStr">
        <is>
          <t>DOMAIN ROLL-UP WORKED EXAMPLE (Legal Intelligence)</t>
        </is>
      </c>
      <c r="B8" s="8" t="n"/>
      <c r="C8" s="8" t="n"/>
    </row>
    <row r="9" ht="15" customHeight="1" s="6">
      <c r="A9" s="8" t="inlineStr">
        <is>
          <t>Intelligence Area</t>
        </is>
      </c>
      <c r="B9" s="8" t="inlineStr">
        <is>
          <t>Illustrative IA Confidence (0-100)</t>
        </is>
      </c>
      <c r="C9" s="8" t="inlineStr">
        <is>
          <t>Required CDE Count (weight)</t>
        </is>
      </c>
    </row>
    <row r="10" ht="15" customHeight="1" s="6">
      <c r="A10" s="8" t="inlineStr">
        <is>
          <t>Litigation &amp; Dispute Management</t>
        </is>
      </c>
      <c r="B10" s="8" t="n">
        <v>77</v>
      </c>
      <c r="C10" s="8" t="n">
        <v>6</v>
      </c>
    </row>
    <row r="11" ht="15" customHeight="1" s="6">
      <c r="A11" s="8" t="inlineStr">
        <is>
          <t>Contract Lifecycle Management</t>
        </is>
      </c>
      <c r="B11" s="8" t="n">
        <v>74</v>
      </c>
      <c r="C11" s="8" t="n">
        <v>2</v>
      </c>
    </row>
    <row r="12" ht="15" customHeight="1" s="6">
      <c r="A12" s="8" t="inlineStr">
        <is>
          <t>Intellectual Property Portfolio</t>
        </is>
      </c>
      <c r="B12" s="8" t="n">
        <v>76</v>
      </c>
      <c r="C12" s="8" t="n">
        <v>2</v>
      </c>
    </row>
    <row r="13" ht="15" customHeight="1" s="6">
      <c r="A13" s="8" t="inlineStr">
        <is>
          <t>Legal Entity Structure &amp; Corporate Records</t>
        </is>
      </c>
      <c r="B13" s="8" t="n">
        <v>80</v>
      </c>
      <c r="C13" s="8" t="n">
        <v>3</v>
      </c>
    </row>
    <row r="14" ht="15" customHeight="1" s="6">
      <c r="A14" s="8" t="inlineStr">
        <is>
          <t>Outside Counsel &amp; Legal Spend</t>
        </is>
      </c>
      <c r="B14" s="8" t="n">
        <v>79</v>
      </c>
      <c r="C14" s="8" t="n">
        <v>3</v>
      </c>
    </row>
    <row r="15" ht="15" customHeight="1" s="6">
      <c r="A15" s="8" t="inlineStr">
        <is>
          <t>Regulatory &amp; Legal Risk Identification</t>
        </is>
      </c>
      <c r="B15" s="8" t="n">
        <v>73</v>
      </c>
      <c r="C15" s="8" t="n">
        <v>2</v>
      </c>
    </row>
    <row r="16" ht="15" customHeight="1" s="6">
      <c r="A16" s="8" t="inlineStr">
        <is>
          <t>Privacy &amp; Data Protection Legal Compliance</t>
        </is>
      </c>
      <c r="B16" s="8" t="n">
        <v>75</v>
      </c>
      <c r="C16" s="8" t="n">
        <v>1</v>
      </c>
    </row>
    <row r="17" ht="15" customHeight="1" s="6">
      <c r="A17" s="8" t="inlineStr">
        <is>
          <t>Employment &amp; Labor Legal Matters</t>
        </is>
      </c>
      <c r="B17" s="8" t="n">
        <v>72</v>
      </c>
      <c r="C17" s="8" t="n">
        <v>1</v>
      </c>
    </row>
    <row r="18" ht="15" customHeight="1" s="6">
      <c r="A18" s="8" t="inlineStr">
        <is>
          <t>Real Estate &amp; Property Legal Matters</t>
        </is>
      </c>
      <c r="B18" s="8" t="n">
        <v>71</v>
      </c>
      <c r="C18" s="8" t="n">
        <v>1</v>
      </c>
    </row>
    <row r="19" ht="15" customHeight="1" s="6">
      <c r="A19" s="8" t="inlineStr">
        <is>
          <t>Legal Hold &amp; Document Retention</t>
        </is>
      </c>
      <c r="B19" s="8" t="n">
        <v>81</v>
      </c>
      <c r="C19" s="8" t="n">
        <v>3</v>
      </c>
    </row>
    <row r="20" ht="15" customHeight="1" s="6">
      <c r="A20" s="8" t="n"/>
      <c r="B20" s="8" t="n"/>
      <c r="C20" s="8" t="n"/>
    </row>
    <row r="21" ht="15" customHeight="1" s="6">
      <c r="A21" s="8" t="inlineStr">
        <is>
          <t>DOMAIN CONFIDENCE (weighted avg)</t>
        </is>
      </c>
      <c r="B21" s="8" t="n"/>
      <c r="C21" s="8" t="n"/>
    </row>
    <row r="22" ht="15" customHeight="1" s="6">
      <c r="A22" s="8" t="inlineStr">
        <is>
          <t>Formula</t>
        </is>
      </c>
      <c r="B22" s="8">
        <f>SUMPRODUCT(B10:B19,C10:C19)/SUM(C10:C19)</f>
        <v/>
      </c>
      <c r="C22" s="8" t="n"/>
    </row>
    <row r="23" ht="15" customHeight="1" s="6">
      <c r="A23" s="8" t="inlineStr">
        <is>
          <t>Computed Domain Confidence</t>
        </is>
      </c>
      <c r="B23" s="8">
        <f>ROUND(B22,1)</f>
        <v/>
      </c>
      <c r="C23" s="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E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5" min="1" max="1"/>
    <col width="55" customWidth="1" style="5" min="2" max="2"/>
    <col width="39" customWidth="1" style="5" min="3" max="3"/>
    <col width="55" customWidth="1" style="5" min="4" max="5"/>
  </cols>
  <sheetData>
    <row r="1" ht="15" customHeight="1" s="6">
      <c r="A1" s="7" t="inlineStr">
        <is>
          <t>CDE ID</t>
        </is>
      </c>
      <c r="B1" s="7" t="inlineStr">
        <is>
          <t>CDE Name</t>
        </is>
      </c>
      <c r="C1" s="7" t="inlineStr">
        <is>
          <t>System of Record Category</t>
        </is>
      </c>
      <c r="D1" s="7" t="inlineStr">
        <is>
          <t>Specific System Examples</t>
        </is>
      </c>
      <c r="E1" s="7" t="inlineStr">
        <is>
          <t>Notes</t>
        </is>
      </c>
    </row>
    <row r="2" ht="15" customHeight="1" s="6">
      <c r="A2" s="8" t="inlineStr">
        <is>
          <t>CDE-L001</t>
        </is>
      </c>
      <c r="B2" s="8" t="inlineStr">
        <is>
          <t>Active Litigation Matter Inventory (Case Name/Number)</t>
        </is>
      </c>
      <c r="C2" s="8" t="inlineStr">
        <is>
          <t>Legal Matter Management System</t>
        </is>
      </c>
      <c r="D2" s="8" t="inlineStr">
        <is>
          <t>Litera, Onit, Thomson Reuters Legal Tracker — matter management module</t>
        </is>
      </c>
      <c r="E2" s="8" t="inlineStr">
        <is>
          <t>Default Evidence Source declared: Regulatory Filings</t>
        </is>
      </c>
    </row>
    <row r="3" ht="15" customHeight="1" s="6">
      <c r="A3" s="8" t="inlineStr">
        <is>
          <t>CDE-L002</t>
        </is>
      </c>
      <c r="B3" s="8" t="inlineStr">
        <is>
          <t>Litigation Matter Type (Commercial/IP/Employment/Regulatory/Other)</t>
        </is>
      </c>
      <c r="C3" s="8" t="inlineStr">
        <is>
          <t>Legal Matter Management System</t>
        </is>
      </c>
      <c r="D3" s="8" t="inlineStr">
        <is>
          <t>Litera, Onit, Thomson Reuters Legal Tracker — matter management module</t>
        </is>
      </c>
      <c r="E3" s="8" t="inlineStr">
        <is>
          <t>Default Evidence Source declared: User Validation</t>
        </is>
      </c>
    </row>
    <row r="4" ht="15" customHeight="1" s="6">
      <c r="A4" s="8" t="inlineStr">
        <is>
          <t>CDE-L003</t>
        </is>
      </c>
      <c r="B4" s="8" t="inlineStr">
        <is>
          <t>Litigation Matter Jurisdiction</t>
        </is>
      </c>
      <c r="C4" s="8" t="inlineStr">
        <is>
          <t>Legal Matter Management System</t>
        </is>
      </c>
      <c r="D4" s="8" t="inlineStr">
        <is>
          <t>Litera, Onit, Thomson Reuters Legal Tracker — matter management module</t>
        </is>
      </c>
      <c r="E4" s="8" t="inlineStr">
        <is>
          <t>Default Evidence Source declared: Regulatory Filings</t>
        </is>
      </c>
    </row>
    <row r="5" ht="15" customHeight="1" s="6">
      <c r="A5" s="8" t="inlineStr">
        <is>
          <t>CDE-L004</t>
        </is>
      </c>
      <c r="B5" s="8" t="inlineStr">
        <is>
          <t>Litigation Matter Counterparty Name</t>
        </is>
      </c>
      <c r="C5" s="8" t="inlineStr">
        <is>
          <t>Legal Matter Management System</t>
        </is>
      </c>
      <c r="D5" s="8" t="inlineStr">
        <is>
          <t>Litera, Onit, Thomson Reuters Legal Tracker — matter management module</t>
        </is>
      </c>
      <c r="E5" s="8" t="inlineStr">
        <is>
          <t>Default Evidence Source declared: User Validation</t>
        </is>
      </c>
    </row>
    <row r="6" ht="15" customHeight="1" s="6">
      <c r="A6" s="8" t="inlineStr">
        <is>
          <t>CDE-L005</t>
        </is>
      </c>
      <c r="B6" s="8" t="inlineStr">
        <is>
          <t>Litigation Matter Status (Filed/Discovery/Trial/Appeal/Settled/Dismissed)</t>
        </is>
      </c>
      <c r="C6" s="8" t="inlineStr">
        <is>
          <t>Legal Matter Management System</t>
        </is>
      </c>
      <c r="D6" s="8" t="inlineStr">
        <is>
          <t>Litera, Onit, Thomson Reuters Legal Tracker — matter management module</t>
        </is>
      </c>
      <c r="E6" s="8" t="inlineStr">
        <is>
          <t>Default Evidence Source declared: User Validation</t>
        </is>
      </c>
    </row>
    <row r="7" ht="15" customHeight="1" s="6">
      <c r="A7" s="8" t="inlineStr">
        <is>
          <t>CDE-L006</t>
        </is>
      </c>
      <c r="B7" s="8" t="inlineStr">
        <is>
          <t>Litigation Matter Stage Last Updated Date</t>
        </is>
      </c>
      <c r="C7" s="8" t="inlineStr">
        <is>
          <t>Legal Matter Management System</t>
        </is>
      </c>
      <c r="D7" s="8" t="inlineStr">
        <is>
          <t>Litera, Onit, Thomson Reuters Legal Tracker — matter management module</t>
        </is>
      </c>
      <c r="E7" s="8" t="inlineStr">
        <is>
          <t>Default Evidence Source declared: User Validation</t>
        </is>
      </c>
    </row>
    <row r="8" ht="15" customHeight="1" s="6">
      <c r="A8" s="8" t="inlineStr">
        <is>
          <t>CDE-L007</t>
        </is>
      </c>
      <c r="B8" s="8" t="inlineStr">
        <is>
          <t>Settlement or Judgment Outcome (Current Period, Count)</t>
        </is>
      </c>
      <c r="C8" s="8" t="inlineStr">
        <is>
          <t>Legal Matter Management System</t>
        </is>
      </c>
      <c r="D8" s="8" t="inlineStr">
        <is>
          <t>Litera, Onit, Thomson Reuters Legal Tracker — matter management module</t>
        </is>
      </c>
      <c r="E8" s="8" t="inlineStr">
        <is>
          <t>Default Evidence Source declared: Regulatory Filings</t>
        </is>
      </c>
    </row>
    <row r="9" ht="15" customHeight="1" s="6">
      <c r="A9" s="8" t="inlineStr">
        <is>
          <t>CDE-L008</t>
        </is>
      </c>
      <c r="B9" s="8" t="inlineStr">
        <is>
          <t>Settlement or Judgment Amount</t>
        </is>
      </c>
      <c r="C9" s="8" t="inlineStr">
        <is>
          <t>Legal Matter Management System</t>
        </is>
      </c>
      <c r="D9" s="8" t="inlineStr">
        <is>
          <t>Litera, Onit, Thomson Reuters Legal Tracker — matter management module</t>
        </is>
      </c>
      <c r="E9" s="8" t="inlineStr">
        <is>
          <t>Default Evidence Source declared: Regulatory Filings</t>
        </is>
      </c>
    </row>
    <row r="10" ht="15" customHeight="1" s="6">
      <c r="A10" s="8" t="inlineStr">
        <is>
          <t>CDE-L009</t>
        </is>
      </c>
      <c r="B10" s="8" t="inlineStr">
        <is>
          <t>Alternative Dispute Resolution (Arbitration/Mediation) Process Active</t>
        </is>
      </c>
      <c r="C10" s="8" t="inlineStr">
        <is>
          <t>Legal Matter Management System</t>
        </is>
      </c>
      <c r="D10" s="8" t="inlineStr">
        <is>
          <t>Litera, Onit — ADR/arbitration matter tracking</t>
        </is>
      </c>
      <c r="E10" s="8" t="inlineStr">
        <is>
          <t>Default Evidence Source declared: User Validation</t>
        </is>
      </c>
    </row>
    <row r="11" ht="15" customHeight="1" s="6">
      <c r="A11" s="8" t="inlineStr">
        <is>
          <t>CDE-L010</t>
        </is>
      </c>
      <c r="B11" s="8" t="inlineStr">
        <is>
          <t>ADR Process Type (Arbitration/Mediation) Per Matter</t>
        </is>
      </c>
      <c r="C11" s="8" t="inlineStr">
        <is>
          <t>Legal Matter Management System</t>
        </is>
      </c>
      <c r="D11" s="8" t="inlineStr">
        <is>
          <t>Litera, Onit — ADR matter type field</t>
        </is>
      </c>
      <c r="E11" s="8" t="inlineStr">
        <is>
          <t>Default Evidence Source declared: User Validation</t>
        </is>
      </c>
    </row>
    <row r="12" ht="15" customHeight="1" s="6">
      <c r="A12" s="8" t="inlineStr">
        <is>
          <t>CDE-L011</t>
        </is>
      </c>
      <c r="B12" s="8" t="inlineStr">
        <is>
          <t>Class Action or Multi-Party Litigation Exposure Identified</t>
        </is>
      </c>
      <c r="C12" s="8" t="inlineStr">
        <is>
          <t>Legal Matter Management System</t>
        </is>
      </c>
      <c r="D12" s="8" t="inlineStr">
        <is>
          <t>Litera, Onit, Thomson Reuters Legal Tracker — matter management module</t>
        </is>
      </c>
      <c r="E12" s="8" t="inlineStr">
        <is>
          <t>Default Evidence Source declared: Regulatory Filings</t>
        </is>
      </c>
    </row>
    <row r="13" ht="15" customHeight="1" s="6">
      <c r="A13" s="8" t="inlineStr">
        <is>
          <t>CDE-L012</t>
        </is>
      </c>
      <c r="B13" s="8" t="inlineStr">
        <is>
          <t>Estimated Class Size or Plaintiff Count</t>
        </is>
      </c>
      <c r="C13" s="8" t="inlineStr">
        <is>
          <t>Legal Matter Management System</t>
        </is>
      </c>
      <c r="D13" s="8" t="inlineStr">
        <is>
          <t>Litera, Onit — class action matter detail</t>
        </is>
      </c>
      <c r="E13" s="8" t="inlineStr">
        <is>
          <t>Default Evidence Source declared: User Validation</t>
        </is>
      </c>
    </row>
    <row r="14" ht="15" customHeight="1" s="6">
      <c r="A14" s="8" t="inlineStr">
        <is>
          <t>CDE-L013</t>
        </is>
      </c>
      <c r="B14" s="8" t="inlineStr">
        <is>
          <t>Material Contract Inventory (Counterparty/Type/Value)</t>
        </is>
      </c>
      <c r="C14" s="8" t="inlineStr">
        <is>
          <t>Contract Lifecycle Management System</t>
        </is>
      </c>
      <c r="D14" s="8" t="inlineStr">
        <is>
          <t>Icertis, DocuSign CLM, Ironclad — contract repository and workflow</t>
        </is>
      </c>
      <c r="E14" s="8" t="inlineStr">
        <is>
          <t>Default Evidence Source declared: User Validation</t>
        </is>
      </c>
    </row>
    <row r="15" ht="15" customHeight="1" s="6">
      <c r="A15" s="8" t="inlineStr">
        <is>
          <t>CDE-L014</t>
        </is>
      </c>
      <c r="B15" s="8" t="inlineStr">
        <is>
          <t>Contract Lifecycle Stage (Drafting/Negotiation/Execution/Active/Expired)</t>
        </is>
      </c>
      <c r="C15" s="8" t="inlineStr">
        <is>
          <t>Contract Lifecycle Management System</t>
        </is>
      </c>
      <c r="D15" s="8" t="inlineStr">
        <is>
          <t>Icertis, DocuSign CLM, Ironclad — contract repository and workflow</t>
        </is>
      </c>
      <c r="E15" s="8" t="inlineStr">
        <is>
          <t>Default Evidence Source declared: User Validation</t>
        </is>
      </c>
    </row>
    <row r="16" ht="15" customHeight="1" s="6">
      <c r="A16" s="8" t="inlineStr">
        <is>
          <t>CDE-L015</t>
        </is>
      </c>
      <c r="B16" s="8" t="inlineStr">
        <is>
          <t>Material Contract Total Value</t>
        </is>
      </c>
      <c r="C16" s="8" t="inlineStr">
        <is>
          <t>Contract Lifecycle Management System</t>
        </is>
      </c>
      <c r="D16" s="8" t="inlineStr">
        <is>
          <t>Icertis, DocuSign CLM, Ironclad — contract repository and workflow</t>
        </is>
      </c>
      <c r="E16" s="8" t="inlineStr">
        <is>
          <t>Default Evidence Source declared: User Validation</t>
        </is>
      </c>
    </row>
    <row r="17" ht="15" customHeight="1" s="6">
      <c r="A17" s="8" t="inlineStr">
        <is>
          <t>CDE-L016</t>
        </is>
      </c>
      <c r="B17" s="8" t="inlineStr">
        <is>
          <t>Contract Renewal/Expiration Event Within 12 Months (Count)</t>
        </is>
      </c>
      <c r="C17" s="8" t="inlineStr">
        <is>
          <t>Contract Lifecycle Management System</t>
        </is>
      </c>
      <c r="D17" s="8" t="inlineStr">
        <is>
          <t>Icertis, DocuSign CLM, Ironclad — contract repository and workflow</t>
        </is>
      </c>
      <c r="E17" s="8" t="inlineStr">
        <is>
          <t>Default Evidence Source declared: User Validation</t>
        </is>
      </c>
    </row>
    <row r="18" ht="15" customHeight="1" s="6">
      <c r="A18" s="8" t="inlineStr">
        <is>
          <t>CDE-L017</t>
        </is>
      </c>
      <c r="B18" s="8" t="inlineStr">
        <is>
          <t>Contract Auto-Renewal Clause Present</t>
        </is>
      </c>
      <c r="C18" s="8" t="inlineStr">
        <is>
          <t>Contract Lifecycle Management System</t>
        </is>
      </c>
      <c r="D18" s="8" t="inlineStr">
        <is>
          <t>Icertis, DocuSign CLM, Ironclad — contract repository and workflow</t>
        </is>
      </c>
      <c r="E18" s="8" t="inlineStr">
        <is>
          <t>Default Evidence Source declared: User Validation</t>
        </is>
      </c>
    </row>
    <row r="19" ht="15" customHeight="1" s="6">
      <c r="A19" s="8" t="inlineStr">
        <is>
          <t>CDE-L018</t>
        </is>
      </c>
      <c r="B19" s="8" t="inlineStr">
        <is>
          <t>Contract Breach or Non-Performance Event Identified (Current Period)</t>
        </is>
      </c>
      <c r="C19" s="8" t="inlineStr">
        <is>
          <t>Contract Lifecycle Management System</t>
        </is>
      </c>
      <c r="D19" s="8" t="inlineStr">
        <is>
          <t>Icertis, DocuSign CLM, Ironclad — contract repository and workflow</t>
        </is>
      </c>
      <c r="E19" s="8" t="inlineStr">
        <is>
          <t>Default Evidence Source declared: User Validation</t>
        </is>
      </c>
    </row>
    <row r="20" ht="15" customHeight="1" s="6">
      <c r="A20" s="8" t="inlineStr">
        <is>
          <t>CDE-L019</t>
        </is>
      </c>
      <c r="B20" s="8" t="inlineStr">
        <is>
          <t>Contract Breach Remediation Status</t>
        </is>
      </c>
      <c r="C20" s="8" t="inlineStr">
        <is>
          <t>Contract Lifecycle Management System</t>
        </is>
      </c>
      <c r="D20" s="8" t="inlineStr">
        <is>
          <t>Icertis, DocuSign CLM, Ironclad — contract repository and workflow</t>
        </is>
      </c>
      <c r="E20" s="8" t="inlineStr">
        <is>
          <t>Default Evidence Source declared: User Validation</t>
        </is>
      </c>
    </row>
    <row r="21" ht="15" customHeight="1" s="6">
      <c r="A21" s="8" t="inlineStr">
        <is>
          <t>CDE-L020</t>
        </is>
      </c>
      <c r="B21" s="8" t="inlineStr">
        <is>
          <t>Standard Contract Template Library Exists</t>
        </is>
      </c>
      <c r="C21" s="8" t="inlineStr">
        <is>
          <t>Contract Lifecycle Management System</t>
        </is>
      </c>
      <c r="D21" s="8" t="inlineStr">
        <is>
          <t>Icertis, DocuSign CLM, Ironclad — contract repository and workflow</t>
        </is>
      </c>
      <c r="E21" s="8" t="inlineStr">
        <is>
          <t>Default Evidence Source declared: User Validation</t>
        </is>
      </c>
    </row>
    <row r="22" ht="15" customHeight="1" s="6">
      <c r="A22" s="8" t="inlineStr">
        <is>
          <t>CDE-L021</t>
        </is>
      </c>
      <c r="B22" s="8" t="inlineStr">
        <is>
          <t>Contract Approval Workflow Documented (Threshold-Based)</t>
        </is>
      </c>
      <c r="C22" s="8" t="inlineStr">
        <is>
          <t>Contract Lifecycle Management System</t>
        </is>
      </c>
      <c r="D22" s="8" t="inlineStr">
        <is>
          <t>Icertis, DocuSign CLM, Ironclad — contract repository and workflow</t>
        </is>
      </c>
      <c r="E22" s="8" t="inlineStr">
        <is>
          <t>Default Evidence Source declared: User Validation</t>
        </is>
      </c>
    </row>
    <row r="23" ht="15" customHeight="1" s="6">
      <c r="A23" s="8" t="inlineStr">
        <is>
          <t>CDE-L022</t>
        </is>
      </c>
      <c r="B23" s="8" t="inlineStr">
        <is>
          <t>Contract Containing Elevated-Risk Clause Identified (Unlimited Liability/Exclusivity/Other)</t>
        </is>
      </c>
      <c r="C23" s="8" t="inlineStr">
        <is>
          <t>Contract Lifecycle Management System</t>
        </is>
      </c>
      <c r="D23" s="8" t="inlineStr">
        <is>
          <t>Icertis, DocuSign CLM, Ironclad — contract repository and workflow</t>
        </is>
      </c>
      <c r="E23" s="8" t="inlineStr">
        <is>
          <t>Default Evidence Source declared: User Validation</t>
        </is>
      </c>
    </row>
    <row r="24" ht="15" customHeight="1" s="6">
      <c r="A24" s="8" t="inlineStr">
        <is>
          <t>CDE-L023</t>
        </is>
      </c>
      <c r="B24" s="8" t="inlineStr">
        <is>
          <t>Elevated-Risk Clause Type Per Contract</t>
        </is>
      </c>
      <c r="C24" s="8" t="inlineStr">
        <is>
          <t>Contract Lifecycle Management System</t>
        </is>
      </c>
      <c r="D24" s="8" t="inlineStr">
        <is>
          <t>Icertis, DocuSign CLM, Ironclad — contract repository and workflow</t>
        </is>
      </c>
      <c r="E24" s="8" t="inlineStr">
        <is>
          <t>Default Evidence Source declared: User Validation</t>
        </is>
      </c>
    </row>
    <row r="25" ht="15" customHeight="1" s="6">
      <c r="A25" s="8" t="inlineStr">
        <is>
          <t>CDE-L024</t>
        </is>
      </c>
      <c r="B25" s="8" t="inlineStr">
        <is>
          <t>Patent Portfolio Inventory (Patent Number/Jurisdiction)</t>
        </is>
      </c>
      <c r="C25" s="8" t="inlineStr">
        <is>
          <t>IP Management System</t>
        </is>
      </c>
      <c r="D25" s="8" t="inlineStr">
        <is>
          <t>Anaqua, CPA Global, Clarivate IP — patent/trademark portfolio system</t>
        </is>
      </c>
      <c r="E25" s="8" t="inlineStr">
        <is>
          <t>Default Evidence Source declared: Regulatory Filings</t>
        </is>
      </c>
    </row>
    <row r="26" ht="15" customHeight="1" s="6">
      <c r="A26" s="8" t="inlineStr">
        <is>
          <t>CDE-L025</t>
        </is>
      </c>
      <c r="B26" s="8" t="inlineStr">
        <is>
          <t>Total Active Patent Count</t>
        </is>
      </c>
      <c r="C26" s="8" t="inlineStr">
        <is>
          <t>IP Management System</t>
        </is>
      </c>
      <c r="D26" s="8" t="inlineStr">
        <is>
          <t>Anaqua, CPA Global, Clarivate IP — patent/trademark portfolio system</t>
        </is>
      </c>
      <c r="E26" s="8" t="inlineStr">
        <is>
          <t>Default Evidence Source declared: Regulatory Filings</t>
        </is>
      </c>
    </row>
    <row r="27" ht="15" customHeight="1" s="6">
      <c r="A27" s="8" t="inlineStr">
        <is>
          <t>CDE-L026</t>
        </is>
      </c>
      <c r="B27" s="8" t="inlineStr">
        <is>
          <t>Patent Status (Granted/Pending/Expired/Abandoned)</t>
        </is>
      </c>
      <c r="C27" s="8" t="inlineStr">
        <is>
          <t>IP Management System</t>
        </is>
      </c>
      <c r="D27" s="8" t="inlineStr">
        <is>
          <t>Anaqua, CPA Global, Clarivate IP — patent/trademark portfolio system</t>
        </is>
      </c>
      <c r="E27" s="8" t="inlineStr">
        <is>
          <t>Default Evidence Source declared: Regulatory Filings</t>
        </is>
      </c>
    </row>
    <row r="28" ht="15" customHeight="1" s="6">
      <c r="A28" s="8" t="inlineStr">
        <is>
          <t>CDE-L027</t>
        </is>
      </c>
      <c r="B28" s="8" t="inlineStr">
        <is>
          <t>Trademark Portfolio Inventory (Mark/Jurisdiction/Class)</t>
        </is>
      </c>
      <c r="C28" s="8" t="inlineStr">
        <is>
          <t>IP Management System</t>
        </is>
      </c>
      <c r="D28" s="8" t="inlineStr">
        <is>
          <t>Anaqua, CPA Global, Clarivate IP — patent/trademark portfolio system</t>
        </is>
      </c>
      <c r="E28" s="8" t="inlineStr">
        <is>
          <t>Default Evidence Source declared: Regulatory Filings</t>
        </is>
      </c>
    </row>
    <row r="29" ht="15" customHeight="1" s="6">
      <c r="A29" s="8" t="inlineStr">
        <is>
          <t>CDE-L028</t>
        </is>
      </c>
      <c r="B29" s="8" t="inlineStr">
        <is>
          <t>Total Active Trademark Count</t>
        </is>
      </c>
      <c r="C29" s="8" t="inlineStr">
        <is>
          <t>IP Management System</t>
        </is>
      </c>
      <c r="D29" s="8" t="inlineStr">
        <is>
          <t>Anaqua, CPA Global, Clarivate IP — patent/trademark portfolio system</t>
        </is>
      </c>
      <c r="E29" s="8" t="inlineStr">
        <is>
          <t>Default Evidence Source declared: Regulatory Filings</t>
        </is>
      </c>
    </row>
    <row r="30" ht="15" customHeight="1" s="6">
      <c r="A30" s="8" t="inlineStr">
        <is>
          <t>CDE-L029</t>
        </is>
      </c>
      <c r="B30" s="8" t="inlineStr">
        <is>
          <t>Trade Secret Inventory/Register Exists</t>
        </is>
      </c>
      <c r="C30" s="8" t="inlineStr">
        <is>
          <t>IP Management System</t>
        </is>
      </c>
      <c r="D30" s="8" t="inlineStr">
        <is>
          <t>Anaqua, CPA Global, Clarivate IP — patent/trademark portfolio system</t>
        </is>
      </c>
      <c r="E30" s="8" t="inlineStr">
        <is>
          <t>Default Evidence Source declared: User Validation</t>
        </is>
      </c>
    </row>
    <row r="31" ht="15" customHeight="1" s="6">
      <c r="A31" s="8" t="inlineStr">
        <is>
          <t>CDE-L030</t>
        </is>
      </c>
      <c r="B31" s="8" t="inlineStr">
        <is>
          <t>Copyright Registration Inventory (Where Applicable)</t>
        </is>
      </c>
      <c r="C31" s="8" t="inlineStr">
        <is>
          <t>IP Management System</t>
        </is>
      </c>
      <c r="D31" s="8" t="inlineStr">
        <is>
          <t>Anaqua, CPA Global, Clarivate IP — patent/trademark portfolio system</t>
        </is>
      </c>
      <c r="E31" s="8" t="inlineStr">
        <is>
          <t>Default Evidence Source declared: Regulatory Filings</t>
        </is>
      </c>
    </row>
    <row r="32" ht="15" customHeight="1" s="6">
      <c r="A32" s="8" t="inlineStr">
        <is>
          <t>CDE-L031</t>
        </is>
      </c>
      <c r="B32" s="8" t="inlineStr">
        <is>
          <t>IP Infringement Claim Made or Faced (Current Period, Count)</t>
        </is>
      </c>
      <c r="C32" s="8" t="inlineStr">
        <is>
          <t>IP Management System</t>
        </is>
      </c>
      <c r="D32" s="8" t="inlineStr">
        <is>
          <t>Anaqua, CPA Global, Clarivate IP — patent/trademark portfolio system</t>
        </is>
      </c>
      <c r="E32" s="8" t="inlineStr">
        <is>
          <t>Default Evidence Source declared: Regulatory Filings</t>
        </is>
      </c>
    </row>
    <row r="33" ht="15" customHeight="1" s="6">
      <c r="A33" s="8" t="inlineStr">
        <is>
          <t>CDE-L032</t>
        </is>
      </c>
      <c r="B33" s="8" t="inlineStr">
        <is>
          <t>IP Infringement Claim Direction (Made by Enterprise/Against Enterprise)</t>
        </is>
      </c>
      <c r="C33" s="8" t="inlineStr">
        <is>
          <t>IP Management System</t>
        </is>
      </c>
      <c r="D33" s="8" t="inlineStr">
        <is>
          <t>Anaqua, CPA Global, Clarivate IP — patent/trademark portfolio system</t>
        </is>
      </c>
      <c r="E33" s="8" t="inlineStr">
        <is>
          <t>Default Evidence Source declared: User Validation</t>
        </is>
      </c>
    </row>
    <row r="34" ht="15" customHeight="1" s="6">
      <c r="A34" s="8" t="inlineStr">
        <is>
          <t>CDE-L033</t>
        </is>
      </c>
      <c r="B34" s="8" t="inlineStr">
        <is>
          <t>IP Licensing Agreement Inventory (In-Bound/Out-Bound)</t>
        </is>
      </c>
      <c r="C34" s="8" t="inlineStr">
        <is>
          <t>IP Management System</t>
        </is>
      </c>
      <c r="D34" s="8" t="inlineStr">
        <is>
          <t>Anaqua, CPA Global, Clarivate IP — patent/trademark portfolio system</t>
        </is>
      </c>
      <c r="E34" s="8" t="inlineStr">
        <is>
          <t>Default Evidence Source declared: User Validation</t>
        </is>
      </c>
    </row>
    <row r="35" ht="15" customHeight="1" s="6">
      <c r="A35" s="8" t="inlineStr">
        <is>
          <t>CDE-L034</t>
        </is>
      </c>
      <c r="B35" s="8" t="inlineStr">
        <is>
          <t>IP Licensing Revenue (Out-Bound, Current Period)</t>
        </is>
      </c>
      <c r="C35" s="8" t="inlineStr">
        <is>
          <t>IP Management System</t>
        </is>
      </c>
      <c r="D35" s="8" t="inlineStr">
        <is>
          <t>Anaqua, CPA Global, Clarivate IP — patent/trademark portfolio system</t>
        </is>
      </c>
      <c r="E35" s="8" t="inlineStr">
        <is>
          <t>Default Evidence Source declared: Finance / ERP</t>
        </is>
      </c>
    </row>
    <row r="36" ht="15" customHeight="1" s="6">
      <c r="A36" s="8" t="inlineStr">
        <is>
          <t>CDE-L035</t>
        </is>
      </c>
      <c r="B36" s="8" t="inlineStr">
        <is>
          <t>Legal Entity Count in Group Structure</t>
        </is>
      </c>
      <c r="C36" s="8" t="inlineStr">
        <is>
          <t>Entity Management System</t>
        </is>
      </c>
      <c r="D36" s="8" t="inlineStr">
        <is>
          <t>Diligent Entities, Athennian — corporate records and entity management</t>
        </is>
      </c>
      <c r="E36" s="8" t="inlineStr">
        <is>
          <t>Default Evidence Source declared: Annual Report</t>
        </is>
      </c>
    </row>
    <row r="37" ht="15" customHeight="1" s="6">
      <c r="A37" s="8" t="inlineStr">
        <is>
          <t>CDE-L036</t>
        </is>
      </c>
      <c r="B37" s="8" t="inlineStr">
        <is>
          <t>Group Structure Chart Last Updated Date</t>
        </is>
      </c>
      <c r="C37" s="8" t="inlineStr">
        <is>
          <t>Entity Management System</t>
        </is>
      </c>
      <c r="D37" s="8" t="inlineStr">
        <is>
          <t>Diligent Entities, Athennian — corporate records and entity management</t>
        </is>
      </c>
      <c r="E37" s="8" t="inlineStr">
        <is>
          <t>Default Evidence Source declared: User Validation</t>
        </is>
      </c>
    </row>
    <row r="38" ht="15" customHeight="1" s="6">
      <c r="A38" s="8" t="inlineStr">
        <is>
          <t>CDE-L037</t>
        </is>
      </c>
      <c r="B38" s="8" t="inlineStr">
        <is>
          <t>Statutory Filing Currency Status (Per Entity, Up-to-Date/Lapsed)</t>
        </is>
      </c>
      <c r="C38" s="8" t="inlineStr">
        <is>
          <t>Entity Management System</t>
        </is>
      </c>
      <c r="D38" s="8" t="inlineStr">
        <is>
          <t>Diligent Entities, Athennian — corporate records and entity management</t>
        </is>
      </c>
      <c r="E38" s="8" t="inlineStr">
        <is>
          <t>Default Evidence Source declared: Regulatory Filings</t>
        </is>
      </c>
    </row>
    <row r="39" ht="15" customHeight="1" s="6">
      <c r="A39" s="8" t="inlineStr">
        <is>
          <t>CDE-L038</t>
        </is>
      </c>
      <c r="B39" s="8" t="inlineStr">
        <is>
          <t>Board Resolution Tracking System Exists</t>
        </is>
      </c>
      <c r="C39" s="8" t="inlineStr">
        <is>
          <t>Entity Management System</t>
        </is>
      </c>
      <c r="D39" s="8" t="inlineStr">
        <is>
          <t>Diligent Entities, Athennian — corporate records and entity management</t>
        </is>
      </c>
      <c r="E39" s="8" t="inlineStr">
        <is>
          <t>Default Evidence Source declared: User Validation</t>
        </is>
      </c>
    </row>
    <row r="40" ht="15" customHeight="1" s="6">
      <c r="A40" s="8" t="inlineStr">
        <is>
          <t>CDE-L039</t>
        </is>
      </c>
      <c r="B40" s="8" t="inlineStr">
        <is>
          <t>Legal Entity Rationalization or Restructuring Activity Underway</t>
        </is>
      </c>
      <c r="C40" s="8" t="inlineStr">
        <is>
          <t>Entity Management System</t>
        </is>
      </c>
      <c r="D40" s="8" t="inlineStr">
        <is>
          <t>Diligent Entities, Athennian — corporate records and entity management</t>
        </is>
      </c>
      <c r="E40" s="8" t="inlineStr">
        <is>
          <t>Default Evidence Source declared: User Validation</t>
        </is>
      </c>
    </row>
    <row r="41" ht="15" customHeight="1" s="6">
      <c r="A41" s="8" t="inlineStr">
        <is>
          <t>CDE-L040</t>
        </is>
      </c>
      <c r="B41" s="8" t="inlineStr">
        <is>
          <t>Entities Planned for Dissolution/Merger (Count)</t>
        </is>
      </c>
      <c r="C41" s="8" t="inlineStr">
        <is>
          <t>Entity Management System</t>
        </is>
      </c>
      <c r="D41" s="8" t="inlineStr">
        <is>
          <t>Diligent Entities, Athennian — entity rationalization planning</t>
        </is>
      </c>
      <c r="E41" s="8" t="inlineStr">
        <is>
          <t>Default Evidence Source declared: User Validation</t>
        </is>
      </c>
    </row>
    <row r="42" ht="15" customHeight="1" s="6">
      <c r="A42" s="8" t="inlineStr">
        <is>
          <t>CDE-L041</t>
        </is>
      </c>
      <c r="B42" s="8" t="inlineStr">
        <is>
          <t>License/Permit Compliance Lapse Identified (Current Period, Count)</t>
        </is>
      </c>
      <c r="C42" s="8" t="inlineStr">
        <is>
          <t>Regulatory Filing Portal</t>
        </is>
      </c>
      <c r="D42" s="8" t="inlineStr">
        <is>
          <t>SEC EDGAR/court filing portal</t>
        </is>
      </c>
      <c r="E42" s="8" t="inlineStr">
        <is>
          <t>Default Evidence Source declared: Regulatory Filings</t>
        </is>
      </c>
    </row>
    <row r="43" ht="15" customHeight="1" s="6">
      <c r="A43" s="8" t="inlineStr">
        <is>
          <t>CDE-L042</t>
        </is>
      </c>
      <c r="B43" s="8" t="inlineStr">
        <is>
          <t>License Renewal in Progress (Count)</t>
        </is>
      </c>
      <c r="C43" s="8" t="inlineStr">
        <is>
          <t>Entity Management System</t>
        </is>
      </c>
      <c r="D43" s="8" t="inlineStr">
        <is>
          <t>Diligent Entities, Athennian — license renewal tracking</t>
        </is>
      </c>
      <c r="E43" s="8" t="inlineStr">
        <is>
          <t>Default Evidence Source declared: User Validation</t>
        </is>
      </c>
    </row>
    <row r="44" ht="15" customHeight="1" s="6">
      <c r="A44" s="8" t="inlineStr">
        <is>
          <t>CDE-L043</t>
        </is>
      </c>
      <c r="B44" s="8" t="inlineStr">
        <is>
          <t>Outside Counsel Firm Inventory (Firm Name/Matter Type)</t>
        </is>
      </c>
      <c r="C44" s="8" t="inlineStr">
        <is>
          <t>Legal Spend Management System</t>
        </is>
      </c>
      <c r="D44" s="8" t="inlineStr">
        <is>
          <t>Onit, Brightflag, SimpleLegal — legal spend/e-billing platform</t>
        </is>
      </c>
      <c r="E44" s="8" t="inlineStr">
        <is>
          <t>Default Evidence Source declared: Finance / ERP</t>
        </is>
      </c>
    </row>
    <row r="45" ht="15" customHeight="1" s="6">
      <c r="A45" s="8" t="inlineStr">
        <is>
          <t>CDE-L044</t>
        </is>
      </c>
      <c r="B45" s="8" t="inlineStr">
        <is>
          <t>Primary/Panel Counsel Firm Designated</t>
        </is>
      </c>
      <c r="C45" s="8" t="inlineStr">
        <is>
          <t>Legal Spend Management System</t>
        </is>
      </c>
      <c r="D45" s="8" t="inlineStr">
        <is>
          <t>Onit, Brightflag — panel firm designation</t>
        </is>
      </c>
      <c r="E45" s="8" t="inlineStr">
        <is>
          <t>Default Evidence Source declared: User Validation</t>
        </is>
      </c>
    </row>
    <row r="46" ht="15" customHeight="1" s="6">
      <c r="A46" s="8" t="inlineStr">
        <is>
          <t>CDE-L045</t>
        </is>
      </c>
      <c r="B46" s="8" t="inlineStr">
        <is>
          <t>Total Legal Spend (Current Period)</t>
        </is>
      </c>
      <c r="C46" s="8" t="inlineStr">
        <is>
          <t>Legal Spend Management System</t>
        </is>
      </c>
      <c r="D46" s="8" t="inlineStr">
        <is>
          <t>Onit, Brightflag, SimpleLegal — legal spend/e-billing platform</t>
        </is>
      </c>
      <c r="E46" s="8" t="inlineStr">
        <is>
          <t>Default Evidence Source declared: Finance / ERP</t>
        </is>
      </c>
    </row>
    <row r="47" ht="15" customHeight="1" s="6">
      <c r="A47" s="8" t="inlineStr">
        <is>
          <t>CDE-L046</t>
        </is>
      </c>
      <c r="B47" s="8" t="inlineStr">
        <is>
          <t>Legal Spend Prior Period (For Trend)</t>
        </is>
      </c>
      <c r="C47" s="8" t="inlineStr">
        <is>
          <t>Legal Spend Management System</t>
        </is>
      </c>
      <c r="D47" s="8" t="inlineStr">
        <is>
          <t>Onit, Brightflag, SimpleLegal — legal spend/e-billing platform</t>
        </is>
      </c>
      <c r="E47" s="8" t="inlineStr">
        <is>
          <t>Default Evidence Source declared: Finance / ERP</t>
        </is>
      </c>
    </row>
    <row r="48" ht="15" customHeight="1" s="6">
      <c r="A48" s="8" t="inlineStr">
        <is>
          <t>CDE-L047</t>
        </is>
      </c>
      <c r="B48" s="8" t="inlineStr">
        <is>
          <t>Legal Spend as % of Revenue</t>
        </is>
      </c>
      <c r="C48" s="8" t="inlineStr">
        <is>
          <t>Legal Spend Management System</t>
        </is>
      </c>
      <c r="D48" s="8" t="inlineStr">
        <is>
          <t>Onit, Brightflag, SimpleLegal — legal spend/e-billing platform</t>
        </is>
      </c>
      <c r="E48" s="8" t="inlineStr">
        <is>
          <t>Default Evidence Source declared: Finance / ERP</t>
        </is>
      </c>
    </row>
    <row r="49" ht="15" customHeight="1" s="6">
      <c r="A49" s="8" t="inlineStr">
        <is>
          <t>CDE-L048</t>
        </is>
      </c>
      <c r="B49" s="8" t="inlineStr">
        <is>
          <t>Fee Arrangement Structure Used (Hourly/Fixed/Contingency/Hybrid)</t>
        </is>
      </c>
      <c r="C49" s="8" t="inlineStr">
        <is>
          <t>Legal Spend Management System</t>
        </is>
      </c>
      <c r="D49" s="8" t="inlineStr">
        <is>
          <t>Onit, Brightflag, SimpleLegal — legal spend/e-billing platform</t>
        </is>
      </c>
      <c r="E49" s="8" t="inlineStr">
        <is>
          <t>Default Evidence Source declared: Finance / ERP</t>
        </is>
      </c>
    </row>
    <row r="50" ht="15" customHeight="1" s="6">
      <c r="A50" s="8" t="inlineStr">
        <is>
          <t>CDE-L049</t>
        </is>
      </c>
      <c r="B50" s="8" t="inlineStr">
        <is>
          <t>In-House Legal Function Headcount</t>
        </is>
      </c>
      <c r="C50" s="8" t="inlineStr">
        <is>
          <t>HRMS</t>
        </is>
      </c>
      <c r="D50" s="8" t="inlineStr">
        <is>
          <t>Workday, SAP SuccessFactors</t>
        </is>
      </c>
      <c r="E50" s="8" t="inlineStr">
        <is>
          <t>Default Evidence Source declared: HRMS</t>
        </is>
      </c>
    </row>
    <row r="51" ht="15" customHeight="1" s="6">
      <c r="A51" s="8" t="inlineStr">
        <is>
          <t>CDE-L050</t>
        </is>
      </c>
      <c r="B51" s="8" t="inlineStr">
        <is>
          <t>General Counsel Role Exists and Reports to (CEO/Board)</t>
        </is>
      </c>
      <c r="C51" s="8" t="inlineStr">
        <is>
          <t>Annual Report / Public Filing</t>
        </is>
      </c>
      <c r="D51" s="8" t="inlineStr">
        <is>
          <t>Annual Report legal disclosure section</t>
        </is>
      </c>
      <c r="E51" s="8" t="inlineStr">
        <is>
          <t>Default Evidence Source declared: Annual Report</t>
        </is>
      </c>
    </row>
    <row r="52" ht="15" customHeight="1" s="6">
      <c r="A52" s="8" t="inlineStr">
        <is>
          <t>CDE-L051</t>
        </is>
      </c>
      <c r="B52" s="8" t="inlineStr">
        <is>
          <t>Emerging Legal Risk Identified by Legal Function (Pre-Matter, Count)</t>
        </is>
      </c>
      <c r="C52" s="8" t="inlineStr">
        <is>
          <t>Legal Matter Management System</t>
        </is>
      </c>
      <c r="D52" s="8" t="inlineStr">
        <is>
          <t>Litera, Onit — emerging risk register module</t>
        </is>
      </c>
      <c r="E52" s="8" t="inlineStr">
        <is>
          <t>Default Evidence Source declared: User Validation</t>
        </is>
      </c>
    </row>
    <row r="53" ht="15" customHeight="1" s="6">
      <c r="A53" s="8" t="inlineStr">
        <is>
          <t>CDE-L052</t>
        </is>
      </c>
      <c r="B53" s="8" t="inlineStr">
        <is>
          <t>Emerging Legal Risk Category Description</t>
        </is>
      </c>
      <c r="C53" s="8" t="inlineStr">
        <is>
          <t>Legal Matter Management System</t>
        </is>
      </c>
      <c r="D53" s="8" t="inlineStr">
        <is>
          <t>Litera, Onit — emerging risk register module</t>
        </is>
      </c>
      <c r="E53" s="8" t="inlineStr">
        <is>
          <t>Default Evidence Source declared: User Validation</t>
        </is>
      </c>
    </row>
    <row r="54" ht="15" customHeight="1" s="6">
      <c r="A54" s="8" t="inlineStr">
        <is>
          <t>CDE-L053</t>
        </is>
      </c>
      <c r="B54" s="8" t="inlineStr">
        <is>
          <t>Legal Risk Escalation Process to Senior Management/Board Documented</t>
        </is>
      </c>
      <c r="C54" s="8" t="inlineStr">
        <is>
          <t>Governance / Board Management System</t>
        </is>
      </c>
      <c r="D54" s="8" t="inlineStr">
        <is>
          <t>Diligent — legal risk escalation reporting</t>
        </is>
      </c>
      <c r="E54" s="8" t="inlineStr">
        <is>
          <t>Default Evidence Source declared: User Validation</t>
        </is>
      </c>
    </row>
    <row r="55" ht="15" customHeight="1" s="6">
      <c r="A55" s="8" t="inlineStr">
        <is>
          <t>CDE-L054</t>
        </is>
      </c>
      <c r="B55" s="8" t="inlineStr">
        <is>
          <t>Legal Risk Escalation Threshold Defined</t>
        </is>
      </c>
      <c r="C55" s="8" t="inlineStr">
        <is>
          <t>Governance / Board Management System</t>
        </is>
      </c>
      <c r="D55" s="8" t="inlineStr">
        <is>
          <t>Diligent — legal risk escalation threshold policy</t>
        </is>
      </c>
      <c r="E55" s="8" t="inlineStr">
        <is>
          <t>Default Evidence Source declared: User Validation</t>
        </is>
      </c>
    </row>
    <row r="56" ht="15" customHeight="1" s="6">
      <c r="A56" s="8" t="inlineStr">
        <is>
          <t>CDE-L055</t>
        </is>
      </c>
      <c r="B56" s="8" t="inlineStr">
        <is>
          <t>External Legal Opinion Sought on Material Matter (Current Period, Count)</t>
        </is>
      </c>
      <c r="C56" s="8" t="inlineStr">
        <is>
          <t>Legal Spend Management System</t>
        </is>
      </c>
      <c r="D56" s="8" t="inlineStr">
        <is>
          <t>Onit, Brightflag — outside counsel opinion tracking</t>
        </is>
      </c>
      <c r="E56" s="8" t="inlineStr">
        <is>
          <t>Default Evidence Source declared: User Validation</t>
        </is>
      </c>
    </row>
    <row r="57" ht="15" customHeight="1" s="6">
      <c r="A57" s="8" t="inlineStr">
        <is>
          <t>CDE-L056</t>
        </is>
      </c>
      <c r="B57" s="8" t="inlineStr">
        <is>
          <t>Legal Opinion Outcome Documented (Favorable/Unfavorable/Mixed)</t>
        </is>
      </c>
      <c r="C57" s="8" t="inlineStr">
        <is>
          <t>Legal Matter Management System</t>
        </is>
      </c>
      <c r="D57" s="8" t="inlineStr">
        <is>
          <t>Litera, Onit — legal opinion outcome tracking</t>
        </is>
      </c>
      <c r="E57" s="8" t="inlineStr">
        <is>
          <t>Default Evidence Source declared: User Validation</t>
        </is>
      </c>
    </row>
    <row r="58" ht="15" customHeight="1" s="6">
      <c r="A58" s="8" t="inlineStr">
        <is>
          <t>CDE-L057</t>
        </is>
      </c>
      <c r="B58" s="8" t="inlineStr">
        <is>
          <t>Litigation or Regulatory Enforcement Arising from Privacy Matter (Current Period, Count)</t>
        </is>
      </c>
      <c r="C58" s="8" t="inlineStr">
        <is>
          <t>Legal Matter Management System</t>
        </is>
      </c>
      <c r="D58" s="8" t="inlineStr">
        <is>
          <t>Litera, Onit, Thomson Reuters Legal Tracker — matter management module</t>
        </is>
      </c>
      <c r="E58" s="8" t="inlineStr">
        <is>
          <t>Default Evidence Source declared: Regulatory Filings</t>
        </is>
      </c>
    </row>
    <row r="59" ht="15" customHeight="1" s="6">
      <c r="A59" s="8" t="inlineStr">
        <is>
          <t>CDE-L058</t>
        </is>
      </c>
      <c r="B59" s="8" t="inlineStr">
        <is>
          <t>Privacy-Related Litigation/Enforcement Financial Exposure</t>
        </is>
      </c>
      <c r="C59" s="8" t="inlineStr">
        <is>
          <t>Legal Matter Management System</t>
        </is>
      </c>
      <c r="D59" s="8" t="inlineStr">
        <is>
          <t>Litera, Onit, Thomson Reuters Legal Tracker — matter management module</t>
        </is>
      </c>
      <c r="E59" s="8" t="inlineStr">
        <is>
          <t>Default Evidence Source declared: Regulatory Filings</t>
        </is>
      </c>
    </row>
    <row r="60" ht="15" customHeight="1" s="6">
      <c r="A60" s="8" t="inlineStr">
        <is>
          <t>CDE-L059</t>
        </is>
      </c>
      <c r="B60" s="8" t="inlineStr">
        <is>
          <t>Privacy Litigation Matter Status</t>
        </is>
      </c>
      <c r="C60" s="8" t="inlineStr">
        <is>
          <t>Legal Matter Management System</t>
        </is>
      </c>
      <c r="D60" s="8" t="inlineStr">
        <is>
          <t>Litera, Onit, Thomson Reuters Legal Tracker — matter management module</t>
        </is>
      </c>
      <c r="E60" s="8" t="inlineStr">
        <is>
          <t>Default Evidence Source declared: User Validation</t>
        </is>
      </c>
    </row>
    <row r="61" ht="15" customHeight="1" s="6">
      <c r="A61" s="8" t="inlineStr">
        <is>
          <t>CDE-L060</t>
        </is>
      </c>
      <c r="B61" s="8" t="inlineStr">
        <is>
          <t>Outside Counsel Dedicated to Privacy/Data Protection Matters Engaged</t>
        </is>
      </c>
      <c r="C61" s="8" t="inlineStr">
        <is>
          <t>Legal Spend Management System</t>
        </is>
      </c>
      <c r="D61" s="8" t="inlineStr">
        <is>
          <t>Onit, Brightflag, SimpleLegal — legal spend/e-billing platform</t>
        </is>
      </c>
      <c r="E61" s="8" t="inlineStr">
        <is>
          <t>Default Evidence Source declared: User Validation</t>
        </is>
      </c>
    </row>
    <row r="62" ht="15" customHeight="1" s="6">
      <c r="A62" s="8" t="inlineStr">
        <is>
          <t>CDE-L061</t>
        </is>
      </c>
      <c r="B62" s="8" t="inlineStr">
        <is>
          <t>Privacy-Specific Outside Counsel Spend (Current Period)</t>
        </is>
      </c>
      <c r="C62" s="8" t="inlineStr">
        <is>
          <t>Legal Spend Management System</t>
        </is>
      </c>
      <c r="D62" s="8" t="inlineStr">
        <is>
          <t>Onit, Brightflag, SimpleLegal — legal spend/e-billing platform</t>
        </is>
      </c>
      <c r="E62" s="8" t="inlineStr">
        <is>
          <t>Default Evidence Source declared: Finance / ERP</t>
        </is>
      </c>
    </row>
    <row r="63" ht="15" customHeight="1" s="6">
      <c r="A63" s="8" t="inlineStr">
        <is>
          <t>CDE-L062</t>
        </is>
      </c>
      <c r="B63" s="8" t="inlineStr">
        <is>
          <t>Privacy Outside Counsel Firm Name</t>
        </is>
      </c>
      <c r="C63" s="8" t="inlineStr">
        <is>
          <t>Legal Spend Management System</t>
        </is>
      </c>
      <c r="D63" s="8" t="inlineStr">
        <is>
          <t>Onit, Brightflag, SimpleLegal — legal spend/e-billing platform</t>
        </is>
      </c>
      <c r="E63" s="8" t="inlineStr">
        <is>
          <t>Default Evidence Source declared: User Validation</t>
        </is>
      </c>
    </row>
    <row r="64" ht="15" customHeight="1" s="6">
      <c r="A64" s="8" t="inlineStr">
        <is>
          <t>CDE-L063</t>
        </is>
      </c>
      <c r="B64" s="8" t="inlineStr">
        <is>
          <t>Employment Litigation or Tribunal Claim (Current Period, Count)</t>
        </is>
      </c>
      <c r="C64" s="8" t="inlineStr">
        <is>
          <t>Legal Matter Management System</t>
        </is>
      </c>
      <c r="D64" s="8" t="inlineStr">
        <is>
          <t>Litera, Onit, Thomson Reuters Legal Tracker — matter management module</t>
        </is>
      </c>
      <c r="E64" s="8" t="inlineStr">
        <is>
          <t>Default Evidence Source declared: Regulatory Filings</t>
        </is>
      </c>
    </row>
    <row r="65" ht="15" customHeight="1" s="6">
      <c r="A65" s="8" t="inlineStr">
        <is>
          <t>CDE-L064</t>
        </is>
      </c>
      <c r="B65" s="8" t="inlineStr">
        <is>
          <t>Employment Claim Type (Discrimination/Wrongful Termination/Wage-Hour/Other)</t>
        </is>
      </c>
      <c r="C65" s="8" t="inlineStr">
        <is>
          <t>Legal Matter Management System</t>
        </is>
      </c>
      <c r="D65" s="8" t="inlineStr">
        <is>
          <t>Litera, Onit, Thomson Reuters Legal Tracker — matter management module</t>
        </is>
      </c>
      <c r="E65" s="8" t="inlineStr">
        <is>
          <t>Default Evidence Source declared: User Validation</t>
        </is>
      </c>
    </row>
    <row r="66" ht="15" customHeight="1" s="6">
      <c r="A66" s="8" t="inlineStr">
        <is>
          <t>CDE-L065</t>
        </is>
      </c>
      <c r="B66" s="8" t="inlineStr">
        <is>
          <t>Collective Bargaining or Labor Union Legal Dispute Active</t>
        </is>
      </c>
      <c r="C66" s="8" t="inlineStr">
        <is>
          <t>Legal Matter Management System</t>
        </is>
      </c>
      <c r="D66" s="8" t="inlineStr">
        <is>
          <t>Litera, Onit — labor dispute matter tracking</t>
        </is>
      </c>
      <c r="E66" s="8" t="inlineStr">
        <is>
          <t>Default Evidence Source declared: User Validation</t>
        </is>
      </c>
    </row>
    <row r="67" ht="15" customHeight="1" s="6">
      <c r="A67" s="8" t="inlineStr">
        <is>
          <t>CDE-L066</t>
        </is>
      </c>
      <c r="B67" s="8" t="inlineStr">
        <is>
          <t>Labor Dispute Resolution Status</t>
        </is>
      </c>
      <c r="C67" s="8" t="inlineStr">
        <is>
          <t>Legal Matter Management System</t>
        </is>
      </c>
      <c r="D67" s="8" t="inlineStr">
        <is>
          <t>Litera, Onit, Thomson Reuters Legal Tracker — matter management module</t>
        </is>
      </c>
      <c r="E67" s="8" t="inlineStr">
        <is>
          <t>Default Evidence Source declared: User Validation</t>
        </is>
      </c>
    </row>
    <row r="68" ht="15" customHeight="1" s="6">
      <c r="A68" s="8" t="inlineStr">
        <is>
          <t>CDE-L067</t>
        </is>
      </c>
      <c r="B68" s="8" t="inlineStr">
        <is>
          <t>Employment Contract or Restrictive Covenant Dispute (Current Period, Count)</t>
        </is>
      </c>
      <c r="C68" s="8" t="inlineStr">
        <is>
          <t>Contract Lifecycle Management System</t>
        </is>
      </c>
      <c r="D68" s="8" t="inlineStr">
        <is>
          <t>Icertis, DocuSign CLM, Ironclad — contract repository and workflow</t>
        </is>
      </c>
      <c r="E68" s="8" t="inlineStr">
        <is>
          <t>Default Evidence Source declared: User Validation</t>
        </is>
      </c>
    </row>
    <row r="69" ht="15" customHeight="1" s="6">
      <c r="A69" s="8" t="inlineStr">
        <is>
          <t>CDE-L068</t>
        </is>
      </c>
      <c r="B69" s="8" t="inlineStr">
        <is>
          <t>Restrictive Covenant Dispute Outcome</t>
        </is>
      </c>
      <c r="C69" s="8" t="inlineStr">
        <is>
          <t>Legal Matter Management System</t>
        </is>
      </c>
      <c r="D69" s="8" t="inlineStr">
        <is>
          <t>Litera, Onit — restrictive covenant matter tracking</t>
        </is>
      </c>
      <c r="E69" s="8" t="inlineStr">
        <is>
          <t>Default Evidence Source declared: User Validation</t>
        </is>
      </c>
    </row>
    <row r="70" ht="15" customHeight="1" s="6">
      <c r="A70" s="8" t="inlineStr">
        <is>
          <t>CDE-L069</t>
        </is>
      </c>
      <c r="B70" s="8" t="inlineStr">
        <is>
          <t>Material Real Estate Lease or Ownership Inventory</t>
        </is>
      </c>
      <c r="C70" s="8" t="inlineStr">
        <is>
          <t>Lease/Real Estate Management System</t>
        </is>
      </c>
      <c r="D70" s="8" t="inlineStr">
        <is>
          <t>CoStar, MRI Software, Lease Accelerator — real estate portfolio system</t>
        </is>
      </c>
      <c r="E70" s="8" t="inlineStr">
        <is>
          <t>Default Evidence Source declared: User Validation</t>
        </is>
      </c>
    </row>
    <row r="71" ht="15" customHeight="1" s="6">
      <c r="A71" s="8" t="inlineStr">
        <is>
          <t>CDE-L070</t>
        </is>
      </c>
      <c r="B71" s="8" t="inlineStr">
        <is>
          <t>Real Estate Lease Term Remaining (Years)</t>
        </is>
      </c>
      <c r="C71" s="8" t="inlineStr">
        <is>
          <t>Lease/Real Estate Management System</t>
        </is>
      </c>
      <c r="D71" s="8" t="inlineStr">
        <is>
          <t>CoStar, MRI Software, Lease Accelerator — real estate portfolio system</t>
        </is>
      </c>
      <c r="E71" s="8" t="inlineStr">
        <is>
          <t>Default Evidence Source declared: User Validation</t>
        </is>
      </c>
    </row>
    <row r="72" ht="15" customHeight="1" s="6">
      <c r="A72" s="8" t="inlineStr">
        <is>
          <t>CDE-L071</t>
        </is>
      </c>
      <c r="B72" s="8" t="inlineStr">
        <is>
          <t>Real Estate Legal Dispute or Title Issue Identified (Current Period, Count)</t>
        </is>
      </c>
      <c r="C72" s="8" t="inlineStr">
        <is>
          <t>Lease/Real Estate Management System</t>
        </is>
      </c>
      <c r="D72" s="8" t="inlineStr">
        <is>
          <t>CoStar, MRI Software, Lease Accelerator — real estate portfolio system</t>
        </is>
      </c>
      <c r="E72" s="8" t="inlineStr">
        <is>
          <t>Default Evidence Source declared: User Validation</t>
        </is>
      </c>
    </row>
    <row r="73" ht="15" customHeight="1" s="6">
      <c r="A73" s="8" t="inlineStr">
        <is>
          <t>CDE-L072</t>
        </is>
      </c>
      <c r="B73" s="8" t="inlineStr">
        <is>
          <t>Real Estate Dispute Type (Title/Boundary/Tenancy/Other)</t>
        </is>
      </c>
      <c r="C73" s="8" t="inlineStr">
        <is>
          <t>Lease/Real Estate Management System</t>
        </is>
      </c>
      <c r="D73" s="8" t="inlineStr">
        <is>
          <t>CoStar, MRI Software, Lease Accelerator — real estate portfolio system</t>
        </is>
      </c>
      <c r="E73" s="8" t="inlineStr">
        <is>
          <t>Default Evidence Source declared: User Validation</t>
        </is>
      </c>
    </row>
    <row r="74" ht="15" customHeight="1" s="6">
      <c r="A74" s="8" t="inlineStr">
        <is>
          <t>CDE-L073</t>
        </is>
      </c>
      <c r="B74" s="8" t="inlineStr">
        <is>
          <t>Environmental or Zoning Legal Compliance Issue Identified (Current Period, Count)</t>
        </is>
      </c>
      <c r="C74" s="8" t="inlineStr">
        <is>
          <t>Lease/Real Estate Management System</t>
        </is>
      </c>
      <c r="D74" s="8" t="inlineStr">
        <is>
          <t>CoStar, MRI Software, Lease Accelerator — real estate portfolio system</t>
        </is>
      </c>
      <c r="E74" s="8" t="inlineStr">
        <is>
          <t>Default Evidence Source declared: User Validation</t>
        </is>
      </c>
    </row>
    <row r="75" ht="15" customHeight="1" s="6">
      <c r="A75" s="8" t="inlineStr">
        <is>
          <t>CDE-L074</t>
        </is>
      </c>
      <c r="B75" s="8" t="inlineStr">
        <is>
          <t>Zoning Variance or Environmental Permit Status</t>
        </is>
      </c>
      <c r="C75" s="8" t="inlineStr">
        <is>
          <t>Lease/Real Estate Management System</t>
        </is>
      </c>
      <c r="D75" s="8" t="inlineStr">
        <is>
          <t>CoStar, MRI Software, Lease Accelerator — real estate portfolio system</t>
        </is>
      </c>
      <c r="E75" s="8" t="inlineStr">
        <is>
          <t>Default Evidence Source declared: Regulatory Filings</t>
        </is>
      </c>
    </row>
    <row r="76" ht="15" customHeight="1" s="6">
      <c r="A76" s="8" t="inlineStr">
        <is>
          <t>CDE-L075</t>
        </is>
      </c>
      <c r="B76" s="8" t="inlineStr">
        <is>
          <t>Active Legal Hold Count</t>
        </is>
      </c>
      <c r="C76" s="8" t="inlineStr">
        <is>
          <t>Legal Hold/eDiscovery System</t>
        </is>
      </c>
      <c r="D76" s="8" t="inlineStr">
        <is>
          <t>Relativity, Exterro, Logikcull — legal hold and eDiscovery platform</t>
        </is>
      </c>
      <c r="E76" s="8" t="inlineStr">
        <is>
          <t>Default Evidence Source declared: User Validation</t>
        </is>
      </c>
    </row>
    <row r="77" ht="15" customHeight="1" s="6">
      <c r="A77" s="8" t="inlineStr">
        <is>
          <t>CDE-L076</t>
        </is>
      </c>
      <c r="B77" s="8" t="inlineStr">
        <is>
          <t>Legal Hold Trigger Event (Litigation/Investigation/Regulatory Inquiry)</t>
        </is>
      </c>
      <c r="C77" s="8" t="inlineStr">
        <is>
          <t>Legal Matter Management System</t>
        </is>
      </c>
      <c r="D77" s="8" t="inlineStr">
        <is>
          <t>Litera, Onit, Thomson Reuters Legal Tracker — matter management module</t>
        </is>
      </c>
      <c r="E77" s="8" t="inlineStr">
        <is>
          <t>Default Evidence Source declared: User Validation</t>
        </is>
      </c>
    </row>
    <row r="78" ht="15" customHeight="1" s="6">
      <c r="A78" s="8" t="inlineStr">
        <is>
          <t>CDE-L077</t>
        </is>
      </c>
      <c r="B78" s="8" t="inlineStr">
        <is>
          <t>Document Retention Schedule Documented (Distinct from Policy Existence)</t>
        </is>
      </c>
      <c r="C78" s="8" t="inlineStr">
        <is>
          <t>Legal Hold/eDiscovery System</t>
        </is>
      </c>
      <c r="D78" s="8" t="inlineStr">
        <is>
          <t>Relativity, Exterro, Logikcull — legal hold and eDiscovery platform</t>
        </is>
      </c>
      <c r="E78" s="8" t="inlineStr">
        <is>
          <t>Default Evidence Source declared: User Validation</t>
        </is>
      </c>
    </row>
    <row r="79" ht="15" customHeight="1" s="6">
      <c r="A79" s="8" t="inlineStr">
        <is>
          <t>CDE-L078</t>
        </is>
      </c>
      <c r="B79" s="8" t="inlineStr">
        <is>
          <t>Document Retention Period by Record Type</t>
        </is>
      </c>
      <c r="C79" s="8" t="inlineStr">
        <is>
          <t>Legal Hold/eDiscovery System</t>
        </is>
      </c>
      <c r="D79" s="8" t="inlineStr">
        <is>
          <t>Relativity, Exterro, Logikcull — legal hold and eDiscovery platform</t>
        </is>
      </c>
      <c r="E79" s="8" t="inlineStr">
        <is>
          <t>Default Evidence Source declared: User Validation</t>
        </is>
      </c>
    </row>
    <row r="80" ht="15" customHeight="1" s="6">
      <c r="A80" s="8" t="inlineStr">
        <is>
          <t>CDE-L079</t>
        </is>
      </c>
      <c r="B80" s="8" t="inlineStr">
        <is>
          <t>Legal Hold Compliance Monitoring Process Documented</t>
        </is>
      </c>
      <c r="C80" s="8" t="inlineStr">
        <is>
          <t>Legal Hold/eDiscovery System</t>
        </is>
      </c>
      <c r="D80" s="8" t="inlineStr">
        <is>
          <t>Relativity, Exterro, Logikcull — legal hold and eDiscovery platform</t>
        </is>
      </c>
      <c r="E80" s="8" t="inlineStr">
        <is>
          <t>Default Evidence Source declared: User Validation</t>
        </is>
      </c>
    </row>
    <row r="81" ht="15" customHeight="1" s="6">
      <c r="A81" s="8" t="inlineStr">
        <is>
          <t>CDE-L080</t>
        </is>
      </c>
      <c r="B81" s="8" t="inlineStr">
        <is>
          <t>Legal Hold Compliance Audit Conducted (Current Period)</t>
        </is>
      </c>
      <c r="C81" s="8" t="inlineStr">
        <is>
          <t>Legal Hold/eDiscovery System</t>
        </is>
      </c>
      <c r="D81" s="8" t="inlineStr">
        <is>
          <t>Relativity, Exterro, Logikcull — legal hold and eDiscovery platform</t>
        </is>
      </c>
      <c r="E81" s="8" t="inlineStr">
        <is>
          <t>Default Evidence Source declared: User Validation</t>
        </is>
      </c>
    </row>
    <row r="82" ht="15" customHeight="1" s="6">
      <c r="A82" s="8" t="inlineStr">
        <is>
          <t>CDE-L081</t>
        </is>
      </c>
      <c r="B82" s="8" t="inlineStr">
        <is>
          <t>Litigation Matter Estimated Resolution Date</t>
        </is>
      </c>
      <c r="C82" s="8" t="inlineStr">
        <is>
          <t>Legal Matter Management System</t>
        </is>
      </c>
      <c r="D82" s="8" t="inlineStr">
        <is>
          <t>Litera, Onit, Thomson Reuters Legal Tracker — matter management module</t>
        </is>
      </c>
      <c r="E82" s="8" t="inlineStr">
        <is>
          <t>Default Evidence Source declared: User Validation</t>
        </is>
      </c>
    </row>
    <row r="83" ht="15" customHeight="1" s="6">
      <c r="A83" s="8" t="inlineStr">
        <is>
          <t>CDE-L082</t>
        </is>
      </c>
      <c r="B83" s="8" t="inlineStr">
        <is>
          <t>Settlement/Judgment Outcome Type (Favorable/Unfavorable/Mutual)</t>
        </is>
      </c>
      <c r="C83" s="8" t="inlineStr">
        <is>
          <t>Legal Matter Management System</t>
        </is>
      </c>
      <c r="D83" s="8" t="inlineStr">
        <is>
          <t>Litera, Onit, Thomson Reuters Legal Tracker — matter management module</t>
        </is>
      </c>
      <c r="E83" s="8" t="inlineStr">
        <is>
          <t>Default Evidence Source declared: User Validation</t>
        </is>
      </c>
    </row>
    <row r="84" ht="15" customHeight="1" s="6">
      <c r="A84" s="8" t="inlineStr">
        <is>
          <t>CDE-L083</t>
        </is>
      </c>
      <c r="B84" s="8" t="inlineStr">
        <is>
          <t>ADR Process Outcome (Resolved/Ongoing/Escalated to Litigation)</t>
        </is>
      </c>
      <c r="C84" s="8" t="inlineStr">
        <is>
          <t>Legal Matter Management System</t>
        </is>
      </c>
      <c r="D84" s="8" t="inlineStr">
        <is>
          <t>Litera, Onit, Thomson Reuters Legal Tracker — matter management module</t>
        </is>
      </c>
      <c r="E84" s="8" t="inlineStr">
        <is>
          <t>Default Evidence Source declared: User Validation</t>
        </is>
      </c>
    </row>
    <row r="85" ht="15" customHeight="1" s="6">
      <c r="A85" s="8" t="inlineStr">
        <is>
          <t>CDE-L084</t>
        </is>
      </c>
      <c r="B85" s="8" t="inlineStr">
        <is>
          <t>Class Action Lead Plaintiff Counsel Firm</t>
        </is>
      </c>
      <c r="C85" s="8" t="inlineStr">
        <is>
          <t>Legal Matter Management System</t>
        </is>
      </c>
      <c r="D85" s="8" t="inlineStr">
        <is>
          <t>Litera, Onit, Thomson Reuters Legal Tracker — matter management module</t>
        </is>
      </c>
      <c r="E85" s="8" t="inlineStr">
        <is>
          <t>Default Evidence Source declared: User Validation</t>
        </is>
      </c>
    </row>
    <row r="86" ht="15" customHeight="1" s="6">
      <c r="A86" s="8" t="inlineStr">
        <is>
          <t>CDE-L085</t>
        </is>
      </c>
      <c r="B86" s="8" t="inlineStr">
        <is>
          <t>Contract Owner/Responsible Business Unit</t>
        </is>
      </c>
      <c r="C86" s="8" t="inlineStr">
        <is>
          <t>Contract Lifecycle Management System</t>
        </is>
      </c>
      <c r="D86" s="8" t="inlineStr">
        <is>
          <t>Icertis, DocuSign CLM, Ironclad — contract repository and workflow</t>
        </is>
      </c>
      <c r="E86" s="8" t="inlineStr">
        <is>
          <t>Default Evidence Source declared: User Validation</t>
        </is>
      </c>
    </row>
    <row r="87" ht="15" customHeight="1" s="6">
      <c r="A87" s="8" t="inlineStr">
        <is>
          <t>CDE-L086</t>
        </is>
      </c>
      <c r="B87" s="8" t="inlineStr">
        <is>
          <t>Contract Breach Notice Issued Date</t>
        </is>
      </c>
      <c r="C87" s="8" t="inlineStr">
        <is>
          <t>Contract Lifecycle Management System</t>
        </is>
      </c>
      <c r="D87" s="8" t="inlineStr">
        <is>
          <t>Icertis, DocuSign CLM, Ironclad — contract repository and workflow</t>
        </is>
      </c>
      <c r="E87" s="8" t="inlineStr">
        <is>
          <t>Default Evidence Source declared: User Validation</t>
        </is>
      </c>
    </row>
    <row r="88" ht="15" customHeight="1" s="6">
      <c r="A88" s="8" t="inlineStr">
        <is>
          <t>CDE-L087</t>
        </is>
      </c>
      <c r="B88" s="8" t="inlineStr">
        <is>
          <t>Contract Approval Workflow Last Updated Date</t>
        </is>
      </c>
      <c r="C88" s="8" t="inlineStr">
        <is>
          <t>Contract Lifecycle Management System</t>
        </is>
      </c>
      <c r="D88" s="8" t="inlineStr">
        <is>
          <t>Icertis, DocuSign CLM, Ironclad — contract repository and workflow</t>
        </is>
      </c>
      <c r="E88" s="8" t="inlineStr">
        <is>
          <t>Default Evidence Source declared: User Validation</t>
        </is>
      </c>
    </row>
    <row r="89" ht="15" customHeight="1" s="6">
      <c r="A89" s="8" t="inlineStr">
        <is>
          <t>CDE-L088</t>
        </is>
      </c>
      <c r="B89" s="8" t="inlineStr">
        <is>
          <t>Elevated-Risk Clause Mitigation Action Taken</t>
        </is>
      </c>
      <c r="C89" s="8" t="inlineStr">
        <is>
          <t>Contract Lifecycle Management System</t>
        </is>
      </c>
      <c r="D89" s="8" t="inlineStr">
        <is>
          <t>Icertis, DocuSign CLM, Ironclad — contract repository and workflow</t>
        </is>
      </c>
      <c r="E89" s="8" t="inlineStr">
        <is>
          <t>Default Evidence Source declared: User Validation</t>
        </is>
      </c>
    </row>
    <row r="90" ht="15" customHeight="1" s="6">
      <c r="A90" s="8" t="inlineStr">
        <is>
          <t>CDE-L089</t>
        </is>
      </c>
      <c r="B90" s="8" t="inlineStr">
        <is>
          <t>Trademark Status (Registered/Pending/Opposed/Lapsed)</t>
        </is>
      </c>
      <c r="C90" s="8" t="inlineStr">
        <is>
          <t>IP Management System</t>
        </is>
      </c>
      <c r="D90" s="8" t="inlineStr">
        <is>
          <t>Anaqua, CPA Global, Clarivate IP — patent/trademark portfolio system</t>
        </is>
      </c>
      <c r="E90" s="8" t="inlineStr">
        <is>
          <t>Default Evidence Source declared: Regulatory Filings</t>
        </is>
      </c>
    </row>
    <row r="91" ht="15" customHeight="1" s="6">
      <c r="A91" s="8" t="inlineStr">
        <is>
          <t>CDE-L090</t>
        </is>
      </c>
      <c r="B91" s="8" t="inlineStr">
        <is>
          <t>Trade Secret Protection Measures Documented</t>
        </is>
      </c>
      <c r="C91" s="8" t="inlineStr">
        <is>
          <t>IP Management System</t>
        </is>
      </c>
      <c r="D91" s="8" t="inlineStr">
        <is>
          <t>Anaqua, CPA Global, Clarivate IP — patent/trademark portfolio system</t>
        </is>
      </c>
      <c r="E91" s="8" t="inlineStr">
        <is>
          <t>Default Evidence Source declared: User Validation</t>
        </is>
      </c>
    </row>
    <row r="92" ht="15" customHeight="1" s="6">
      <c r="A92" s="8" t="inlineStr">
        <is>
          <t>CDE-L091</t>
        </is>
      </c>
      <c r="B92" s="8" t="inlineStr">
        <is>
          <t>IP Infringement Claim Resolution Status</t>
        </is>
      </c>
      <c r="C92" s="8" t="inlineStr">
        <is>
          <t>IP Management System</t>
        </is>
      </c>
      <c r="D92" s="8" t="inlineStr">
        <is>
          <t>Anaqua, CPA Global, Clarivate IP — patent/trademark portfolio system</t>
        </is>
      </c>
      <c r="E92" s="8" t="inlineStr">
        <is>
          <t>Default Evidence Source declared: User Validation</t>
        </is>
      </c>
    </row>
    <row r="93" ht="15" customHeight="1" s="6">
      <c r="A93" s="8" t="inlineStr">
        <is>
          <t>CDE-L092</t>
        </is>
      </c>
      <c r="B93" s="8" t="inlineStr">
        <is>
          <t>IP Licensing Agreement Exclusivity Status</t>
        </is>
      </c>
      <c r="C93" s="8" t="inlineStr">
        <is>
          <t>IP Management System</t>
        </is>
      </c>
      <c r="D93" s="8" t="inlineStr">
        <is>
          <t>Anaqua, CPA Global, Clarivate IP — patent/trademark portfolio system</t>
        </is>
      </c>
      <c r="E93" s="8" t="inlineStr">
        <is>
          <t>Default Evidence Source declared: User Validation</t>
        </is>
      </c>
    </row>
    <row r="94" ht="15" customHeight="1" s="6">
      <c r="A94" s="8" t="inlineStr">
        <is>
          <t>CDE-L093</t>
        </is>
      </c>
      <c r="B94" s="8" t="inlineStr">
        <is>
          <t>Group Structure Holding Company Identified</t>
        </is>
      </c>
      <c r="C94" s="8" t="inlineStr">
        <is>
          <t>Entity Management System</t>
        </is>
      </c>
      <c r="D94" s="8" t="inlineStr">
        <is>
          <t>Diligent Entities, Athennian — corporate records and entity management</t>
        </is>
      </c>
      <c r="E94" s="8" t="inlineStr">
        <is>
          <t>Default Evidence Source declared: Annual Report</t>
        </is>
      </c>
    </row>
    <row r="95" ht="15" customHeight="1" s="6">
      <c r="A95" s="8" t="inlineStr">
        <is>
          <t>CDE-L094</t>
        </is>
      </c>
      <c r="B95" s="8" t="inlineStr">
        <is>
          <t>Board Resolution Backlog (Count Overdue)</t>
        </is>
      </c>
      <c r="C95" s="8" t="inlineStr">
        <is>
          <t>Entity Management System</t>
        </is>
      </c>
      <c r="D95" s="8" t="inlineStr">
        <is>
          <t>Diligent Entities, Athennian — corporate records and entity management</t>
        </is>
      </c>
      <c r="E95" s="8" t="inlineStr">
        <is>
          <t>Default Evidence Source declared: User Validation</t>
        </is>
      </c>
    </row>
    <row r="96" ht="15" customHeight="1" s="6">
      <c r="A96" s="8" t="inlineStr">
        <is>
          <t>CDE-L095</t>
        </is>
      </c>
      <c r="B96" s="8" t="inlineStr">
        <is>
          <t>Entity Rationalization Target Completion Date</t>
        </is>
      </c>
      <c r="C96" s="8" t="inlineStr">
        <is>
          <t>Entity Management System</t>
        </is>
      </c>
      <c r="D96" s="8" t="inlineStr">
        <is>
          <t>Diligent Entities, Athennian — rationalization project tracking</t>
        </is>
      </c>
      <c r="E96" s="8" t="inlineStr">
        <is>
          <t>Default Evidence Source declared: User Validation</t>
        </is>
      </c>
    </row>
    <row r="97" ht="15" customHeight="1" s="6">
      <c r="A97" s="8" t="inlineStr">
        <is>
          <t>CDE-L096</t>
        </is>
      </c>
      <c r="B97" s="8" t="inlineStr">
        <is>
          <t>License Lapse Remediation Status</t>
        </is>
      </c>
      <c r="C97" s="8" t="inlineStr">
        <is>
          <t>Entity Management System</t>
        </is>
      </c>
      <c r="D97" s="8" t="inlineStr">
        <is>
          <t>Diligent Entities, Athennian — license remediation tracking</t>
        </is>
      </c>
      <c r="E97" s="8" t="inlineStr">
        <is>
          <t>Default Evidence Source declared: User Validation</t>
        </is>
      </c>
    </row>
    <row r="98" ht="15" customHeight="1" s="6">
      <c r="A98" s="8" t="inlineStr">
        <is>
          <t>CDE-L097</t>
        </is>
      </c>
      <c r="B98" s="8" t="inlineStr">
        <is>
          <t>Outside Counsel Performance Review Process Exists</t>
        </is>
      </c>
      <c r="C98" s="8" t="inlineStr">
        <is>
          <t>Legal Spend Management System</t>
        </is>
      </c>
      <c r="D98" s="8" t="inlineStr">
        <is>
          <t>Onit, Brightflag, SimpleLegal — legal spend/e-billing platform</t>
        </is>
      </c>
      <c r="E98" s="8" t="inlineStr">
        <is>
          <t>Default Evidence Source declared: User Validation</t>
        </is>
      </c>
    </row>
    <row r="99" ht="15" customHeight="1" s="6">
      <c r="A99" s="8" t="inlineStr">
        <is>
          <t>CDE-L098</t>
        </is>
      </c>
      <c r="B99" s="8" t="inlineStr">
        <is>
          <t>Legal Spend by Matter Type Breakdown</t>
        </is>
      </c>
      <c r="C99" s="8" t="inlineStr">
        <is>
          <t>Legal Spend Management System</t>
        </is>
      </c>
      <c r="D99" s="8" t="inlineStr">
        <is>
          <t>Onit, Brightflag, SimpleLegal — legal spend/e-billing platform</t>
        </is>
      </c>
      <c r="E99" s="8" t="inlineStr">
        <is>
          <t>Default Evidence Source declared: Finance / ERP</t>
        </is>
      </c>
    </row>
    <row r="100" ht="15" customHeight="1" s="6">
      <c r="A100" s="8" t="inlineStr">
        <is>
          <t>CDE-L099</t>
        </is>
      </c>
      <c r="B100" s="8" t="inlineStr">
        <is>
          <t>Alternative Fee Arrangement Adoption % of Total Spend</t>
        </is>
      </c>
      <c r="C100" s="8" t="inlineStr">
        <is>
          <t>Legal Spend Management System</t>
        </is>
      </c>
      <c r="D100" s="8" t="inlineStr">
        <is>
          <t>Onit, Brightflag, SimpleLegal — legal spend/e-billing platform</t>
        </is>
      </c>
      <c r="E100" s="8" t="inlineStr">
        <is>
          <t>Default Evidence Source declared: Finance / ERP</t>
        </is>
      </c>
    </row>
    <row r="101" ht="15" customHeight="1" s="6">
      <c r="A101" s="8" t="inlineStr">
        <is>
          <t>CDE-L100</t>
        </is>
      </c>
      <c r="B101" s="8" t="inlineStr">
        <is>
          <t>In-House Legal Function Budget (Current Period)</t>
        </is>
      </c>
      <c r="C101" s="8" t="inlineStr">
        <is>
          <t>Finance / ERP</t>
        </is>
      </c>
      <c r="D101" s="8" t="inlineStr">
        <is>
          <t>SAP, Oracle Finance</t>
        </is>
      </c>
      <c r="E101" s="8" t="inlineStr">
        <is>
          <t>Default Evidence Source declared: Finance / ERP</t>
        </is>
      </c>
    </row>
    <row r="102" ht="15" customHeight="1" s="6">
      <c r="A102" s="8" t="inlineStr">
        <is>
          <t>CDE-L101</t>
        </is>
      </c>
      <c r="B102" s="8" t="inlineStr">
        <is>
          <t>Emerging Legal Risk Likelihood Assessment Documented</t>
        </is>
      </c>
      <c r="C102" s="8" t="inlineStr">
        <is>
          <t>Legal Matter Management System</t>
        </is>
      </c>
      <c r="D102" s="8" t="inlineStr">
        <is>
          <t>Litera, Onit — emerging risk likelihood assessment</t>
        </is>
      </c>
      <c r="E102" s="8" t="inlineStr">
        <is>
          <t>Default Evidence Source declared: User Validation</t>
        </is>
      </c>
    </row>
    <row r="103" ht="15" customHeight="1" s="6">
      <c r="A103" s="8" t="inlineStr">
        <is>
          <t>CDE-L102</t>
        </is>
      </c>
      <c r="B103" s="8" t="inlineStr">
        <is>
          <t>Legal Risk Escalation Frequency to Board</t>
        </is>
      </c>
      <c r="C103" s="8" t="inlineStr">
        <is>
          <t>Governance / Board Management System</t>
        </is>
      </c>
      <c r="D103" s="8" t="inlineStr">
        <is>
          <t>Diligent — Board minutes archive</t>
        </is>
      </c>
      <c r="E103" s="8" t="inlineStr">
        <is>
          <t>Default Evidence Source declared: Board Minutes</t>
        </is>
      </c>
    </row>
    <row r="104" ht="15" customHeight="1" s="6">
      <c r="A104" s="8" t="inlineStr">
        <is>
          <t>CDE-L103</t>
        </is>
      </c>
      <c r="B104" s="8" t="inlineStr">
        <is>
          <t>External Legal Opinion Cost (Current Period)</t>
        </is>
      </c>
      <c r="C104" s="8" t="inlineStr">
        <is>
          <t>Finance / ERP</t>
        </is>
      </c>
      <c r="D104" s="8" t="inlineStr">
        <is>
          <t>SAP, Oracle Finance</t>
        </is>
      </c>
      <c r="E104" s="8" t="inlineStr">
        <is>
          <t>Default Evidence Source declared: Finance / ERP</t>
        </is>
      </c>
    </row>
    <row r="105" ht="15" customHeight="1" s="6">
      <c r="A105" s="8" t="inlineStr">
        <is>
          <t>CDE-L104</t>
        </is>
      </c>
      <c r="B105" s="8" t="inlineStr">
        <is>
          <t>Employment Claim Resolution Outcome</t>
        </is>
      </c>
      <c r="C105" s="8" t="inlineStr">
        <is>
          <t>Legal Matter Management System</t>
        </is>
      </c>
      <c r="D105" s="8" t="inlineStr">
        <is>
          <t>Litera, Onit, Thomson Reuters Legal Tracker — matter management module</t>
        </is>
      </c>
      <c r="E105" s="8" t="inlineStr">
        <is>
          <t>Default Evidence Source declared: User Validation</t>
        </is>
      </c>
    </row>
    <row r="106" ht="15" customHeight="1" s="6">
      <c r="A106" s="8" t="inlineStr">
        <is>
          <t>CDE-L105</t>
        </is>
      </c>
      <c r="B106" s="8" t="inlineStr">
        <is>
          <t>Labor Dispute Mediation/Arbitration Used</t>
        </is>
      </c>
      <c r="C106" s="8" t="inlineStr">
        <is>
          <t>Legal Matter Management System</t>
        </is>
      </c>
      <c r="D106" s="8" t="inlineStr">
        <is>
          <t>Litera, Onit, Thomson Reuters Legal Tracker — matter management module</t>
        </is>
      </c>
      <c r="E106" s="8" t="inlineStr">
        <is>
          <t>Default Evidence Source declared: User Validation</t>
        </is>
      </c>
    </row>
    <row r="107" ht="15" customHeight="1" s="6">
      <c r="A107" s="8" t="inlineStr">
        <is>
          <t>CDE-L106</t>
        </is>
      </c>
      <c r="B107" s="8" t="inlineStr">
        <is>
          <t>Restrictive Covenant Enforceability Jurisdiction Risk Noted</t>
        </is>
      </c>
      <c r="C107" s="8" t="inlineStr">
        <is>
          <t>Legal Matter Management System</t>
        </is>
      </c>
      <c r="D107" s="8" t="inlineStr">
        <is>
          <t>Litera, Onit — restrictive covenant jurisdiction risk note</t>
        </is>
      </c>
      <c r="E107" s="8" t="inlineStr">
        <is>
          <t>Default Evidence Source declared: User Validation</t>
        </is>
      </c>
    </row>
    <row r="108" ht="15" customHeight="1" s="6">
      <c r="A108" s="8" t="inlineStr">
        <is>
          <t>CDE-L107</t>
        </is>
      </c>
      <c r="B108" s="8" t="inlineStr">
        <is>
          <t>Real Estate Lease Renewal Option Documented</t>
        </is>
      </c>
      <c r="C108" s="8" t="inlineStr">
        <is>
          <t>Lease/Real Estate Management System</t>
        </is>
      </c>
      <c r="D108" s="8" t="inlineStr">
        <is>
          <t>CoStar, MRI Software, Lease Accelerator — real estate portfolio system</t>
        </is>
      </c>
      <c r="E108" s="8" t="inlineStr">
        <is>
          <t>Default Evidence Source declared: User Validation</t>
        </is>
      </c>
    </row>
    <row r="109" ht="15" customHeight="1" s="6">
      <c r="A109" s="8" t="inlineStr">
        <is>
          <t>CDE-L108</t>
        </is>
      </c>
      <c r="B109" s="8" t="inlineStr">
        <is>
          <t>Real Estate Dispute Resolution Status</t>
        </is>
      </c>
      <c r="C109" s="8" t="inlineStr">
        <is>
          <t>Lease/Real Estate Management System</t>
        </is>
      </c>
      <c r="D109" s="8" t="inlineStr">
        <is>
          <t>CoStar, MRI Software, Lease Accelerator — real estate portfolio system</t>
        </is>
      </c>
      <c r="E109" s="8" t="inlineStr">
        <is>
          <t>Default Evidence Source declared: User Validation</t>
        </is>
      </c>
    </row>
    <row r="110" ht="15" customHeight="1" s="6">
      <c r="A110" s="8" t="inlineStr">
        <is>
          <t>CDE-L109</t>
        </is>
      </c>
      <c r="B110" s="8" t="inlineStr">
        <is>
          <t>Environmental/Zoning Remediation Cost Estimate</t>
        </is>
      </c>
      <c r="C110" s="8" t="inlineStr">
        <is>
          <t>Lease/Real Estate Management System</t>
        </is>
      </c>
      <c r="D110" s="8" t="inlineStr">
        <is>
          <t>CoStar, MRI Software, Lease Accelerator — real estate portfolio system</t>
        </is>
      </c>
      <c r="E110" s="8" t="inlineStr">
        <is>
          <t>Default Evidence Source declared: Finance / ERP</t>
        </is>
      </c>
    </row>
    <row r="111" ht="15" customHeight="1" s="6">
      <c r="A111" s="8" t="inlineStr">
        <is>
          <t>CDE-L110</t>
        </is>
      </c>
      <c r="B111" s="8" t="inlineStr">
        <is>
          <t>Legal Hold Release Date (Once Resolved)</t>
        </is>
      </c>
      <c r="C111" s="8" t="inlineStr">
        <is>
          <t>Legal Hold/eDiscovery System</t>
        </is>
      </c>
      <c r="D111" s="8" t="inlineStr">
        <is>
          <t>Relativity, Exterro, Logikcull — legal hold and eDiscovery platform</t>
        </is>
      </c>
      <c r="E111" s="8" t="inlineStr">
        <is>
          <t>Default Evidence Source declared: User Validation</t>
        </is>
      </c>
    </row>
    <row r="112" ht="15" customHeight="1" s="6">
      <c r="A112" s="8" t="inlineStr">
        <is>
          <t>CDE-L111</t>
        </is>
      </c>
      <c r="B112" s="8" t="inlineStr">
        <is>
          <t>Retention Schedule Last Reviewed Date</t>
        </is>
      </c>
      <c r="C112" s="8" t="inlineStr">
        <is>
          <t>Legal Hold/eDiscovery System</t>
        </is>
      </c>
      <c r="D112" s="8" t="inlineStr">
        <is>
          <t>Relativity, Exterro, Logikcull — legal hold and eDiscovery platform</t>
        </is>
      </c>
      <c r="E112" s="8" t="inlineStr">
        <is>
          <t>Default Evidence Source declared: User Validation</t>
        </is>
      </c>
    </row>
    <row r="113" ht="15" customHeight="1" s="6">
      <c r="A113" s="8" t="inlineStr">
        <is>
          <t>CDE-L112</t>
        </is>
      </c>
      <c r="B113" s="8" t="inlineStr">
        <is>
          <t>Legal Hold Non-Compliance Incident Identified</t>
        </is>
      </c>
      <c r="C113" s="8" t="inlineStr">
        <is>
          <t>Legal Hold/eDiscovery System</t>
        </is>
      </c>
      <c r="D113" s="8" t="inlineStr">
        <is>
          <t>Relativity, Exterro, Logikcull — legal hold and eDiscovery platform</t>
        </is>
      </c>
      <c r="E113" s="8" t="inlineStr">
        <is>
          <t>Default Evidence Source declared: User Validation</t>
        </is>
      </c>
    </row>
    <row r="114" ht="15" customHeight="1" s="6">
      <c r="A114" s="8" t="inlineStr">
        <is>
          <t>CDE-L113</t>
        </is>
      </c>
      <c r="B114" s="8" t="inlineStr">
        <is>
          <t>Fee Arrangement Renegotiation Conducted (Current Period)</t>
        </is>
      </c>
      <c r="C114" s="8" t="inlineStr">
        <is>
          <t>Legal Spend Management System</t>
        </is>
      </c>
      <c r="D114" s="8" t="inlineStr">
        <is>
          <t>Onit, Brightflag, SimpleLegal — legal spend/e-billing platform</t>
        </is>
      </c>
      <c r="E114" s="8" t="inlineStr">
        <is>
          <t>Default Evidence Source declared: User Validation</t>
        </is>
      </c>
    </row>
    <row r="115" ht="15" customHeight="1" s="6">
      <c r="A115" s="8" t="inlineStr">
        <is>
          <t>CDE-L114</t>
        </is>
      </c>
      <c r="B115" s="8" t="inlineStr">
        <is>
          <t>Litigation Matter Meets SEC Item 103 Materiality Threshold (10% Current Assets / $300K-$1M Sanctions Test)</t>
        </is>
      </c>
      <c r="C115" s="8" t="inlineStr">
        <is>
          <t>Legal Matter Management System</t>
        </is>
      </c>
      <c r="D115" s="8" t="inlineStr">
        <is>
          <t>Litera, Onit, Thomson Reuters Legal Tracker — matter management module</t>
        </is>
      </c>
      <c r="E115" s="8" t="inlineStr">
        <is>
          <t>Default Evidence Source declared: Regulatory Filings</t>
        </is>
      </c>
    </row>
    <row r="116" ht="15" customHeight="1" s="6">
      <c r="A116" s="5" t="inlineStr">
        <is>
          <t>CDE-L115</t>
        </is>
      </c>
      <c r="B116" s="5" t="inlineStr">
        <is>
          <t>Litigation Defense/General Liability Insurance Coverage Exists</t>
        </is>
      </c>
      <c r="C116" s="5" t="inlineStr">
        <is>
          <t>Annual Report / Public Filing</t>
        </is>
      </c>
      <c r="D116" s="5" t="inlineStr">
        <is>
          <t>Annual Report insurance coverage disclosure</t>
        </is>
      </c>
      <c r="E116" s="5" t="inlineStr">
        <is>
          <t>Default Evidence Source declared: see CDE Registry</t>
        </is>
      </c>
    </row>
    <row r="117" ht="15" customHeight="1" s="6">
      <c r="A117" s="5" t="inlineStr">
        <is>
          <t>CDE-L116</t>
        </is>
      </c>
      <c r="B117" s="5" t="inlineStr">
        <is>
          <t>Privilege Log/Attorney-Client Privilege Assertion Tracking Process Documented</t>
        </is>
      </c>
      <c r="C117" s="5" t="inlineStr">
        <is>
          <t>Legal Hold/eDiscovery System</t>
        </is>
      </c>
      <c r="D117" s="5" t="inlineStr">
        <is>
          <t>Relativity, Exterro — privilege log tracking module</t>
        </is>
      </c>
      <c r="E117" s="5" t="inlineStr">
        <is>
          <t>Default Evidence Source declared: see CDE Registry</t>
        </is>
      </c>
    </row>
    <row r="118" ht="15" customHeight="1" s="6">
      <c r="A118" s="5" t="inlineStr">
        <is>
          <t>CDE-L117</t>
        </is>
      </c>
      <c r="B118" s="5" t="inlineStr">
        <is>
          <t>Material Counterparty Creditworthiness/Bankruptcy Risk Flagged</t>
        </is>
      </c>
      <c r="C118" s="5" t="inlineStr">
        <is>
          <t>Contract Lifecycle Management System</t>
        </is>
      </c>
      <c r="D118" s="5" t="inlineStr">
        <is>
          <t>Icertis, Ironclad — counterparty risk flag module</t>
        </is>
      </c>
      <c r="E118" s="5" t="inlineStr">
        <is>
          <t>Default Evidence Source declared: see CDE Registry</t>
        </is>
      </c>
    </row>
    <row r="119" ht="15" customHeight="1" s="6">
      <c r="A119" s="5" t="inlineStr">
        <is>
          <t>CDE-L118</t>
        </is>
      </c>
      <c r="B119" s="5" t="inlineStr">
        <is>
          <t>Domain Name Portfolio Inventory Exists</t>
        </is>
      </c>
      <c r="C119" s="5" t="inlineStr">
        <is>
          <t>IP Management System</t>
        </is>
      </c>
      <c r="D119" s="5" t="inlineStr">
        <is>
          <t>Anaqua, CPA Global — domain name portfolio module</t>
        </is>
      </c>
      <c r="E119" s="5" t="inlineStr">
        <is>
          <t>Default Evidence Source declared: see CDE Registry</t>
        </is>
      </c>
    </row>
    <row r="120" ht="15" customHeight="1" s="6">
      <c r="A120" s="5" t="inlineStr">
        <is>
          <t>CDE-L119</t>
        </is>
      </c>
      <c r="B120" s="5" t="inlineStr">
        <is>
          <t>E-Discovery Vendor/Process for Litigation Document Production Documented</t>
        </is>
      </c>
      <c r="C120" s="5" t="inlineStr">
        <is>
          <t>Legal Hold/eDiscovery System</t>
        </is>
      </c>
      <c r="D120" s="5" t="inlineStr">
        <is>
          <t>Relativity, Exterro, Logikcull — e-discovery production workflow</t>
        </is>
      </c>
      <c r="E120" s="5" t="inlineStr">
        <is>
          <t>Default Evidence Source declared: see CDE Registry</t>
        </is>
      </c>
    </row>
    <row r="121" ht="15" customHeight="1" s="6">
      <c r="A121" s="5" t="inlineStr">
        <is>
          <t>CDE-L120</t>
        </is>
      </c>
      <c r="B121" s="5" t="inlineStr">
        <is>
          <t>Force Majeure Clause Invoked (Current Period, Count)</t>
        </is>
      </c>
      <c r="C121" s="5" t="inlineStr">
        <is>
          <t>Contract Lifecycle Management System</t>
        </is>
      </c>
      <c r="D121" s="5" t="inlineStr">
        <is>
          <t>Icertis, Ironclad — clause invocation tracking</t>
        </is>
      </c>
      <c r="E121" s="5" t="inlineStr">
        <is>
          <t>Default Evidence Source declared: see CDE Registry</t>
        </is>
      </c>
    </row>
    <row r="122" ht="15" customHeight="1" s="6">
      <c r="A122" s="5" t="inlineStr">
        <is>
          <t>CDE-L121</t>
        </is>
      </c>
      <c r="B122" s="5" t="inlineStr">
        <is>
          <t>Legal Matter Management/Technology System Adopted</t>
        </is>
      </c>
      <c r="C122" s="5" t="inlineStr">
        <is>
          <t>Legal Matter Management System</t>
        </is>
      </c>
      <c r="D122" s="5" t="inlineStr">
        <is>
          <t>Litera, Onit, Thomson Reuters Legal Tracker</t>
        </is>
      </c>
      <c r="E122" s="5" t="inlineStr">
        <is>
          <t>Default Evidence Source declared: see CDE Registry</t>
        </is>
      </c>
    </row>
    <row r="123" ht="15" customHeight="1" s="6">
      <c r="A123" s="5" t="inlineStr">
        <is>
          <t>CDE-L122</t>
        </is>
      </c>
      <c r="B123" s="5" t="inlineStr">
        <is>
          <t>Government Investigation or Subpoena Received (Current Period, Count)</t>
        </is>
      </c>
      <c r="C123" s="5" t="inlineStr">
        <is>
          <t>Legal Matter Management System</t>
        </is>
      </c>
      <c r="D123" s="5" t="inlineStr">
        <is>
          <t>Litera, Onit — government investigation matter tracking</t>
        </is>
      </c>
      <c r="E123" s="5" t="inlineStr">
        <is>
          <t>Default Evidence Source declared: see CDE Registry</t>
        </is>
      </c>
    </row>
    <row r="124" ht="15" customHeight="1" s="6">
      <c r="A124" s="5" t="inlineStr">
        <is>
          <t>CDE-L123</t>
        </is>
      </c>
      <c r="B124" s="5" t="inlineStr">
        <is>
          <t>Third-Party Litigation Funding Arrangement Disclosed</t>
        </is>
      </c>
      <c r="C124" s="5" t="inlineStr">
        <is>
          <t>Legal Matter Management System</t>
        </is>
      </c>
      <c r="D124" s="5" t="inlineStr">
        <is>
          <t>Litera, Onit — litigation funding disclosure tracking</t>
        </is>
      </c>
      <c r="E124" s="5" t="inlineStr">
        <is>
          <t>Default Evidence Source declared: see CDE Registry</t>
        </is>
      </c>
    </row>
    <row r="125" ht="15" customHeight="1" s="6">
      <c r="A125" s="5" t="inlineStr">
        <is>
          <t>CDE-L124</t>
        </is>
      </c>
      <c r="B125" s="5" t="inlineStr">
        <is>
          <t>Material Contract Governing Law/Jurisdiction Clause Documented</t>
        </is>
      </c>
      <c r="C125" s="5" t="inlineStr">
        <is>
          <t>Contract Lifecycle Management System</t>
        </is>
      </c>
      <c r="D125" s="5" t="inlineStr">
        <is>
          <t>Icertis, Ironclad — governing law clause field</t>
        </is>
      </c>
      <c r="E125" s="5" t="inlineStr">
        <is>
          <t>Default Evidence Source declared: see CDE Registry</t>
        </is>
      </c>
    </row>
    <row r="126" ht="15" customHeight="1" s="6">
      <c r="A126" s="5" t="inlineStr">
        <is>
          <t>CDE-L125</t>
        </is>
      </c>
      <c r="B126" s="5" t="inlineStr">
        <is>
          <t>IP Portfolio Estimated Valuation</t>
        </is>
      </c>
      <c r="C126" s="5" t="inlineStr">
        <is>
          <t>Finance / ERP</t>
        </is>
      </c>
      <c r="D126" s="5" t="inlineStr">
        <is>
          <t>SAP, Oracle Finance — intangible asset valuation</t>
        </is>
      </c>
      <c r="E126" s="5" t="inlineStr">
        <is>
          <t>Default Evidence Source declared: see CDE Registry</t>
        </is>
      </c>
    </row>
    <row r="127" ht="15" customHeight="1" s="6">
      <c r="A127" s="5" t="inlineStr">
        <is>
          <t>CDE-L126</t>
        </is>
      </c>
      <c r="B127" s="5" t="inlineStr">
        <is>
          <t>Outside Counsel Diversity Requirement Documented</t>
        </is>
      </c>
      <c r="C127" s="5" t="inlineStr">
        <is>
          <t>Legal Spend Management System</t>
        </is>
      </c>
      <c r="D127" s="5" t="inlineStr">
        <is>
          <t>Onit, Brightflag — diversity requirement policy tracking</t>
        </is>
      </c>
      <c r="E127" s="5" t="inlineStr">
        <is>
          <t>Default Evidence Source declared: see CDE Registry</t>
        </is>
      </c>
    </row>
    <row r="128" ht="15" customHeight="1" s="6">
      <c r="A128" s="5" t="inlineStr">
        <is>
          <t>CDE-L127</t>
        </is>
      </c>
      <c r="B128" s="5" t="inlineStr">
        <is>
          <t>Whistleblower Retaliation Claim Filed Against Enterprise (Current Period, Count)</t>
        </is>
      </c>
      <c r="C128" s="5" t="inlineStr">
        <is>
          <t>Legal Matter Management System</t>
        </is>
      </c>
      <c r="D128" s="5" t="inlineStr">
        <is>
          <t>Litera, Onit — employment matter tracking</t>
        </is>
      </c>
      <c r="E128" s="5" t="inlineStr">
        <is>
          <t>Default Evidence Source declared: see CDE Registry</t>
        </is>
      </c>
    </row>
    <row r="129" ht="15" customHeight="1" s="6">
      <c r="A129" s="5" t="inlineStr">
        <is>
          <t>CDE-L128</t>
        </is>
      </c>
      <c r="B129" s="5" t="inlineStr">
        <is>
          <t>Termination-for-Convenience Clause Exercised (Current Period, Count)</t>
        </is>
      </c>
      <c r="C129" s="5" t="inlineStr">
        <is>
          <t>Contract Lifecycle Management System</t>
        </is>
      </c>
      <c r="D129" s="5" t="inlineStr">
        <is>
          <t>Icertis, Ironclad — termination event tracking</t>
        </is>
      </c>
      <c r="E129" s="5" t="inlineStr">
        <is>
          <t>Default Evidence Source declared: see CDE Registry</t>
        </is>
      </c>
    </row>
    <row r="130" ht="15" customHeight="1" s="6">
      <c r="A130" s="5" t="inlineStr">
        <is>
          <t>CDE-L129</t>
        </is>
      </c>
      <c r="B130" s="5" t="inlineStr">
        <is>
          <t>Legal Entity Simplification Estimated Cost Savings</t>
        </is>
      </c>
      <c r="C130" s="5" t="inlineStr">
        <is>
          <t>Finance / ERP</t>
        </is>
      </c>
      <c r="D130" s="5" t="inlineStr">
        <is>
          <t>SAP, Oracle Finance — entity rationalization savings tracking</t>
        </is>
      </c>
      <c r="E130" s="5" t="inlineStr">
        <is>
          <t>Default Evidence Source declared: see CDE Registry</t>
        </is>
      </c>
    </row>
    <row r="131" ht="15" customHeight="1" s="6">
      <c r="A131" s="5" t="inlineStr">
        <is>
          <t>CDE-L130</t>
        </is>
      </c>
      <c r="B131" s="5" t="inlineStr">
        <is>
          <t>AI/Algorithmic Legal Risk Identified by Legal Function (Current Period, Count)</t>
        </is>
      </c>
      <c r="C131" s="5" t="inlineStr">
        <is>
          <t>Legal Matter Management System</t>
        </is>
      </c>
      <c r="D131" s="5" t="inlineStr">
        <is>
          <t>Litera, Onit — emerging AI risk register</t>
        </is>
      </c>
      <c r="E131" s="5" t="inlineStr">
        <is>
          <t>Default Evidence Source declared: see CDE Registry</t>
        </is>
      </c>
    </row>
    <row r="132" ht="15" customHeight="1" s="6">
      <c r="A132" s="5" t="inlineStr">
        <is>
          <t>CDE-L131</t>
        </is>
      </c>
      <c r="B132" s="5" t="inlineStr">
        <is>
          <t>Indemnification Cap/Limitation of Liability Negotiated Term Documented</t>
        </is>
      </c>
      <c r="C132" s="5" t="inlineStr">
        <is>
          <t>Contract Lifecycle Management System</t>
        </is>
      </c>
      <c r="D132" s="5" t="inlineStr">
        <is>
          <t>Icertis, Ironclad — clause negotiation tracking</t>
        </is>
      </c>
      <c r="E132" s="5" t="inlineStr">
        <is>
          <t>Default Evidence Source declared: see CDE Registry</t>
        </is>
      </c>
    </row>
    <row r="133" ht="15" customHeight="1" s="6">
      <c r="A133" s="5" t="inlineStr">
        <is>
          <t>CDE-L132</t>
        </is>
      </c>
      <c r="B133" s="5" t="inlineStr">
        <is>
          <t>Outside Counsel Conflict-of-Interest Check Process Documented</t>
        </is>
      </c>
      <c r="C133" s="5" t="inlineStr">
        <is>
          <t>Legal Spend Management System</t>
        </is>
      </c>
      <c r="D133" s="5" t="inlineStr">
        <is>
          <t>Onit, Brightflag — outside counsel onboarding/conflict check</t>
        </is>
      </c>
      <c r="E133" s="5" t="inlineStr">
        <is>
          <t>Default Evidence Source declared: see CDE Registry</t>
        </is>
      </c>
    </row>
    <row r="134" ht="15" customHeight="1" s="6">
      <c r="A134" s="5" t="inlineStr">
        <is>
          <t>CDE-L133</t>
        </is>
      </c>
      <c r="B134" s="5" t="inlineStr">
        <is>
          <t>Legal Department Budget Variance (Actual vs Budget)</t>
        </is>
      </c>
      <c r="C134" s="5" t="inlineStr">
        <is>
          <t>Finance / ERP</t>
        </is>
      </c>
      <c r="D134" s="5" t="inlineStr">
        <is>
          <t>SAP, Oracle Finance — legal department budget tracking</t>
        </is>
      </c>
      <c r="E134" s="5" t="inlineStr">
        <is>
          <t>Default Evidence Source declared: see CDE Registry</t>
        </is>
      </c>
    </row>
    <row r="135" ht="15" customHeight="1" s="6">
      <c r="A135" s="5" t="inlineStr">
        <is>
          <t>CDE-L134</t>
        </is>
      </c>
      <c r="B135" s="5" t="inlineStr">
        <is>
          <t>Trademark/Brand Enforcement Watch Service Active</t>
        </is>
      </c>
      <c r="C135" s="5" t="inlineStr">
        <is>
          <t>IP Management System</t>
        </is>
      </c>
      <c r="D135" s="5" t="inlineStr">
        <is>
          <t>Anaqua, CPA Global — trademark watch service module</t>
        </is>
      </c>
      <c r="E135" s="5" t="inlineStr">
        <is>
          <t>Default Evidence Source declared: see CDE Registry</t>
        </is>
      </c>
    </row>
    <row r="136" ht="15" customHeight="1" s="6">
      <c r="A136" s="5" t="inlineStr">
        <is>
          <t>CDE-L135</t>
        </is>
      </c>
      <c r="B136" s="5" t="inlineStr">
        <is>
          <t>Material Contract Change-of-Control/Assignment Clause Documented</t>
        </is>
      </c>
      <c r="C136" s="5" t="inlineStr">
        <is>
          <t>Contract Lifecycle Management System</t>
        </is>
      </c>
      <c r="D136" s="5" t="inlineStr">
        <is>
          <t>Icertis, Ironclad — change-of-control clause field</t>
        </is>
      </c>
      <c r="E136" s="5" t="inlineStr">
        <is>
          <t>Default Evidence Source declared: see CDE Registry</t>
        </is>
      </c>
    </row>
    <row r="137" ht="15" customHeight="1" s="6">
      <c r="A137" s="5" t="inlineStr">
        <is>
          <t>CDE-L136</t>
        </is>
      </c>
      <c r="B137" s="5" t="inlineStr">
        <is>
          <t>Average Contract Negotiation Cycle Time (Days)</t>
        </is>
      </c>
      <c r="C137" s="5" t="inlineStr">
        <is>
          <t>Contract Lifecycle Management System</t>
        </is>
      </c>
      <c r="D137" s="5" t="inlineStr">
        <is>
          <t>Icertis, Ironclad — cycle time analytics</t>
        </is>
      </c>
      <c r="E137" s="5" t="inlineStr">
        <is>
          <t>Default Evidence Source declared: see CDE Registry</t>
        </is>
      </c>
    </row>
    <row r="138" ht="15" customHeight="1" s="6">
      <c r="A138" s="5" t="inlineStr">
        <is>
          <t>CDE-L137</t>
        </is>
      </c>
      <c r="B138" s="5" t="inlineStr">
        <is>
          <t>Standard NDA/Confidentiality Agreement Template Usage Rate %</t>
        </is>
      </c>
      <c r="C138" s="5" t="inlineStr">
        <is>
          <t>Contract Lifecycle Management System</t>
        </is>
      </c>
      <c r="D138" s="5" t="inlineStr">
        <is>
          <t>Icertis, Ironclad — template usage analytics</t>
        </is>
      </c>
      <c r="E138" s="5" t="inlineStr">
        <is>
          <t>Default Evidence Source declared: see CDE Registry</t>
        </is>
      </c>
    </row>
    <row r="139" ht="15" customHeight="1" s="6">
      <c r="A139" s="5" t="inlineStr">
        <is>
          <t>CDE-L138</t>
        </is>
      </c>
      <c r="B139" s="5" t="inlineStr">
        <is>
          <t>Outside Counsel Matter Satisfaction/Quality Rating Documented</t>
        </is>
      </c>
      <c r="C139" s="5" t="inlineStr">
        <is>
          <t>Legal Spend Management System</t>
        </is>
      </c>
      <c r="D139" s="5" t="inlineStr">
        <is>
          <t>Onit, Brightflag — matter satisfaction survey tracking</t>
        </is>
      </c>
      <c r="E139" s="5" t="inlineStr">
        <is>
          <t>Default Evidence Source declared: see CDE Registry</t>
        </is>
      </c>
    </row>
    <row r="140" ht="15" customHeight="1" s="6">
      <c r="A140" s="5" t="inlineStr">
        <is>
          <t>CDE-L139</t>
        </is>
      </c>
      <c r="B140" s="5" t="inlineStr">
        <is>
          <t>Open-Source Software License Compliance Process Documented (Distinct from Security Risk Management)</t>
        </is>
      </c>
      <c r="C140" s="5" t="inlineStr">
        <is>
          <t>IP Management System</t>
        </is>
      </c>
      <c r="D140" s="5" t="inlineStr">
        <is>
          <t>Anaqua, FOSSA, Black Duck — open-source license compliance scanning</t>
        </is>
      </c>
      <c r="E140" s="5" t="inlineStr">
        <is>
          <t>Default Evidence Source declared: see CDE Registry</t>
        </is>
      </c>
    </row>
    <row r="141" ht="15" customHeight="1" s="6">
      <c r="A141" s="5" t="inlineStr">
        <is>
          <t>CDE-L140</t>
        </is>
      </c>
      <c r="B141" s="5" t="inlineStr">
        <is>
          <t>Litigation Spend-to-Outcome-Value Ratio Tracked</t>
        </is>
      </c>
      <c r="C141" s="5" t="inlineStr">
        <is>
          <t>Finance / ERP</t>
        </is>
      </c>
      <c r="D141" s="5" t="inlineStr">
        <is>
          <t>SAP, Oracle Finance — litigation ROI analytics</t>
        </is>
      </c>
      <c r="E141" s="5" t="inlineStr">
        <is>
          <t>Default Evidence Source declared: see CDE Registry</t>
        </is>
      </c>
    </row>
    <row r="142" ht="15" customHeight="1" s="6">
      <c r="A142" s="5" t="inlineStr">
        <is>
          <t>CDE-L141</t>
        </is>
      </c>
      <c r="B142" s="5" t="inlineStr">
        <is>
          <t>Trade Secret Misappropriation Claim (DTSA/UTSA-Specific, Current Period, Count)</t>
        </is>
      </c>
      <c r="C142" s="5" t="inlineStr">
        <is>
          <t>Legal Matter Management System</t>
        </is>
      </c>
      <c r="D142" s="5" t="inlineStr">
        <is>
          <t>Litera, Onit — IP litigation matter tracking</t>
        </is>
      </c>
      <c r="E142" s="5" t="inlineStr">
        <is>
          <t>Default Evidence Source declared: see CDE Registry</t>
        </is>
      </c>
    </row>
    <row r="143" ht="15" customHeight="1" s="6">
      <c r="A143" s="5" t="inlineStr">
        <is>
          <t>CDE-L142</t>
        </is>
      </c>
      <c r="B143" s="5" t="inlineStr">
        <is>
          <t>Most-Favored-Customer/Most-Favored-Nation Clause Documented</t>
        </is>
      </c>
      <c r="C143" s="5" t="inlineStr">
        <is>
          <t>Contract Lifecycle Management System</t>
        </is>
      </c>
      <c r="D143" s="5" t="inlineStr">
        <is>
          <t>Icertis, Ironclad — pricing clause field</t>
        </is>
      </c>
      <c r="E143" s="5" t="inlineStr">
        <is>
          <t>Default Evidence Source declared: see CDE Registry</t>
        </is>
      </c>
    </row>
    <row r="144" ht="15" customHeight="1" s="6">
      <c r="A144" s="5" t="inlineStr">
        <is>
          <t>CDE-L143</t>
        </is>
      </c>
      <c r="B144" s="5" t="inlineStr">
        <is>
          <t>Legal Department Generative AI Tool Adoption for Drafting/Research</t>
        </is>
      </c>
      <c r="C144" s="5" t="inlineStr">
        <is>
          <t>Human Judgment / Internal Assessment</t>
        </is>
      </c>
      <c r="D144" s="5" t="inlineStr">
        <is>
          <t>General Counsel/Legal Ops team tool adoption documentation</t>
        </is>
      </c>
      <c r="E144" s="5" t="inlineStr">
        <is>
          <t>Default Evidence Source declared: see CDE Registry</t>
        </is>
      </c>
    </row>
    <row r="145" ht="15" customHeight="1" s="6">
      <c r="A145" s="5" t="inlineStr">
        <is>
          <t>CDE-L144</t>
        </is>
      </c>
      <c r="B145" s="5" t="inlineStr">
        <is>
          <t>Patent Freedom-to-Operate Analysis Conducted</t>
        </is>
      </c>
      <c r="C145" s="5" t="inlineStr">
        <is>
          <t>IP Management System</t>
        </is>
      </c>
      <c r="D145" s="5" t="inlineStr">
        <is>
          <t>Anaqua, CPA Global — FTO analysis tracking</t>
        </is>
      </c>
      <c r="E145" s="5" t="inlineStr">
        <is>
          <t>Default Evidence Source declared: see CDE Registry</t>
        </is>
      </c>
    </row>
    <row r="146" ht="15" customHeight="1" s="6">
      <c r="A146" s="5" t="inlineStr">
        <is>
          <t>CDE-L145</t>
        </is>
      </c>
      <c r="B146" s="5" t="inlineStr">
        <is>
          <t>Material Contract Currency/FX Risk Allocation Clause Documented</t>
        </is>
      </c>
      <c r="C146" s="5" t="inlineStr">
        <is>
          <t>Contract Lifecycle Management System</t>
        </is>
      </c>
      <c r="D146" s="5" t="inlineStr">
        <is>
          <t>Icertis, Ironclad — FX risk clause field</t>
        </is>
      </c>
      <c r="E146" s="5" t="inlineStr">
        <is>
          <t>Default Evidence Source declared: see CDE Registry</t>
        </is>
      </c>
    </row>
    <row r="147" ht="15" customHeight="1" s="6">
      <c r="A147" s="5" t="inlineStr">
        <is>
          <t>CDE-L146</t>
        </is>
      </c>
      <c r="B147" s="5" t="inlineStr">
        <is>
          <t>Legal Proceeding Known to be Contemplated by Governmental Authority (Pre-Filing)</t>
        </is>
      </c>
      <c r="C147" s="5" t="inlineStr">
        <is>
          <t>Regulatory Filing Portal</t>
        </is>
      </c>
      <c r="D147" s="5" t="inlineStr">
        <is>
          <t>SEC EDGAR/court filing portal — pre-filing investigative notice tracking</t>
        </is>
      </c>
      <c r="E147" s="5" t="inlineStr">
        <is>
          <t>Default Evidence Source declared: see CDE Registry</t>
        </is>
      </c>
    </row>
    <row r="148" ht="15" customHeight="1" s="6">
      <c r="A148" s="5" t="inlineStr">
        <is>
          <t>CDE-L147</t>
        </is>
      </c>
      <c r="B148" s="5" t="inlineStr">
        <is>
          <t>Litigation Matter Classified as Ordinary Routine Litigation (SEC Item 103 Carve-Out Test)</t>
        </is>
      </c>
      <c r="C148" s="5" t="inlineStr">
        <is>
          <t>Legal Matter Management System</t>
        </is>
      </c>
      <c r="D148" s="5" t="inlineStr">
        <is>
          <t>Litera, Onit — matter classification field</t>
        </is>
      </c>
      <c r="E148" s="5" t="inlineStr">
        <is>
          <t>Default Evidence Source declared: see CDE Registry</t>
        </is>
      </c>
    </row>
    <row r="149" ht="15" customHeight="1" s="6">
      <c r="A149" s="5" t="inlineStr">
        <is>
          <t>CDE-L148</t>
        </is>
      </c>
      <c r="B149" s="5" t="inlineStr">
        <is>
          <t>Environmental Proceeding Meets SEC Item 103(c)(3) Materiality Test (10% Current Assets or $300K-$1M Sanctions)</t>
        </is>
      </c>
      <c r="C149" s="5" t="inlineStr">
        <is>
          <t>Regulatory Filing Portal</t>
        </is>
      </c>
      <c r="D149" s="5" t="inlineStr">
        <is>
          <t>SEC EDGAR — environmental proceeding materiality assessment</t>
        </is>
      </c>
      <c r="E149" s="5" t="inlineStr">
        <is>
          <t>Default Evidence Source declared: see CDE Registry</t>
        </is>
      </c>
    </row>
    <row r="150" ht="15" customHeight="1" s="6">
      <c r="A150" s="5" t="inlineStr">
        <is>
          <t>CDE-L149</t>
        </is>
      </c>
      <c r="B150" s="5" t="inlineStr">
        <is>
          <t>Legal Proceeding Disclosed via Hyperlink/Cross-Reference (MD&amp;A/Risk Factors/Financial Notes)</t>
        </is>
      </c>
      <c r="C150" s="5" t="inlineStr">
        <is>
          <t>Regulatory Filing Portal</t>
        </is>
      </c>
      <c r="D150" s="5" t="inlineStr">
        <is>
          <t>SEC EDGAR — disclosure cross-reference tracking</t>
        </is>
      </c>
      <c r="E150" s="5" t="inlineStr">
        <is>
          <t>Default Evidence Source declared: see CDE Registry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2026-06-27T19:19:46Z</dcterms:created>
  <dcterms:modified xmlns:dcterms="http://purl.org/dc/terms/" xmlns:xsi="http://www.w3.org/2001/XMLSchema-instance" xsi:type="dcterms:W3CDTF">2026-07-04T06:44:12Z</dcterms:modified>
  <cp:revision>0</cp:revision>
</cp:coreProperties>
</file>