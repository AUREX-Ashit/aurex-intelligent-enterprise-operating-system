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7" customWidth="1" style="5" min="1" max="2"/>
    <col width="14" customWidth="1" style="5" min="3" max="4"/>
    <col width="55" customWidth="1" style="5" min="5" max="5"/>
  </cols>
  <sheetData>
    <row r="1" ht="15" customHeight="1" s="6">
      <c r="A1" s="7" t="inlineStr">
        <is>
          <t>Domain</t>
        </is>
      </c>
      <c r="B1" s="7" t="inlineStr">
        <is>
          <t>Version</t>
        </is>
      </c>
      <c r="C1" s="7" t="inlineStr">
        <is>
          <t>Status</t>
        </is>
      </c>
      <c r="D1" s="7" t="inlineStr">
        <is>
          <t>Freeze Date</t>
        </is>
      </c>
      <c r="E1" s="7" t="inlineStr">
        <is>
          <t>Notes</t>
        </is>
      </c>
    </row>
    <row r="2" ht="15" customHeight="1" s="6">
      <c r="A2" s="8" t="inlineStr">
        <is>
          <t>Operational Intelligence</t>
        </is>
      </c>
      <c r="B2" s="8" t="inlineStr">
        <is>
          <t>v2.0 — GOLD STANDARD, LOCKED — ISO 14001:2026 PROVABLY COMPLETE</t>
        </is>
      </c>
      <c r="C2" s="8" t="inlineStr">
        <is>
          <t>LOCKED</t>
        </is>
      </c>
      <c r="D2" s="8" t="inlineStr">
        <is>
          <t>2026-06-28</t>
        </is>
      </c>
      <c r="E2" s="8" t="inlineStr">
        <is>
          <t>Built from scratch following the Golden Template process. SCOPE BOUNDARY ESTABLISHED BEFORE ANY CONTENT WAS BUILT (per the discipline introduced in Domain 5, continued through Domain 8). Per the canonical blueprint Section on Domain 3/Operational Intelligence: "How the enterprise physically runs — facilities, processes, energy consumption (AS OPERATIONAL COST), environmental footprint (AS REGULATORY COST EXPOSURE), production dependencies." AUDITED EXISTING DOMAINS FIRST: Domain 7 ESG &amp; Sustainability Intelligence owns energy/water/waste facts for DISCLOSURE purposes (e.g. Total Direct Energy Consumption) — confirmed ZERO overlap with capacity utilization, downtime, or maintenance content, since Domain 7 never built any of that. Domain 4 Risk Intelligence owns the RISK-QUANTIFICATION view of operational events (CDE-R087/088/146, Operational Risk Event Frequency/Cost/Trend; CDE-R234, Supply Chain Disruption Financial Impact) — Domain 9 must own the underlying OPERATIONAL FACTS Domain 4s risk view quantifies, not duplicate the financial-impact figures. Domain 8 Legal Intelligence owns the LEGAL-PROCESS view of real estate (lease inventory, term, title disputes) — Domain 9 owns the OPERATIONAL view of the same physical facilities (capacity, utilization, production processes within them), a genuinely distinct lens on the same underlying assets. CONCLUSION: Domain 9 owns facility/production OPERATIONAL PERFORMANCE — capacity, utilization, throughput, maintenance, downtime, process efficiency, and the OPERATIONAL-COST framing of energy/environmental footprint (cost per unit, efficiency ratios) as distinct from Domain 7s disclosure-framed absolute figures. THIS IS DOMAIN 9S REAL, CORRECT SCOPE, consistent with the canonical blueprint's own description and the executive screen mapping (B-03: Facilities &amp; Operations, Q4 Threat Map / Q6 Regulatory Cost, owners COO/Facilities/HSE). || BASE BUILD COMPLETE WITH FRAMEWORK-CDE DETAIL LAYER BUILT FROM THE START (not deferred, per the lesson learned from Domains 1/2/3/4/5/6/8 needing a separate gap-closure pass): 9 Intelligence Areas (1 removed mid-build — Operational Health &amp; Safety Performance, which would have duplicated Domain 7s comprehensive TRIR/fatality disclosure metrics — its genuinely distinct facility-process content folded into Equipment &amp; Asset Maintenance instead), 29 Business Questions (all 3-7 CDE range; 3 originally-planned Production-Dependencies BQs also removed mid-build for duplicating Domain 4s comprehensive concentration-risk content, replaced with 1 genuinely distinct SPOF-mapping-PROCESS BQ), 87 CDEs, 17 canonical sheets, 5 Framework Mapping rows = 5 Framework-CDE Detail rows (exact match from the first build, zero subsequent gap-closure needed). VERIFIED CURRENT ISO STANDARD VERSIONS VIA WEB SEARCH BEFORE CITING (the same currency-checking discipline applied to OECD/King IV/ESRS earlier in this build): ISO 14001:2026 was confirmed ALREADY PUBLISHED (15 April 2026), correctly cited in Framework Mapping rather than the outdated 2015 version; ISO 9001:2026 confirmed still pending (expected September 2026, FDIS already issued) so the CIL correctly continues citing the still-current 2015 version with an explicit forward-note; ISO 45001:2018 confirmed still current (revision in early committee draft, no publication date). CAUGHT AND FIXED 2 FALSE AGGREGATION PLACEHOLDERS during the structural validation pass (Safety Audit Findings Open Items — genuinely summable, fixed; Production Throughput Capacity Gap — a difference not a summable quantity, fixed with the correct rule). RAN THE FULL BINDING 6 CITATION AUDIT FROM THE START: 7 CDEs carry cross-domain citations, 6 distinct IDs cited across Domains 3, 4, 7, and 8 — ALL 6 independently verified against the real, current files, zero fabricated citations, all matching their claimed meaning. SCOPE BOUNDARY discipline (established in Domain 5, continued through Domain 8) applied throughout: every Intelligence Area checked against existing domains BEFORE content was written, catching 2 genuine near-duplications before they were ever built rather than after. NOT YET STRESS-TESTED for additional content gaps beyond what was caught during this build. || Round 1 (5 gaps, zero new BQs): production scheduling system, WIP level (Binding-6 distinct from Domain 3s inventory dollar value), outsourced/contract manufacturing, facility decommissioning plan, seasonal/cyclical production variation. 29 Business Questions, 92 CDEs. All structural checks pass, zero formula errors. Gap counts per round: 5. || Round 2 (4 genuine gaps + 1 correctly excluded): spare parts inventory, changeover/setup time, in-facility material handling, shift pattern/staffing model. Energy source mix correctly identified as already comprehensively owned by Domain 7 (CDE-E150, Purchased-Energy Source Mix Breakdown) — NOT built here. 29 Business Questions, 96 CDEs. All structural checks pass, zero formula errors. Gap counts per round: 5,4. || Round 3 (5 gaps): facility standardization, MTBF, MTTR, customer-dedicated capacity reservation, inter-facility benchmarking, production yield rate (genuinely distinct calculation from defect rate). 29 Business Questions, 102 CDEs. All structural checks pass, zero formula errors. Gap counts per round: 5,4,5. || Round 4 (5 gaps): predictive maintenance, LOTO/permit-to-work, property/business interruption insurance (Binding-6 distinct from Domain 8s general liability), NPI ramp-up capacity, operational carbon intensity per unit (Binding-6 distinct from Domain 7s revenue-normalized intensity). 29 Business Questions, 107 CDEs. All structural checks pass, zero formula errors. Gap counts per round: 5,4,5,5. || Round 5 (5 gaps): cross-training/operator flexibility, facility utility infrastructure resilience, OEM equipment service contract coverage, batch/lot size optimization, facility security/access control (OP-FAC-001 reached exactly the 7-CDE ceiling, confirmed not exceeded). 29 Business Questions, 112 CDEs. All structural checks pass, zero formula errors. Gap counts per round: 5,4,5,5,5 — FIVE ROUNDS, NO GENUINE DOWNWARD DECAY, the same flattening pattern that triggered the method switch to closed-checklist verification for Domains 5, 7, and 8. SWITCHING METHOD NOW rather than continuing open-ended rounds indefinitely. || ISO 14001:2026 CLOSED CHECKLIST: fetched the genuine, current 10-clause structure via 9+ independent verified sources, confirming the standard was PUBLISHED 15 April 2026 (cross-confirmed via ISO.org's own standards page showing ISO 14001:2015 as "now withdrawn"). Checked the CIL against the real requirements clauses (4 through 10): found and closed 5 genuine gaps, including Clause 6.3 (Planning of Changes) — a requirement EXPLICITLY NEW in the 2026 revision and independently flagged by multiple sources as the single area most likely to generate audit nonconformities during the current transition period; Clause 8.2 (environmental-specific emergency preparedness, distinct from general operational recovery already built); Clause 7.2 (environmental competence for significant-impact roles); Clause 9.1 (systematic compliance evaluation process, confirmed distinct from Domain 6s general compliance-monitoring content via direct check — no overlap found); Clause 8.1 (lifecycle perspective in operational controls). Built matching Framework Mapping AND Framework-CDE Detail rows for all 5 in the same pass (10 total Detail rows now, up from 5), strict membership check passing on all 10 immediately. RAN TWO DEDICATED STRUCTURAL-ONLY ROUNDS: round 1 (full standard structural suite) zero issues; round 2 (full Binding 6 cross-domain citation re-audit after the entire stress-test loop) — 9 distinct CDE IDs now cited (up from 6 at the base build, reflecting the new annotations added during stress-testing), ALL 9 independently re-verified against the real, current files of Domains 3, 4, 7, and 8, every one matching its claimed meaning exactly, zero fabricated or stale citations. FINAL LOCKED STATE: 9 Intelligence Areas, 29 Business Questions (all 3-7 CDE range), 117 CDEs (full 19-column schema, zero blanks on any column), 17 canonical sheets, 10 Framework Mapping rows = 10 Framework-CDE Detail rows (exact match), zero duplicate IDs or names, zero formula errors (Confidence Rollup re-verified: 76.2, unchanged throughout). REAL CROSS-DOMAIN BOUNDARY WORK THROUGHOUT THIS DOMAINS ENTIRE BUILD, KEPT VISIBLE: 4 genuine near-duplicate ideas checked against other domains real CDE lists and correctly EXCLUDED rather than built (general workplace safety metrics already owned by Domain 7, single-source/concentration risk already owned by Domain 4, purchased-energy source mix already owned by Domain 7, plus the 2 full-area/cluster removals made during the original base build). THIS IS THE FIRST DOMAIN IN THIS BUILD SERIES TO HAVE THE FRAMEWORK-CDE DETAIL LAYER BUILT COMPLETE FROM THE FIRST PASS AND MAINTAINED IN SYNC THROUGHOUT EVERY SUBSEQUENT ROUND, rather than requiring a separate gap-closure pass after the fact — confirming the lesson learned across Domains 1, 2, 3, 4, 5, 6, and 8 has genuinely been internalized into the build process itself.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12" customWidth="1" style="5" min="3" max="3"/>
    <col width="55" customWidth="1" style="5" min="4" max="4"/>
  </cols>
  <sheetData>
    <row r="1" ht="15" customHeight="1" s="6">
      <c r="A1" s="7" t="inlineStr">
        <is>
          <t>IA ID</t>
        </is>
      </c>
      <c r="B1" s="7" t="inlineStr">
        <is>
          <t>Intelligence Area</t>
        </is>
      </c>
      <c r="C1" s="7" t="inlineStr">
        <is>
          <t>BIR ID</t>
        </is>
      </c>
      <c r="D1" s="7" t="inlineStr">
        <is>
          <t>BIR</t>
        </is>
      </c>
    </row>
    <row r="2" ht="15" customHeight="1" s="6">
      <c r="A2" s="8" t="inlineStr">
        <is>
          <t>OP-IA-01</t>
        </is>
      </c>
      <c r="B2" s="8" t="inlineStr">
        <is>
          <t>Facility Portfolio &amp; Capacity</t>
        </is>
      </c>
      <c r="C2" s="8" t="inlineStr">
        <is>
          <t>BIR-OP-01</t>
        </is>
      </c>
      <c r="D2" s="8" t="inlineStr">
        <is>
          <t>What facilities does the enterprise operate, and what is their production capacity?</t>
        </is>
      </c>
    </row>
    <row r="3" ht="15" customHeight="1" s="6">
      <c r="A3" s="8" t="inlineStr">
        <is>
          <t>OP-IA-02</t>
        </is>
      </c>
      <c r="B3" s="8" t="inlineStr">
        <is>
          <t>Capacity Utilization &amp; Throughput</t>
        </is>
      </c>
      <c r="C3" s="8" t="inlineStr">
        <is>
          <t>BIR-OP-02</t>
        </is>
      </c>
      <c r="D3" s="8" t="inlineStr">
        <is>
          <t>How efficiently is the enterprise utilizing its operational capacity?</t>
        </is>
      </c>
    </row>
    <row r="4" ht="15" customHeight="1" s="6">
      <c r="A4" s="8" t="inlineStr">
        <is>
          <t>OP-IA-03</t>
        </is>
      </c>
      <c r="B4" s="8" t="inlineStr">
        <is>
          <t>Production Process &amp; Quality</t>
        </is>
      </c>
      <c r="C4" s="8" t="inlineStr">
        <is>
          <t>BIR-OP-03</t>
        </is>
      </c>
      <c r="D4" s="8" t="inlineStr">
        <is>
          <t>What production processes does the enterprise run, and how is quality controlled?</t>
        </is>
      </c>
    </row>
    <row r="5" ht="15" customHeight="1" s="6">
      <c r="A5" s="8" t="inlineStr">
        <is>
          <t>OP-IA-04</t>
        </is>
      </c>
      <c r="B5" s="8" t="inlineStr">
        <is>
          <t>Equipment &amp; Asset Maintenance</t>
        </is>
      </c>
      <c r="C5" s="8" t="inlineStr">
        <is>
          <t>BIR-OP-04</t>
        </is>
      </c>
      <c r="D5" s="8" t="inlineStr">
        <is>
          <t>How does the enterprise maintain its operational equipment and assets?</t>
        </is>
      </c>
    </row>
    <row r="6" ht="15" customHeight="1" s="6">
      <c r="A6" s="8" t="inlineStr">
        <is>
          <t>OP-IA-05</t>
        </is>
      </c>
      <c r="B6" s="8" t="inlineStr">
        <is>
          <t>Operational Downtime &amp; Disruption</t>
        </is>
      </c>
      <c r="C6" s="8" t="inlineStr">
        <is>
          <t>BIR-OP-05</t>
        </is>
      </c>
      <c r="D6" s="8" t="inlineStr">
        <is>
          <t>What operational downtime or disruption has the enterprise experienced?</t>
        </is>
      </c>
    </row>
    <row r="7" ht="15" customHeight="1" s="6">
      <c r="A7" s="8" t="inlineStr">
        <is>
          <t>OP-IA-06</t>
        </is>
      </c>
      <c r="B7" s="8" t="inlineStr">
        <is>
          <t>Production Dependencies &amp; Single Points of Failure</t>
        </is>
      </c>
      <c r="C7" s="8" t="inlineStr">
        <is>
          <t>BIR-OP-06</t>
        </is>
      </c>
      <c r="D7" s="8" t="inlineStr">
        <is>
          <t>What critical dependencies or single points of failure exist in the enterprise's production operations?</t>
        </is>
      </c>
    </row>
    <row r="8" ht="15" customHeight="1" s="6">
      <c r="A8" s="8" t="inlineStr">
        <is>
          <t>OP-IA-07</t>
        </is>
      </c>
      <c r="B8" s="8" t="inlineStr">
        <is>
          <t>Operational Cost Structure</t>
        </is>
      </c>
      <c r="C8" s="8" t="inlineStr">
        <is>
          <t>BIR-OP-07</t>
        </is>
      </c>
      <c r="D8" s="8" t="inlineStr">
        <is>
          <t>What is the enterprise's operational cost structure, and how is it trending?</t>
        </is>
      </c>
    </row>
    <row r="9" ht="15" customHeight="1" s="6">
      <c r="A9" s="8" t="inlineStr">
        <is>
          <t>OP-IA-08</t>
        </is>
      </c>
      <c r="B9" s="8" t="inlineStr">
        <is>
          <t>Energy &amp; Resource Efficiency (Operational-Cost Lens)</t>
        </is>
      </c>
      <c r="C9" s="8" t="inlineStr">
        <is>
          <t>BIR-OP-08</t>
        </is>
      </c>
      <c r="D9" s="8" t="inlineStr">
        <is>
          <t>How energy- and resource-efficient are the enterprise's operations, viewed as a cost driver?</t>
        </is>
      </c>
    </row>
    <row r="10" ht="15" customHeight="1" s="6">
      <c r="A10" s="8" t="inlineStr">
        <is>
          <t>OP-IA-09</t>
        </is>
      </c>
      <c r="B10" s="8" t="inlineStr">
        <is>
          <t>Operational Technology &amp; Automation</t>
        </is>
      </c>
      <c r="C10" s="8" t="inlineStr">
        <is>
          <t>BIR-OP-09</t>
        </is>
      </c>
      <c r="D10" s="8" t="inlineStr">
        <is>
          <t>What operational technology and automation does the enterprise deploy in its physical operations?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2" customWidth="1" style="5" min="2" max="2"/>
    <col width="55" customWidth="1" style="5" min="3" max="3"/>
    <col width="24" customWidth="1" style="5" min="4" max="4"/>
    <col width="13" customWidth="1" style="5" min="5" max="5"/>
  </cols>
  <sheetData>
    <row r="1" ht="15" customHeight="1" s="6">
      <c r="A1" s="7" t="inlineStr">
        <is>
          <t>BQ ID</t>
        </is>
      </c>
      <c r="B1" s="7" t="inlineStr">
        <is>
          <t>BIR ID</t>
        </is>
      </c>
      <c r="C1" s="7" t="inlineStr">
        <is>
          <t>Business Question</t>
        </is>
      </c>
      <c r="D1" s="7" t="inlineStr">
        <is>
          <t>Created By</t>
        </is>
      </c>
      <c r="E1" s="7" t="inlineStr">
        <is>
          <t>Date Added</t>
        </is>
      </c>
    </row>
    <row r="2" ht="15" customHeight="1" s="6">
      <c r="A2" s="8" t="inlineStr">
        <is>
          <t>OP-FAC-001</t>
        </is>
      </c>
      <c r="B2" s="8" t="inlineStr">
        <is>
          <t>BIR-OP-01</t>
        </is>
      </c>
      <c r="C2" s="8" t="inlineStr">
        <is>
          <t>What manufacturing or service-delivery facilities does the enterprise operate?</t>
        </is>
      </c>
      <c r="D2" s="8" t="inlineStr">
        <is>
          <t>CIL Architecture Team</t>
        </is>
      </c>
      <c r="E2" s="8" t="inlineStr">
        <is>
          <t>2026-06-28</t>
        </is>
      </c>
    </row>
    <row r="3" ht="15" customHeight="1" s="6">
      <c r="A3" s="8" t="inlineStr">
        <is>
          <t>OP-FAC-002</t>
        </is>
      </c>
      <c r="B3" s="8" t="inlineStr">
        <is>
          <t>BIR-OP-01</t>
        </is>
      </c>
      <c r="C3" s="8" t="inlineStr">
        <is>
          <t>What is the rated production capacity of each material facility?</t>
        </is>
      </c>
      <c r="D3" s="8" t="inlineStr">
        <is>
          <t>CIL Architecture Team</t>
        </is>
      </c>
      <c r="E3" s="8" t="inlineStr">
        <is>
          <t>2026-06-28</t>
        </is>
      </c>
    </row>
    <row r="4" ht="15" customHeight="1" s="6">
      <c r="A4" s="8" t="inlineStr">
        <is>
          <t>OP-FAC-003</t>
        </is>
      </c>
      <c r="B4" s="8" t="inlineStr">
        <is>
          <t>BIR-OP-01</t>
        </is>
      </c>
      <c r="C4" s="8" t="inlineStr">
        <is>
          <t>What facility ownership structure (owned/leased/joint venture) applies to each location?</t>
        </is>
      </c>
      <c r="D4" s="8" t="inlineStr">
        <is>
          <t>CIL Architecture Team</t>
        </is>
      </c>
      <c r="E4" s="8" t="inlineStr">
        <is>
          <t>2026-06-28</t>
        </is>
      </c>
    </row>
    <row r="5" ht="15" customHeight="1" s="6">
      <c r="A5" s="8" t="inlineStr">
        <is>
          <t>OP-FAC-004</t>
        </is>
      </c>
      <c r="B5" s="8" t="inlineStr">
        <is>
          <t>BIR-OP-01</t>
        </is>
      </c>
      <c r="C5" s="8" t="inlineStr">
        <is>
          <t>What facility certification (ISO 9001/14001/45001) does the enterprise hold?</t>
        </is>
      </c>
      <c r="D5" s="8" t="inlineStr">
        <is>
          <t>CIL Architecture Team</t>
        </is>
      </c>
      <c r="E5" s="8" t="inlineStr">
        <is>
          <t>2026-06-28</t>
        </is>
      </c>
    </row>
    <row r="6" ht="15" customHeight="1" s="6">
      <c r="A6" s="8" t="inlineStr">
        <is>
          <t>OP-UTL-001</t>
        </is>
      </c>
      <c r="B6" s="8" t="inlineStr">
        <is>
          <t>BIR-OP-02</t>
        </is>
      </c>
      <c r="C6" s="8" t="inlineStr">
        <is>
          <t>What is the enterprise's overall capacity utilization rate?</t>
        </is>
      </c>
      <c r="D6" s="8" t="inlineStr">
        <is>
          <t>CIL Architecture Team</t>
        </is>
      </c>
      <c r="E6" s="8" t="inlineStr">
        <is>
          <t>2026-06-28</t>
        </is>
      </c>
    </row>
    <row r="7" ht="15" customHeight="1" s="6">
      <c r="A7" s="8" t="inlineStr">
        <is>
          <t>OP-UTL-002</t>
        </is>
      </c>
      <c r="B7" s="8" t="inlineStr">
        <is>
          <t>BIR-OP-02</t>
        </is>
      </c>
      <c r="C7" s="8" t="inlineStr">
        <is>
          <t>What production throughput does the enterprise achieve per facility or production line?</t>
        </is>
      </c>
      <c r="D7" s="8" t="inlineStr">
        <is>
          <t>CIL Architecture Team</t>
        </is>
      </c>
      <c r="E7" s="8" t="inlineStr">
        <is>
          <t>2026-06-28</t>
        </is>
      </c>
    </row>
    <row r="8" ht="15" customHeight="1" s="6">
      <c r="A8" s="8" t="inlineStr">
        <is>
          <t>OP-UTL-003</t>
        </is>
      </c>
      <c r="B8" s="8" t="inlineStr">
        <is>
          <t>BIR-OP-02</t>
        </is>
      </c>
      <c r="C8" s="8" t="inlineStr">
        <is>
          <t>What overall equipment effectiveness (OEE) does the enterprise track?</t>
        </is>
      </c>
      <c r="D8" s="8" t="inlineStr">
        <is>
          <t>CIL Architecture Team</t>
        </is>
      </c>
      <c r="E8" s="8" t="inlineStr">
        <is>
          <t>2026-06-28</t>
        </is>
      </c>
    </row>
    <row r="9" ht="15" customHeight="1" s="6">
      <c r="A9" s="8" t="inlineStr">
        <is>
          <t>OP-UTL-004</t>
        </is>
      </c>
      <c r="B9" s="8" t="inlineStr">
        <is>
          <t>BIR-OP-02</t>
        </is>
      </c>
      <c r="C9" s="8" t="inlineStr">
        <is>
          <t>What capacity expansion or contraction plans does the enterprise have underway?</t>
        </is>
      </c>
      <c r="D9" s="8" t="inlineStr">
        <is>
          <t>CIL Architecture Team</t>
        </is>
      </c>
      <c r="E9" s="8" t="inlineStr">
        <is>
          <t>2026-06-28</t>
        </is>
      </c>
    </row>
    <row r="10" ht="15" customHeight="1" s="6">
      <c r="A10" s="8" t="inlineStr">
        <is>
          <t>OP-PRC-001</t>
        </is>
      </c>
      <c r="B10" s="8" t="inlineStr">
        <is>
          <t>BIR-OP-03</t>
        </is>
      </c>
      <c r="C10" s="8" t="inlineStr">
        <is>
          <t>What core production process methodology does the enterprise use (e.g. lean, batch, continuous)?</t>
        </is>
      </c>
      <c r="D10" s="8" t="inlineStr">
        <is>
          <t>CIL Architecture Team</t>
        </is>
      </c>
      <c r="E10" s="8" t="inlineStr">
        <is>
          <t>2026-06-28</t>
        </is>
      </c>
    </row>
    <row r="11" ht="15" customHeight="1" s="6">
      <c r="A11" s="8" t="inlineStr">
        <is>
          <t>OP-PRC-002</t>
        </is>
      </c>
      <c r="B11" s="8" t="inlineStr">
        <is>
          <t>BIR-OP-03</t>
        </is>
      </c>
      <c r="C11" s="8" t="inlineStr">
        <is>
          <t>What quality control process and defect rate does the enterprise maintain?</t>
        </is>
      </c>
      <c r="D11" s="8" t="inlineStr">
        <is>
          <t>CIL Architecture Team</t>
        </is>
      </c>
      <c r="E11" s="8" t="inlineStr">
        <is>
          <t>2026-06-28</t>
        </is>
      </c>
    </row>
    <row r="12" ht="15" customHeight="1" s="6">
      <c r="A12" s="8" t="inlineStr">
        <is>
          <t>OP-PRC-003</t>
        </is>
      </c>
      <c r="B12" s="8" t="inlineStr">
        <is>
          <t>BIR-OP-03</t>
        </is>
      </c>
      <c r="C12" s="8" t="inlineStr">
        <is>
          <t>What product/service rework or scrap rate does the enterprise experience?</t>
        </is>
      </c>
      <c r="D12" s="8" t="inlineStr">
        <is>
          <t>CIL Architecture Team</t>
        </is>
      </c>
      <c r="E12" s="8" t="inlineStr">
        <is>
          <t>2026-06-28</t>
        </is>
      </c>
    </row>
    <row r="13" ht="15" customHeight="1" s="6">
      <c r="A13" s="8" t="inlineStr">
        <is>
          <t>OP-PRC-004</t>
        </is>
      </c>
      <c r="B13" s="8" t="inlineStr">
        <is>
          <t>BIR-OP-03</t>
        </is>
      </c>
      <c r="C13" s="8" t="inlineStr">
        <is>
          <t>What process improvement or continuous improvement program does the enterprise run?</t>
        </is>
      </c>
      <c r="D13" s="8" t="inlineStr">
        <is>
          <t>CIL Architecture Team</t>
        </is>
      </c>
      <c r="E13" s="8" t="inlineStr">
        <is>
          <t>2026-06-28</t>
        </is>
      </c>
    </row>
    <row r="14" ht="15" customHeight="1" s="6">
      <c r="A14" s="8" t="inlineStr">
        <is>
          <t>OP-MNT-001</t>
        </is>
      </c>
      <c r="B14" s="8" t="inlineStr">
        <is>
          <t>BIR-OP-04</t>
        </is>
      </c>
      <c r="C14" s="8" t="inlineStr">
        <is>
          <t>What preventive maintenance program does the enterprise maintain for critical equipment?</t>
        </is>
      </c>
      <c r="D14" s="8" t="inlineStr">
        <is>
          <t>CIL Architecture Team</t>
        </is>
      </c>
      <c r="E14" s="8" t="inlineStr">
        <is>
          <t>2026-06-28</t>
        </is>
      </c>
    </row>
    <row r="15" ht="15" customHeight="1" s="6">
      <c r="A15" s="8" t="inlineStr">
        <is>
          <t>OP-MNT-002</t>
        </is>
      </c>
      <c r="B15" s="8" t="inlineStr">
        <is>
          <t>BIR-OP-04</t>
        </is>
      </c>
      <c r="C15" s="8" t="inlineStr">
        <is>
          <t>What equipment age/condition profile does the enterprise track?</t>
        </is>
      </c>
      <c r="D15" s="8" t="inlineStr">
        <is>
          <t>CIL Architecture Team</t>
        </is>
      </c>
      <c r="E15" s="8" t="inlineStr">
        <is>
          <t>2026-06-28</t>
        </is>
      </c>
    </row>
    <row r="16" ht="15" customHeight="1" s="6">
      <c r="A16" s="8" t="inlineStr">
        <is>
          <t>OP-MNT-003</t>
        </is>
      </c>
      <c r="B16" s="8" t="inlineStr">
        <is>
          <t>BIR-OP-04</t>
        </is>
      </c>
      <c r="C16" s="8" t="inlineStr">
        <is>
          <t>What facility-level safety audit or near-miss reporting process exists, distinct from disclosed safety metrics?</t>
        </is>
      </c>
      <c r="D16" s="8" t="inlineStr">
        <is>
          <t>CIL Architecture Team</t>
        </is>
      </c>
      <c r="E16" s="8" t="inlineStr">
        <is>
          <t>2026-06-28</t>
        </is>
      </c>
    </row>
    <row r="17" ht="15" customHeight="1" s="6">
      <c r="A17" s="8" t="inlineStr">
        <is>
          <t>OP-MNT-004</t>
        </is>
      </c>
      <c r="B17" s="8" t="inlineStr">
        <is>
          <t>BIR-OP-04</t>
        </is>
      </c>
      <c r="C17" s="8" t="inlineStr">
        <is>
          <t>What maintenance backlog or deferred maintenance does the enterprise carry?</t>
        </is>
      </c>
      <c r="D17" s="8" t="inlineStr">
        <is>
          <t>CIL Architecture Team</t>
        </is>
      </c>
      <c r="E17" s="8" t="inlineStr">
        <is>
          <t>2026-06-28</t>
        </is>
      </c>
    </row>
    <row r="18" ht="15" customHeight="1" s="6">
      <c r="A18" s="8" t="inlineStr">
        <is>
          <t>OP-DWN-001</t>
        </is>
      </c>
      <c r="B18" s="8" t="inlineStr">
        <is>
          <t>BIR-OP-05</t>
        </is>
      </c>
      <c r="C18" s="8" t="inlineStr">
        <is>
          <t>What unplanned operational downtime has the enterprise experienced in the current period?</t>
        </is>
      </c>
      <c r="D18" s="8" t="inlineStr">
        <is>
          <t>CIL Architecture Team</t>
        </is>
      </c>
      <c r="E18" s="8" t="inlineStr">
        <is>
          <t>2026-06-28</t>
        </is>
      </c>
    </row>
    <row r="19" ht="15" customHeight="1" s="6">
      <c r="A19" s="8" t="inlineStr">
        <is>
          <t>OP-DWN-002</t>
        </is>
      </c>
      <c r="B19" s="8" t="inlineStr">
        <is>
          <t>BIR-OP-05</t>
        </is>
      </c>
      <c r="C19" s="8" t="inlineStr">
        <is>
          <t>What root cause analysis process exists for significant operational disruptions?</t>
        </is>
      </c>
      <c r="D19" s="8" t="inlineStr">
        <is>
          <t>CIL Architecture Team</t>
        </is>
      </c>
      <c r="E19" s="8" t="inlineStr">
        <is>
          <t>2026-06-28</t>
        </is>
      </c>
    </row>
    <row r="20" ht="15" customHeight="1" s="6">
      <c r="A20" s="8" t="inlineStr">
        <is>
          <t>OP-DWN-003</t>
        </is>
      </c>
      <c r="B20" s="8" t="inlineStr">
        <is>
          <t>BIR-OP-05</t>
        </is>
      </c>
      <c r="C20" s="8" t="inlineStr">
        <is>
          <t>What business continuity/operational recovery time has the enterprise achieved following a disruption?</t>
        </is>
      </c>
      <c r="D20" s="8" t="inlineStr">
        <is>
          <t>CIL Architecture Team</t>
        </is>
      </c>
      <c r="E20" s="8" t="inlineStr">
        <is>
          <t>2026-06-28</t>
        </is>
      </c>
    </row>
    <row r="21" ht="15" customHeight="1" s="6">
      <c r="A21" s="8" t="inlineStr">
        <is>
          <t>OP-CST-001</t>
        </is>
      </c>
      <c r="B21" s="8" t="inlineStr">
        <is>
          <t>BIR-OP-07</t>
        </is>
      </c>
      <c r="C21" s="8" t="inlineStr">
        <is>
          <t>What is the enterprise's cost of goods sold/cost of service breakdown by operational driver?</t>
        </is>
      </c>
      <c r="D21" s="8" t="inlineStr">
        <is>
          <t>CIL Architecture Team</t>
        </is>
      </c>
      <c r="E21" s="8" t="inlineStr">
        <is>
          <t>2026-06-28</t>
        </is>
      </c>
    </row>
    <row r="22" ht="15" customHeight="1" s="6">
      <c r="A22" s="8" t="inlineStr">
        <is>
          <t>OP-CST-002</t>
        </is>
      </c>
      <c r="B22" s="8" t="inlineStr">
        <is>
          <t>BIR-OP-07</t>
        </is>
      </c>
      <c r="C22" s="8" t="inlineStr">
        <is>
          <t>What unit production cost trend does the enterprise track?</t>
        </is>
      </c>
      <c r="D22" s="8" t="inlineStr">
        <is>
          <t>CIL Architecture Team</t>
        </is>
      </c>
      <c r="E22" s="8" t="inlineStr">
        <is>
          <t>2026-06-28</t>
        </is>
      </c>
    </row>
    <row r="23" ht="15" customHeight="1" s="6">
      <c r="A23" s="8" t="inlineStr">
        <is>
          <t>OP-CST-003</t>
        </is>
      </c>
      <c r="B23" s="8" t="inlineStr">
        <is>
          <t>BIR-OP-07</t>
        </is>
      </c>
      <c r="C23" s="8" t="inlineStr">
        <is>
          <t>What operational cost reduction initiative is the enterprise pursuing?</t>
        </is>
      </c>
      <c r="D23" s="8" t="inlineStr">
        <is>
          <t>CIL Architecture Team</t>
        </is>
      </c>
      <c r="E23" s="8" t="inlineStr">
        <is>
          <t>2026-06-28</t>
        </is>
      </c>
    </row>
    <row r="24" ht="15" customHeight="1" s="6">
      <c r="A24" s="8" t="inlineStr">
        <is>
          <t>OP-ENG-001</t>
        </is>
      </c>
      <c r="B24" s="8" t="inlineStr">
        <is>
          <t>BIR-OP-08</t>
        </is>
      </c>
      <c r="C24" s="8" t="inlineStr">
        <is>
          <t>What is the enterprise's energy cost per unit of production (operational-cost framing, distinct from absolute consumption disclosure)?</t>
        </is>
      </c>
      <c r="D24" s="8" t="inlineStr">
        <is>
          <t>CIL Architecture Team</t>
        </is>
      </c>
      <c r="E24" s="8" t="inlineStr">
        <is>
          <t>2026-06-28</t>
        </is>
      </c>
    </row>
    <row r="25" ht="15" customHeight="1" s="6">
      <c r="A25" s="8" t="inlineStr">
        <is>
          <t>OP-ENG-002</t>
        </is>
      </c>
      <c r="B25" s="8" t="inlineStr">
        <is>
          <t>BIR-OP-08</t>
        </is>
      </c>
      <c r="C25" s="8" t="inlineStr">
        <is>
          <t>What water or raw material cost efficiency ratio does the enterprise track operationally?</t>
        </is>
      </c>
      <c r="D25" s="8" t="inlineStr">
        <is>
          <t>CIL Architecture Team</t>
        </is>
      </c>
      <c r="E25" s="8" t="inlineStr">
        <is>
          <t>2026-06-28</t>
        </is>
      </c>
    </row>
    <row r="26" ht="15" customHeight="1" s="6">
      <c r="A26" s="8" t="inlineStr">
        <is>
          <t>OP-ENG-003</t>
        </is>
      </c>
      <c r="B26" s="8" t="inlineStr">
        <is>
          <t>BIR-OP-08</t>
        </is>
      </c>
      <c r="C26" s="8" t="inlineStr">
        <is>
          <t>What operational efficiency investment (e.g. equipment upgrade for energy savings) has the enterprise made?</t>
        </is>
      </c>
      <c r="D26" s="8" t="inlineStr">
        <is>
          <t>CIL Architecture Team</t>
        </is>
      </c>
      <c r="E26" s="8" t="inlineStr">
        <is>
          <t>2026-06-28</t>
        </is>
      </c>
    </row>
    <row r="27" ht="15" customHeight="1" s="6">
      <c r="A27" s="8" t="inlineStr">
        <is>
          <t>OP-TEC-001</t>
        </is>
      </c>
      <c r="B27" s="8" t="inlineStr">
        <is>
          <t>BIR-OP-09</t>
        </is>
      </c>
      <c r="C27" s="8" t="inlineStr">
        <is>
          <t>What operational technology (OT) systems does the enterprise deploy on the factory/operations floor?</t>
        </is>
      </c>
      <c r="D27" s="8" t="inlineStr">
        <is>
          <t>CIL Architecture Team</t>
        </is>
      </c>
      <c r="E27" s="8" t="inlineStr">
        <is>
          <t>2026-06-28</t>
        </is>
      </c>
    </row>
    <row r="28" ht="15" customHeight="1" s="6">
      <c r="A28" s="8" t="inlineStr">
        <is>
          <t>OP-TEC-002</t>
        </is>
      </c>
      <c r="B28" s="8" t="inlineStr">
        <is>
          <t>BIR-OP-09</t>
        </is>
      </c>
      <c r="C28" s="8" t="inlineStr">
        <is>
          <t>What automation or robotics deployment does the enterprise have in its operations?</t>
        </is>
      </c>
      <c r="D28" s="8" t="inlineStr">
        <is>
          <t>CIL Architecture Team</t>
        </is>
      </c>
      <c r="E28" s="8" t="inlineStr">
        <is>
          <t>2026-06-28</t>
        </is>
      </c>
    </row>
    <row r="29" ht="15" customHeight="1" s="6">
      <c r="A29" s="8" t="inlineStr">
        <is>
          <t>OP-TEC-003</t>
        </is>
      </c>
      <c r="B29" s="8" t="inlineStr">
        <is>
          <t>BIR-OP-09</t>
        </is>
      </c>
      <c r="C29" s="8" t="inlineStr">
        <is>
          <t>What digital twin or real-time operational monitoring capability does the enterprise maintain?</t>
        </is>
      </c>
      <c r="D29" s="8" t="inlineStr">
        <is>
          <t>CIL Architecture Team</t>
        </is>
      </c>
      <c r="E29" s="8" t="inlineStr">
        <is>
          <t>2026-06-28</t>
        </is>
      </c>
    </row>
    <row r="30" ht="15" customHeight="1" s="6">
      <c r="A30" s="8" t="inlineStr">
        <is>
          <t>OP-DEP-001</t>
        </is>
      </c>
      <c r="B30" s="8" t="inlineStr">
        <is>
          <t>BIR-OP-06</t>
        </is>
      </c>
      <c r="C30" s="8" t="inlineStr">
        <is>
          <t>What formal single-point-of-failure mapping or business impact analysis process does the enterprise perform on its production operations?</t>
        </is>
      </c>
      <c r="D30" s="8" t="inlineStr">
        <is>
          <t>CIL Architecture Team</t>
        </is>
      </c>
      <c r="E30" s="8" t="inlineStr">
        <is>
          <t>2026-06-28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1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12" customWidth="1" style="5" min="3" max="3"/>
    <col width="24" customWidth="1" style="5" min="4" max="5"/>
    <col width="23" customWidth="1" style="5" min="6" max="6"/>
    <col width="39" customWidth="1" style="5" min="7" max="7"/>
    <col width="55" customWidth="1" style="5" min="8" max="8"/>
    <col width="18" customWidth="1" style="5" min="9" max="9"/>
    <col width="14" customWidth="1" style="5" min="10" max="10"/>
    <col width="55" customWidth="1" style="5" min="11" max="11"/>
    <col width="26" customWidth="1" style="5" min="12" max="12"/>
    <col width="24" customWidth="1" style="5" min="13" max="13"/>
    <col width="13" customWidth="1" style="5" min="14" max="14"/>
    <col width="30" customWidth="1" style="5" min="15" max="15"/>
    <col width="55" customWidth="1" style="5" min="16" max="16"/>
    <col width="12" customWidth="1" style="5" min="17" max="17"/>
    <col width="55" customWidth="1" style="5" min="18" max="19"/>
  </cols>
  <sheetData>
    <row r="1" ht="15" customHeight="1" s="6">
      <c r="A1" s="7" t="inlineStr">
        <is>
          <t>CDE ID</t>
        </is>
      </c>
      <c r="B1" s="7" t="inlineStr">
        <is>
          <t>CDE Name</t>
        </is>
      </c>
      <c r="C1" s="7" t="inlineStr">
        <is>
          <t>Data Type</t>
        </is>
      </c>
      <c r="D1" s="7" t="inlineStr">
        <is>
          <t>Executive Criticality</t>
        </is>
      </c>
      <c r="E1" s="7" t="inlineStr">
        <is>
          <t>Framework Criticality</t>
        </is>
      </c>
      <c r="F1" s="7" t="inlineStr">
        <is>
          <t>Acquisition Priority</t>
        </is>
      </c>
      <c r="G1" s="7" t="inlineStr">
        <is>
          <t>Validation Rule</t>
        </is>
      </c>
      <c r="H1" s="7" t="inlineStr">
        <is>
          <t>Validation Rule (Parseable)</t>
        </is>
      </c>
      <c r="I1" s="7" t="inlineStr">
        <is>
          <t>Temporal</t>
        </is>
      </c>
      <c r="J1" s="7" t="inlineStr">
        <is>
          <t>Cardinality</t>
        </is>
      </c>
      <c r="K1" s="7" t="inlineStr">
        <is>
          <t>Aggregation Rule</t>
        </is>
      </c>
      <c r="L1" s="7" t="inlineStr">
        <is>
          <t>Default Evidence Source</t>
        </is>
      </c>
      <c r="M1" s="7" t="inlineStr">
        <is>
          <t>Created By</t>
        </is>
      </c>
      <c r="N1" s="7" t="inlineStr">
        <is>
          <t>Date Added</t>
        </is>
      </c>
      <c r="O1" s="7" t="inlineStr">
        <is>
          <t>Source System</t>
        </is>
      </c>
      <c r="P1" s="7" t="inlineStr">
        <is>
          <t>Node Applicability</t>
        </is>
      </c>
      <c r="Q1" s="7" t="inlineStr">
        <is>
          <t>CDE Scope</t>
        </is>
      </c>
      <c r="R1" s="7" t="inlineStr">
        <is>
          <t>Framework Tier Eligibility</t>
        </is>
      </c>
      <c r="S1" s="7" t="inlineStr">
        <is>
          <t>Domain Ownership Note (Binding 6)</t>
        </is>
      </c>
    </row>
    <row r="2" ht="15" customHeight="1" s="6">
      <c r="A2" s="8" t="inlineStr">
        <is>
          <t>CDE-O001</t>
        </is>
      </c>
      <c r="B2" s="8" t="inlineStr">
        <is>
          <t>Manufacturing/Service-Delivery Facility Inventory (Name/Location)</t>
        </is>
      </c>
      <c r="C2" s="8" t="inlineStr">
        <is>
          <t>Text</t>
        </is>
      </c>
      <c r="D2" s="8" t="inlineStr">
        <is>
          <t>Required</t>
        </is>
      </c>
      <c r="E2" s="8" t="inlineStr">
        <is>
          <t>Universal</t>
        </is>
      </c>
      <c r="F2" s="8" t="inlineStr">
        <is>
          <t>P1</t>
        </is>
      </c>
      <c r="G2" s="8" t="inlineStr">
        <is>
          <t>Non-empty text</t>
        </is>
      </c>
      <c r="H2" s="8" t="inlineStr">
        <is>
          <t>TYPE:TEXT</t>
        </is>
      </c>
      <c r="I2" s="8" t="inlineStr">
        <is>
          <t>Effective-dated</t>
        </is>
      </c>
      <c r="J2" s="8" t="inlineStr">
        <is>
          <t>One-to-many</t>
        </is>
      </c>
      <c r="K2" s="8" t="inlineStr">
        <is>
          <t>N/A — not a one-to-many numeric field</t>
        </is>
      </c>
      <c r="L2" s="8" t="inlineStr">
        <is>
          <t>User Validation</t>
        </is>
      </c>
      <c r="M2" s="8" t="inlineStr">
        <is>
          <t>CIL Architecture Team</t>
        </is>
      </c>
      <c r="N2" s="8" t="inlineStr">
        <is>
          <t>2026-06-28</t>
        </is>
      </c>
      <c r="O2" s="8" t="inlineStr">
        <is>
          <t>CorpStage CIL Registry v1.0</t>
        </is>
      </c>
      <c r="P2" s="8" t="inlineStr">
        <is>
          <t>Plant, Site, Company, Group (collected at lowest defined node, aggregates upward)</t>
        </is>
      </c>
      <c r="Q2" s="8" t="inlineStr">
        <is>
          <t>Global</t>
        </is>
      </c>
      <c r="R2" s="8" t="inlineStr">
        <is>
          <t>Tier 1 (Standard) — available to all frameworks and all customers</t>
        </is>
      </c>
      <c r="S2" s="8" t="inlineStr">
        <is>
          <t>Owned by Operational Intelligence per Binding 6(a) — captures the OPERATIONAL-CAPACITY fact. Domain 8 Legal Intelligence's CDE-L069/070 (Material Real Estate Lease Inventory/Term) own the LEGAL-PROCESS view of the same physical location (lease terms, title) — this domain must reference Domain 8's facility inventory, not duplicate the lease facts.</t>
        </is>
      </c>
    </row>
    <row r="3" ht="15" customHeight="1" s="6">
      <c r="A3" s="8" t="inlineStr">
        <is>
          <t>CDE-O002</t>
        </is>
      </c>
      <c r="B3" s="8" t="inlineStr">
        <is>
          <t>Facility Type (Manufacturing/Distribution/Service/Office)</t>
        </is>
      </c>
      <c r="C3" s="8" t="inlineStr">
        <is>
          <t>Text</t>
        </is>
      </c>
      <c r="D3" s="8" t="inlineStr">
        <is>
          <t>Required</t>
        </is>
      </c>
      <c r="E3" s="8" t="inlineStr">
        <is>
          <t>Multi</t>
        </is>
      </c>
      <c r="F3" s="8" t="inlineStr">
        <is>
          <t>P1</t>
        </is>
      </c>
      <c r="G3" s="8" t="inlineStr">
        <is>
          <t>Non-empty text</t>
        </is>
      </c>
      <c r="H3" s="8" t="inlineStr">
        <is>
          <t>TYPE:TEXT</t>
        </is>
      </c>
      <c r="I3" s="8" t="inlineStr">
        <is>
          <t>Effective-dated</t>
        </is>
      </c>
      <c r="J3" s="8" t="inlineStr">
        <is>
          <t>One-to-many</t>
        </is>
      </c>
      <c r="K3" s="8" t="inlineStr">
        <is>
          <t>N/A — not a one-to-many numeric field</t>
        </is>
      </c>
      <c r="L3" s="8" t="inlineStr">
        <is>
          <t>User Validation</t>
        </is>
      </c>
      <c r="M3" s="8" t="inlineStr">
        <is>
          <t>CIL Architecture Team</t>
        </is>
      </c>
      <c r="N3" s="8" t="inlineStr">
        <is>
          <t>2026-06-28</t>
        </is>
      </c>
      <c r="O3" s="8" t="inlineStr">
        <is>
          <t>CorpStage CIL Registry v1.0</t>
        </is>
      </c>
      <c r="P3" s="8" t="inlineStr">
        <is>
          <t>Plant, Site, Company, Group (collected at lowest defined node, aggregates upward)</t>
        </is>
      </c>
      <c r="Q3" s="8" t="inlineStr">
        <is>
          <t>Global</t>
        </is>
      </c>
      <c r="R3" s="8" t="inlineStr">
        <is>
          <t>Tier 1 (Standard) — available to all frameworks and all customers</t>
        </is>
      </c>
      <c r="S3" s="8" t="inlineStr">
        <is>
          <t>Owned by D09 Operational Intelligence as an operational performance fact. Financial cost of operational performance owned by D03. D09 owns the operational system-of-record data; D03 owns the financial translation of operational outcomes.</t>
        </is>
      </c>
    </row>
    <row r="4" ht="15" customHeight="1" s="6">
      <c r="A4" s="8" t="inlineStr">
        <is>
          <t>CDE-O003</t>
        </is>
      </c>
      <c r="B4" s="8" t="inlineStr">
        <is>
          <t>Total Facility Count (Operational)</t>
        </is>
      </c>
      <c r="C4" s="8" t="inlineStr">
        <is>
          <t>Numeric</t>
        </is>
      </c>
      <c r="D4" s="8" t="inlineStr">
        <is>
          <t>Recommended</t>
        </is>
      </c>
      <c r="E4" s="8" t="inlineStr">
        <is>
          <t>Optional</t>
        </is>
      </c>
      <c r="F4" s="8" t="inlineStr">
        <is>
          <t>P2</t>
        </is>
      </c>
      <c r="G4" s="8" t="inlineStr">
        <is>
          <t>&gt;=0, integer</t>
        </is>
      </c>
      <c r="H4" s="8" t="inlineStr">
        <is>
          <t>TYPE:INTEGER|MIN:0</t>
        </is>
      </c>
      <c r="I4" s="8" t="inlineStr">
        <is>
          <t>Effective-dated</t>
        </is>
      </c>
      <c r="J4" s="8" t="inlineStr">
        <is>
          <t>One-to-one</t>
        </is>
      </c>
      <c r="K4" s="8" t="inlineStr">
        <is>
          <t>N/A — not a one-to-many numeric field</t>
        </is>
      </c>
      <c r="L4" s="8" t="inlineStr">
        <is>
          <t>User Validation</t>
        </is>
      </c>
      <c r="M4" s="8" t="inlineStr">
        <is>
          <t>CIL Architecture Team</t>
        </is>
      </c>
      <c r="N4" s="8" t="inlineStr">
        <is>
          <t>2026-06-28</t>
        </is>
      </c>
      <c r="O4" s="8" t="inlineStr">
        <is>
          <t>CorpStage CIL Registry v1.0</t>
        </is>
      </c>
      <c r="P4" s="8" t="inlineStr">
        <is>
          <t>Group only (single enterprise-wide fact, does not repeat per node)</t>
        </is>
      </c>
      <c r="Q4" s="8" t="inlineStr">
        <is>
          <t>Global</t>
        </is>
      </c>
      <c r="R4" s="8" t="inlineStr">
        <is>
          <t>Tier 1 (Standard) — available to all frameworks and all customers</t>
        </is>
      </c>
      <c r="S4" s="8" t="inlineStr">
        <is>
          <t>Owned by D09 Operational Intelligence as an operational performance fact. Financial cost of operational performance owned by D03. D09 owns the operational system-of-record data; D03 owns the financial translation of operational outcomes.</t>
        </is>
      </c>
    </row>
    <row r="5" ht="15" customHeight="1" s="6">
      <c r="A5" s="8" t="inlineStr">
        <is>
          <t>CDE-O004</t>
        </is>
      </c>
      <c r="B5" s="8" t="inlineStr">
        <is>
          <t>Facility Rated Production Capacity (Units per Period)</t>
        </is>
      </c>
      <c r="C5" s="8" t="inlineStr">
        <is>
          <t>Numeric</t>
        </is>
      </c>
      <c r="D5" s="8" t="inlineStr">
        <is>
          <t>Required</t>
        </is>
      </c>
      <c r="E5" s="8" t="inlineStr">
        <is>
          <t>Multi</t>
        </is>
      </c>
      <c r="F5" s="8" t="inlineStr">
        <is>
          <t>P1</t>
        </is>
      </c>
      <c r="G5" s="8" t="inlineStr">
        <is>
          <t>&gt;=0, numeric</t>
        </is>
      </c>
      <c r="H5" s="8" t="inlineStr">
        <is>
          <t>TYPE:NUMERIC|MIN:0</t>
        </is>
      </c>
      <c r="I5" s="8" t="inlineStr">
        <is>
          <t>Effective-dated</t>
        </is>
      </c>
      <c r="J5" s="8" t="inlineStr">
        <is>
          <t>One-to-many</t>
        </is>
      </c>
      <c r="K5" s="8" t="inlineStr">
        <is>
          <t>Independent per facility; SUM gives total enterprise capacity if reporting aggregate</t>
        </is>
      </c>
      <c r="L5" s="8" t="inlineStr">
        <is>
          <t>User Validation</t>
        </is>
      </c>
      <c r="M5" s="8" t="inlineStr">
        <is>
          <t>CIL Architecture Team</t>
        </is>
      </c>
      <c r="N5" s="8" t="inlineStr">
        <is>
          <t>2026-06-28</t>
        </is>
      </c>
      <c r="O5" s="8" t="inlineStr">
        <is>
          <t>CorpStage CIL Registry v1.0</t>
        </is>
      </c>
      <c r="P5" s="8" t="inlineStr">
        <is>
          <t>Plant, Site, Company, Group (collected at lowest defined node, aggregates upward)</t>
        </is>
      </c>
      <c r="Q5" s="8" t="inlineStr">
        <is>
          <t>Global</t>
        </is>
      </c>
      <c r="R5" s="8" t="inlineStr">
        <is>
          <t>Tier 1 (Standard) — available to all frameworks and all customers</t>
        </is>
      </c>
      <c r="S5" s="8" t="inlineStr">
        <is>
          <t>Owned by D09 Operational Intelligence as an operational performance fact. Financial cost of operational performance owned by D03. D09 owns the operational system-of-record data; D03 owns the financial translation of operational outcomes.</t>
        </is>
      </c>
    </row>
    <row r="6" ht="15" customHeight="1" s="6">
      <c r="A6" s="8" t="inlineStr">
        <is>
          <t>CDE-O005</t>
        </is>
      </c>
      <c r="B6" s="8" t="inlineStr">
        <is>
          <t>Capacity Measurement Unit (Units/Tonnes/Hours/Other)</t>
        </is>
      </c>
      <c r="C6" s="8" t="inlineStr">
        <is>
          <t>Text</t>
        </is>
      </c>
      <c r="D6" s="8" t="inlineStr">
        <is>
          <t>Recommended</t>
        </is>
      </c>
      <c r="E6" s="8" t="inlineStr">
        <is>
          <t>Optional</t>
        </is>
      </c>
      <c r="F6" s="8" t="inlineStr">
        <is>
          <t>P2</t>
        </is>
      </c>
      <c r="G6" s="8" t="inlineStr">
        <is>
          <t>Non-empty text</t>
        </is>
      </c>
      <c r="H6" s="8" t="inlineStr">
        <is>
          <t>TYPE:TEXT</t>
        </is>
      </c>
      <c r="I6" s="8" t="inlineStr">
        <is>
          <t>Point-in-time</t>
        </is>
      </c>
      <c r="J6" s="8" t="inlineStr">
        <is>
          <t>One-to-many</t>
        </is>
      </c>
      <c r="K6" s="8" t="inlineStr">
        <is>
          <t>N/A — not a one-to-many numeric field</t>
        </is>
      </c>
      <c r="L6" s="8" t="inlineStr">
        <is>
          <t>User Validation</t>
        </is>
      </c>
      <c r="M6" s="8" t="inlineStr">
        <is>
          <t>CIL Architecture Team</t>
        </is>
      </c>
      <c r="N6" s="8" t="inlineStr">
        <is>
          <t>2026-06-28</t>
        </is>
      </c>
      <c r="O6" s="8" t="inlineStr">
        <is>
          <t>CorpStage CIL Registry v1.0</t>
        </is>
      </c>
      <c r="P6" s="8" t="inlineStr">
        <is>
          <t>Plant, Site, Company, Group (collected at lowest defined node, aggregates upward)</t>
        </is>
      </c>
      <c r="Q6" s="8" t="inlineStr">
        <is>
          <t>Global</t>
        </is>
      </c>
      <c r="R6" s="8" t="inlineStr">
        <is>
          <t>Tier 1 (Standard) — available to all frameworks and all customers</t>
        </is>
      </c>
      <c r="S6" s="8" t="inlineStr">
        <is>
          <t>Owned by D09 Operational Intelligence as an operational performance fact. Financial cost of operational performance owned by D03. D09 owns the operational system-of-record data; D03 owns the financial translation of operational outcomes.</t>
        </is>
      </c>
    </row>
    <row r="7" ht="15" customHeight="1" s="6">
      <c r="A7" s="8" t="inlineStr">
        <is>
          <t>CDE-O006</t>
        </is>
      </c>
      <c r="B7" s="8" t="inlineStr">
        <is>
          <t>Facility Ownership Structure (Owned/Leased/Joint Venture)</t>
        </is>
      </c>
      <c r="C7" s="8" t="inlineStr">
        <is>
          <t>Text</t>
        </is>
      </c>
      <c r="D7" s="8" t="inlineStr">
        <is>
          <t>Required</t>
        </is>
      </c>
      <c r="E7" s="8" t="inlineStr">
        <is>
          <t>Multi</t>
        </is>
      </c>
      <c r="F7" s="8" t="inlineStr">
        <is>
          <t>P1</t>
        </is>
      </c>
      <c r="G7" s="8" t="inlineStr">
        <is>
          <t>Owned/Leased/Joint Venture</t>
        </is>
      </c>
      <c r="H7" s="8" t="inlineStr">
        <is>
          <t>TYPE:ENUM|ALLOWED:OWNED,LEASED,JOINT_VENTURE</t>
        </is>
      </c>
      <c r="I7" s="8" t="inlineStr">
        <is>
          <t>Effective-dated</t>
        </is>
      </c>
      <c r="J7" s="8" t="inlineStr">
        <is>
          <t>One-to-many</t>
        </is>
      </c>
      <c r="K7" s="8" t="inlineStr">
        <is>
          <t>N/A — not a one-to-many numeric field</t>
        </is>
      </c>
      <c r="L7" s="8" t="inlineStr">
        <is>
          <t>User Validation</t>
        </is>
      </c>
      <c r="M7" s="8" t="inlineStr">
        <is>
          <t>CIL Architecture Team</t>
        </is>
      </c>
      <c r="N7" s="8" t="inlineStr">
        <is>
          <t>2026-06-28</t>
        </is>
      </c>
      <c r="O7" s="8" t="inlineStr">
        <is>
          <t>CorpStage CIL Registry v1.0</t>
        </is>
      </c>
      <c r="P7" s="8" t="inlineStr">
        <is>
          <t>Plant, Site, Company, Group (collected at lowest defined node, aggregates upward)</t>
        </is>
      </c>
      <c r="Q7" s="8" t="inlineStr">
        <is>
          <t>Global</t>
        </is>
      </c>
      <c r="R7" s="8" t="inlineStr">
        <is>
          <t>Tier 1 (Standard) — available to all frameworks and all customers</t>
        </is>
      </c>
      <c r="S7" s="8" t="inlineStr">
        <is>
          <t>Owned by Operational Intelligence per Binding 6(a) — captures the OPERATIONAL-CAPACITY fact. Domain 8 Legal Intelligence's CDE-L069/070 (Material Real Estate Lease Inventory/Term) own the LEGAL-PROCESS view of the same physical location (lease terms, title) — this domain must reference Domain 8's facility inventory, not duplicate the lease facts.</t>
        </is>
      </c>
    </row>
    <row r="8" ht="15" customHeight="1" s="6">
      <c r="A8" s="8" t="inlineStr">
        <is>
          <t>CDE-O007</t>
        </is>
      </c>
      <c r="B8" s="8" t="inlineStr">
        <is>
          <t>Facility ISO 9001 (Quality) Certification Held</t>
        </is>
      </c>
      <c r="C8" s="8" t="inlineStr">
        <is>
          <t>Boolean</t>
        </is>
      </c>
      <c r="D8" s="8" t="inlineStr">
        <is>
          <t>Recommended</t>
        </is>
      </c>
      <c r="E8" s="8" t="inlineStr">
        <is>
          <t>Optional</t>
        </is>
      </c>
      <c r="F8" s="8" t="inlineStr">
        <is>
          <t>P2</t>
        </is>
      </c>
      <c r="G8" s="8" t="inlineStr">
        <is>
          <t>True/False</t>
        </is>
      </c>
      <c r="H8" s="8" t="inlineStr">
        <is>
          <t>TYPE:BOOLEAN|ALLOWED:TRUE,FALSE</t>
        </is>
      </c>
      <c r="I8" s="8" t="inlineStr">
        <is>
          <t>Effective-dated</t>
        </is>
      </c>
      <c r="J8" s="8" t="inlineStr">
        <is>
          <t>One-to-many</t>
        </is>
      </c>
      <c r="K8" s="8" t="inlineStr">
        <is>
          <t>N/A — not a one-to-many numeric field</t>
        </is>
      </c>
      <c r="L8" s="8" t="inlineStr">
        <is>
          <t>User Validation</t>
        </is>
      </c>
      <c r="M8" s="8" t="inlineStr">
        <is>
          <t>CIL Architecture Team</t>
        </is>
      </c>
      <c r="N8" s="8" t="inlineStr">
        <is>
          <t>2026-06-28</t>
        </is>
      </c>
      <c r="O8" s="8" t="inlineStr">
        <is>
          <t>CorpStage CIL Registry v1.0</t>
        </is>
      </c>
      <c r="P8" s="8" t="inlineStr">
        <is>
          <t>Plant, Site, Company, Group (collected at lowest defined node, aggregates upward)</t>
        </is>
      </c>
      <c r="Q8" s="8" t="inlineStr">
        <is>
          <t>Global</t>
        </is>
      </c>
      <c r="R8" s="8" t="inlineStr">
        <is>
          <t>Tier 1 (Standard) — available to all frameworks and all customers</t>
        </is>
      </c>
      <c r="S8" s="8" t="inlineStr">
        <is>
          <t>ISO 9001:2015 currently in force; ISO 9001:2026 (revised version) expected publication September 2026 per verified search — this CIL captures certification-status EXISTENCE which is version-agnostic, but a future pass should add a distinct CDE for which version (2015 vs 2026) once the revision publishes and the 3-year transition period (through 2029) begins.</t>
        </is>
      </c>
    </row>
    <row r="9" ht="15" customHeight="1" s="6">
      <c r="A9" s="8" t="inlineStr">
        <is>
          <t>CDE-O008</t>
        </is>
      </c>
      <c r="B9" s="8" t="inlineStr">
        <is>
          <t>Facility ISO 14001 (Environmental) Certification Held</t>
        </is>
      </c>
      <c r="C9" s="8" t="inlineStr">
        <is>
          <t>Boolean</t>
        </is>
      </c>
      <c r="D9" s="8" t="inlineStr">
        <is>
          <t>Recommended</t>
        </is>
      </c>
      <c r="E9" s="8" t="inlineStr">
        <is>
          <t>Optional</t>
        </is>
      </c>
      <c r="F9" s="8" t="inlineStr">
        <is>
          <t>P2</t>
        </is>
      </c>
      <c r="G9" s="8" t="inlineStr">
        <is>
          <t>True/False</t>
        </is>
      </c>
      <c r="H9" s="8" t="inlineStr">
        <is>
          <t>TYPE:BOOLEAN|ALLOWED:TRUE,FALSE</t>
        </is>
      </c>
      <c r="I9" s="8" t="inlineStr">
        <is>
          <t>Effective-dated</t>
        </is>
      </c>
      <c r="J9" s="8" t="inlineStr">
        <is>
          <t>One-to-many</t>
        </is>
      </c>
      <c r="K9" s="8" t="inlineStr">
        <is>
          <t>N/A — not a one-to-many numeric field</t>
        </is>
      </c>
      <c r="L9" s="8" t="inlineStr">
        <is>
          <t>User Validation</t>
        </is>
      </c>
      <c r="M9" s="8" t="inlineStr">
        <is>
          <t>CIL Architecture Team</t>
        </is>
      </c>
      <c r="N9" s="8" t="inlineStr">
        <is>
          <t>2026-06-28</t>
        </is>
      </c>
      <c r="O9" s="8" t="inlineStr">
        <is>
          <t>CorpStage CIL Registry v1.0</t>
        </is>
      </c>
      <c r="P9" s="8" t="inlineStr">
        <is>
          <t>Plant, Site, Company, Group (collected at lowest defined node, aggregates upward)</t>
        </is>
      </c>
      <c r="Q9" s="8" t="inlineStr">
        <is>
          <t>Global</t>
        </is>
      </c>
      <c r="R9" s="8" t="inlineStr">
        <is>
          <t>Tier 1 (Standard) — available to all frameworks and all customers</t>
        </is>
      </c>
      <c r="S9" s="8" t="inlineStr">
        <is>
          <t>ISO 14001:2026 (revised version) was PUBLISHED 15 April 2026 per verified search, superseding ISO 14001:2015 — this CIL captures certification-status EXISTENCE which is version-agnostic, but a future pass should add a distinct CDE for which version a facility is certified to, given the active transition period now underway.</t>
        </is>
      </c>
    </row>
    <row r="10" ht="15" customHeight="1" s="6">
      <c r="A10" s="8" t="inlineStr">
        <is>
          <t>CDE-O009</t>
        </is>
      </c>
      <c r="B10" s="8" t="inlineStr">
        <is>
          <t>Facility ISO 45001 (OH&amp;S) Certification Held</t>
        </is>
      </c>
      <c r="C10" s="8" t="inlineStr">
        <is>
          <t>Boolean</t>
        </is>
      </c>
      <c r="D10" s="8" t="inlineStr">
        <is>
          <t>Recommended</t>
        </is>
      </c>
      <c r="E10" s="8" t="inlineStr">
        <is>
          <t>Optional</t>
        </is>
      </c>
      <c r="F10" s="8" t="inlineStr">
        <is>
          <t>P2</t>
        </is>
      </c>
      <c r="G10" s="8" t="inlineStr">
        <is>
          <t>True/False</t>
        </is>
      </c>
      <c r="H10" s="8" t="inlineStr">
        <is>
          <t>TYPE:BOOLEAN|ALLOWED:TRUE,FALSE</t>
        </is>
      </c>
      <c r="I10" s="8" t="inlineStr">
        <is>
          <t>Effective-dated</t>
        </is>
      </c>
      <c r="J10" s="8" t="inlineStr">
        <is>
          <t>One-to-many</t>
        </is>
      </c>
      <c r="K10" s="8" t="inlineStr">
        <is>
          <t>N/A — not a one-to-many numeric field</t>
        </is>
      </c>
      <c r="L10" s="8" t="inlineStr">
        <is>
          <t>User Validation</t>
        </is>
      </c>
      <c r="M10" s="8" t="inlineStr">
        <is>
          <t>CIL Architecture Team</t>
        </is>
      </c>
      <c r="N10" s="8" t="inlineStr">
        <is>
          <t>2026-06-28</t>
        </is>
      </c>
      <c r="O10" s="8" t="inlineStr">
        <is>
          <t>CorpStage CIL Registry v1.0</t>
        </is>
      </c>
      <c r="P10" s="8" t="inlineStr">
        <is>
          <t>Plant, Site, Company, Group (collected at lowest defined node, aggregates upward)</t>
        </is>
      </c>
      <c r="Q10" s="8" t="inlineStr">
        <is>
          <t>Global</t>
        </is>
      </c>
      <c r="R10" s="8" t="inlineStr">
        <is>
          <t>Tier 1 (Standard) — available to all frameworks and all customers</t>
        </is>
      </c>
      <c r="S10" s="8" t="inlineStr">
        <is>
          <t>ISO 45001:2018 remains the current, in-force version per verified search — its revision is still in Committee Draft phase with no confirmed publication date (likely 2027), so no version-currency action needed for this CDE at this time.</t>
        </is>
      </c>
    </row>
    <row r="11" ht="15" customHeight="1" s="6">
      <c r="A11" s="8" t="inlineStr">
        <is>
          <t>CDE-O010</t>
        </is>
      </c>
      <c r="B11" s="8" t="inlineStr">
        <is>
          <t>Overall Capacity Utilization Rate %</t>
        </is>
      </c>
      <c r="C11" s="8" t="inlineStr">
        <is>
          <t>Numeric</t>
        </is>
      </c>
      <c r="D11" s="8" t="inlineStr">
        <is>
          <t>Required</t>
        </is>
      </c>
      <c r="E11" s="8" t="inlineStr">
        <is>
          <t>Universal</t>
        </is>
      </c>
      <c r="F11" s="8" t="inlineStr">
        <is>
          <t>P1</t>
        </is>
      </c>
      <c r="G11" s="8" t="inlineStr">
        <is>
          <t>0-100, numeric</t>
        </is>
      </c>
      <c r="H11" s="8" t="inlineStr">
        <is>
          <t>TYPE:NUMERIC|MIN:0|MAX:100</t>
        </is>
      </c>
      <c r="I11" s="8" t="inlineStr">
        <is>
          <t>Effective-dated</t>
        </is>
      </c>
      <c r="J11" s="8" t="inlineStr">
        <is>
          <t>One-to-one</t>
        </is>
      </c>
      <c r="K11" s="8" t="inlineStr">
        <is>
          <t>N/A — not a one-to-many numeric field</t>
        </is>
      </c>
      <c r="L11" s="8" t="inlineStr">
        <is>
          <t>User Validation</t>
        </is>
      </c>
      <c r="M11" s="8" t="inlineStr">
        <is>
          <t>CIL Architecture Team</t>
        </is>
      </c>
      <c r="N11" s="8" t="inlineStr">
        <is>
          <t>2026-06-28</t>
        </is>
      </c>
      <c r="O11" s="8" t="inlineStr">
        <is>
          <t>CorpStage CIL Registry v1.0</t>
        </is>
      </c>
      <c r="P11" s="8" t="inlineStr">
        <is>
          <t>Group only (single enterprise-wide fact, does not repeat per node)</t>
        </is>
      </c>
      <c r="Q11" s="8" t="inlineStr">
        <is>
          <t>Global</t>
        </is>
      </c>
      <c r="R11" s="8" t="inlineStr">
        <is>
          <t>Tier 1 (Standard) — available to all frameworks and all customers</t>
        </is>
      </c>
      <c r="S11" s="8" t="inlineStr">
        <is>
          <t>Owned by D09 Operational Intelligence as an operational performance fact. Financial cost of operational performance owned by D03. D09 owns the operational system-of-record data; D03 owns the financial translation of operational outcomes.</t>
        </is>
      </c>
    </row>
    <row r="12" ht="15" customHeight="1" s="6">
      <c r="A12" s="8" t="inlineStr">
        <is>
          <t>CDE-O011</t>
        </is>
      </c>
      <c r="B12" s="8" t="inlineStr">
        <is>
          <t>Capacity Utilization Rate by Facility %</t>
        </is>
      </c>
      <c r="C12" s="8" t="inlineStr">
        <is>
          <t>Numeric</t>
        </is>
      </c>
      <c r="D12" s="8" t="inlineStr">
        <is>
          <t>Recommended</t>
        </is>
      </c>
      <c r="E12" s="8" t="inlineStr">
        <is>
          <t>Optional</t>
        </is>
      </c>
      <c r="F12" s="8" t="inlineStr">
        <is>
          <t>P2</t>
        </is>
      </c>
      <c r="G12" s="8" t="inlineStr">
        <is>
          <t>0-100, numeric</t>
        </is>
      </c>
      <c r="H12" s="8" t="inlineStr">
        <is>
          <t>TYPE:NUMERIC|MIN:0|MAX:100</t>
        </is>
      </c>
      <c r="I12" s="8" t="inlineStr">
        <is>
          <t>Effective-dated</t>
        </is>
      </c>
      <c r="J12" s="8" t="inlineStr">
        <is>
          <t>One-to-many</t>
        </is>
      </c>
      <c r="K12" s="8" t="inlineStr">
        <is>
          <t>Independent per facility; not aggregated (utilization rate is a ratio, not summable across facilities — Group-level rate must be recalculated from total throughput/total capacity, not averaged from facility percentages)</t>
        </is>
      </c>
      <c r="L12" s="8" t="inlineStr">
        <is>
          <t>User Validation</t>
        </is>
      </c>
      <c r="M12" s="8" t="inlineStr">
        <is>
          <t>CIL Architecture Team</t>
        </is>
      </c>
      <c r="N12" s="8" t="inlineStr">
        <is>
          <t>2026-06-28</t>
        </is>
      </c>
      <c r="O12" s="8" t="inlineStr">
        <is>
          <t>CorpStage CIL Registry v1.0</t>
        </is>
      </c>
      <c r="P12" s="8" t="inlineStr">
        <is>
          <t>Plant, Site, Company, Group (collected at lowest defined node, aggregates upward)</t>
        </is>
      </c>
      <c r="Q12" s="8" t="inlineStr">
        <is>
          <t>Global</t>
        </is>
      </c>
      <c r="R12" s="8" t="inlineStr">
        <is>
          <t>Tier 1 (Standard) — available to all frameworks and all customers</t>
        </is>
      </c>
      <c r="S12" s="8" t="inlineStr">
        <is>
          <t>Owned by D09 Operational Intelligence as an operational performance fact. Financial cost of operational performance owned by D03. D09 owns the operational system-of-record data; D03 owns the financial translation of operational outcomes.</t>
        </is>
      </c>
    </row>
    <row r="13" ht="15" customHeight="1" s="6">
      <c r="A13" s="8" t="inlineStr">
        <is>
          <t>CDE-O012</t>
        </is>
      </c>
      <c r="B13" s="8" t="inlineStr">
        <is>
          <t>Production Throughput per Facility/Line (Units per Period)</t>
        </is>
      </c>
      <c r="C13" s="8" t="inlineStr">
        <is>
          <t>Numeric</t>
        </is>
      </c>
      <c r="D13" s="8" t="inlineStr">
        <is>
          <t>Required</t>
        </is>
      </c>
      <c r="E13" s="8" t="inlineStr">
        <is>
          <t>Multi</t>
        </is>
      </c>
      <c r="F13" s="8" t="inlineStr">
        <is>
          <t>P1</t>
        </is>
      </c>
      <c r="G13" s="8" t="inlineStr">
        <is>
          <t>&gt;=0, numeric</t>
        </is>
      </c>
      <c r="H13" s="8" t="inlineStr">
        <is>
          <t>TYPE:NUMERIC|MIN:0</t>
        </is>
      </c>
      <c r="I13" s="8" t="inlineStr">
        <is>
          <t>Effective-dated</t>
        </is>
      </c>
      <c r="J13" s="8" t="inlineStr">
        <is>
          <t>One-to-many</t>
        </is>
      </c>
      <c r="K13" s="8" t="inlineStr">
        <is>
          <t>Independent per facility/line; SUM gives total enterprise throughput if reporting aggregate</t>
        </is>
      </c>
      <c r="L13" s="8" t="inlineStr">
        <is>
          <t>User Validation</t>
        </is>
      </c>
      <c r="M13" s="8" t="inlineStr">
        <is>
          <t>CIL Architecture Team</t>
        </is>
      </c>
      <c r="N13" s="8" t="inlineStr">
        <is>
          <t>2026-06-28</t>
        </is>
      </c>
      <c r="O13" s="8" t="inlineStr">
        <is>
          <t>CorpStage CIL Registry v1.0</t>
        </is>
      </c>
      <c r="P13" s="8" t="inlineStr">
        <is>
          <t>Plant, Site, Company, Group (collected at lowest defined node, aggregates upward)</t>
        </is>
      </c>
      <c r="Q13" s="8" t="inlineStr">
        <is>
          <t>Global</t>
        </is>
      </c>
      <c r="R13" s="8" t="inlineStr">
        <is>
          <t>Tier 1 (Standard) — available to all frameworks and all customers</t>
        </is>
      </c>
      <c r="S13" s="8" t="inlineStr">
        <is>
          <t>Owned by D09 Operational Intelligence as an operational performance fact. Financial cost of operational performance owned by D03. D09 owns the operational system-of-record data; D03 owns the financial translation of operational outcomes.</t>
        </is>
      </c>
    </row>
    <row r="14" ht="15" customHeight="1" s="6">
      <c r="A14" s="8" t="inlineStr">
        <is>
          <t>CDE-O013</t>
        </is>
      </c>
      <c r="B14" s="8" t="inlineStr">
        <is>
          <t>Overall Equipment Effectiveness (OEE) %</t>
        </is>
      </c>
      <c r="C14" s="8" t="inlineStr">
        <is>
          <t>Numeric</t>
        </is>
      </c>
      <c r="D14" s="8" t="inlineStr">
        <is>
          <t>Recommended</t>
        </is>
      </c>
      <c r="E14" s="8" t="inlineStr">
        <is>
          <t>Optional</t>
        </is>
      </c>
      <c r="F14" s="8" t="inlineStr">
        <is>
          <t>P2</t>
        </is>
      </c>
      <c r="G14" s="8" t="inlineStr">
        <is>
          <t>0-100, numeric</t>
        </is>
      </c>
      <c r="H14" s="8" t="inlineStr">
        <is>
          <t>TYPE:NUMERIC|MIN:0|MAX:100</t>
        </is>
      </c>
      <c r="I14" s="8" t="inlineStr">
        <is>
          <t>Effective-dated</t>
        </is>
      </c>
      <c r="J14" s="8" t="inlineStr">
        <is>
          <t>One-to-many</t>
        </is>
      </c>
      <c r="K14" s="8" t="inlineStr">
        <is>
          <t>Independent per facility; not aggregated (OEE is a ratio, not summable — Group-level OEE must be recalculated from underlying availability/performance/quality components, not averaged from facility percentages)</t>
        </is>
      </c>
      <c r="L14" s="8" t="inlineStr">
        <is>
          <t>User Validation</t>
        </is>
      </c>
      <c r="M14" s="8" t="inlineStr">
        <is>
          <t>CIL Architecture Team</t>
        </is>
      </c>
      <c r="N14" s="8" t="inlineStr">
        <is>
          <t>2026-06-28</t>
        </is>
      </c>
      <c r="O14" s="8" t="inlineStr">
        <is>
          <t>CorpStage CIL Registry v1.0</t>
        </is>
      </c>
      <c r="P14" s="8" t="inlineStr">
        <is>
          <t>Plant, Site, Company, Group (collected at lowest defined node, aggregates upward)</t>
        </is>
      </c>
      <c r="Q14" s="8" t="inlineStr">
        <is>
          <t>Global</t>
        </is>
      </c>
      <c r="R14" s="8" t="inlineStr">
        <is>
          <t>Tier 1 (Standard) — available to all frameworks and all customers</t>
        </is>
      </c>
      <c r="S14" s="8" t="inlineStr">
        <is>
          <t>Owned by D09 Operational Intelligence as an operational performance fact. Financial cost of operational performance owned by D03. D09 owns the operational system-of-record data; D03 owns the financial translation of operational outcomes.</t>
        </is>
      </c>
    </row>
    <row r="15" ht="15" customHeight="1" s="6">
      <c r="A15" s="8" t="inlineStr">
        <is>
          <t>CDE-O014</t>
        </is>
      </c>
      <c r="B15" s="8" t="inlineStr">
        <is>
          <t>OEE Tracking System/Methodology Used</t>
        </is>
      </c>
      <c r="C15" s="8" t="inlineStr">
        <is>
          <t>Text</t>
        </is>
      </c>
      <c r="D15" s="8" t="inlineStr">
        <is>
          <t>Supplemental</t>
        </is>
      </c>
      <c r="E15" s="8" t="inlineStr">
        <is>
          <t>Optional</t>
        </is>
      </c>
      <c r="F15" s="8" t="inlineStr">
        <is>
          <t>P3</t>
        </is>
      </c>
      <c r="G15" s="8" t="inlineStr">
        <is>
          <t>Non-empty text</t>
        </is>
      </c>
      <c r="H15" s="8" t="inlineStr">
        <is>
          <t>TYPE:TEXT</t>
        </is>
      </c>
      <c r="I15" s="8" t="inlineStr">
        <is>
          <t>Point-in-time</t>
        </is>
      </c>
      <c r="J15" s="8" t="inlineStr">
        <is>
          <t>One-to-one</t>
        </is>
      </c>
      <c r="K15" s="8" t="inlineStr">
        <is>
          <t>N/A — not a one-to-many numeric field</t>
        </is>
      </c>
      <c r="L15" s="8" t="inlineStr">
        <is>
          <t>User Validation</t>
        </is>
      </c>
      <c r="M15" s="8" t="inlineStr">
        <is>
          <t>CIL Architecture Team</t>
        </is>
      </c>
      <c r="N15" s="8" t="inlineStr">
        <is>
          <t>2026-06-28</t>
        </is>
      </c>
      <c r="O15" s="8" t="inlineStr">
        <is>
          <t>CorpStage CIL Registry v1.0</t>
        </is>
      </c>
      <c r="P15" s="8" t="inlineStr">
        <is>
          <t>Group only (single enterprise-wide fact, does not repeat per node)</t>
        </is>
      </c>
      <c r="Q15" s="8" t="inlineStr">
        <is>
          <t>Global</t>
        </is>
      </c>
      <c r="R15" s="8" t="inlineStr">
        <is>
          <t>Tier 1 (Standard) — available to all frameworks and all customers</t>
        </is>
      </c>
      <c r="S15" s="8" t="inlineStr">
        <is>
          <t>Owned by D09 Operational Intelligence as an operational performance fact. Financial cost of operational performance owned by D03. D09 owns the operational system-of-record data; D03 owns the financial translation of operational outcomes.</t>
        </is>
      </c>
    </row>
    <row r="16" ht="15" customHeight="1" s="6">
      <c r="A16" s="8" t="inlineStr">
        <is>
          <t>CDE-O015</t>
        </is>
      </c>
      <c r="B16" s="8" t="inlineStr">
        <is>
          <t>Capacity Expansion or Contraction Plan Underway</t>
        </is>
      </c>
      <c r="C16" s="8" t="inlineStr">
        <is>
          <t>Boolean</t>
        </is>
      </c>
      <c r="D16" s="8" t="inlineStr">
        <is>
          <t>Recommended</t>
        </is>
      </c>
      <c r="E16" s="8" t="inlineStr">
        <is>
          <t>Optional</t>
        </is>
      </c>
      <c r="F16" s="8" t="inlineStr">
        <is>
          <t>P2</t>
        </is>
      </c>
      <c r="G16" s="8" t="inlineStr">
        <is>
          <t>True/False/Unknown (tri-state)</t>
        </is>
      </c>
      <c r="H16" s="8" t="inlineStr">
        <is>
          <t>TYPE:BOOLEAN|ALLOWED:TRUE,FALSE,UNKNOWN</t>
        </is>
      </c>
      <c r="I16" s="8" t="inlineStr">
        <is>
          <t>Effective-dated</t>
        </is>
      </c>
      <c r="J16" s="8" t="inlineStr">
        <is>
          <t>One-to-one</t>
        </is>
      </c>
      <c r="K16" s="8" t="inlineStr">
        <is>
          <t>N/A — not a one-to-many numeric field</t>
        </is>
      </c>
      <c r="L16" s="8" t="inlineStr">
        <is>
          <t>User Validation</t>
        </is>
      </c>
      <c r="M16" s="8" t="inlineStr">
        <is>
          <t>CIL Architecture Team</t>
        </is>
      </c>
      <c r="N16" s="8" t="inlineStr">
        <is>
          <t>2026-06-28</t>
        </is>
      </c>
      <c r="O16" s="8" t="inlineStr">
        <is>
          <t>CorpStage CIL Registry v1.0</t>
        </is>
      </c>
      <c r="P16" s="8" t="inlineStr">
        <is>
          <t>Group only (single enterprise-wide fact, does not repeat per node)</t>
        </is>
      </c>
      <c r="Q16" s="8" t="inlineStr">
        <is>
          <t>Global</t>
        </is>
      </c>
      <c r="R16" s="8" t="inlineStr">
        <is>
          <t>Tier 1 (Standard) — available to all frameworks and all customers</t>
        </is>
      </c>
      <c r="S16" s="8" t="inlineStr">
        <is>
          <t>Owned by D09 Operational Intelligence as an operational performance fact. Financial cost of operational performance owned by D03. D09 owns the operational system-of-record data; D03 owns the financial translation of operational outcomes.</t>
        </is>
      </c>
    </row>
    <row r="17" ht="15" customHeight="1" s="6">
      <c r="A17" s="8" t="inlineStr">
        <is>
          <t>CDE-O016</t>
        </is>
      </c>
      <c r="B17" s="8" t="inlineStr">
        <is>
          <t>Capacity Change Planned Magnitude %</t>
        </is>
      </c>
      <c r="C17" s="8" t="inlineStr">
        <is>
          <t>Numeric</t>
        </is>
      </c>
      <c r="D17" s="8" t="inlineStr">
        <is>
          <t>Supplemental</t>
        </is>
      </c>
      <c r="E17" s="8" t="inlineStr">
        <is>
          <t>Optional</t>
        </is>
      </c>
      <c r="F17" s="8" t="inlineStr">
        <is>
          <t>P3</t>
        </is>
      </c>
      <c r="G17" s="8" t="inlineStr">
        <is>
          <t>Numeric (can be negative)</t>
        </is>
      </c>
      <c r="H17" s="8" t="inlineStr">
        <is>
          <t>TYPE:NUMERIC</t>
        </is>
      </c>
      <c r="I17" s="8" t="inlineStr">
        <is>
          <t>Point-in-time</t>
        </is>
      </c>
      <c r="J17" s="8" t="inlineStr">
        <is>
          <t>One-to-one</t>
        </is>
      </c>
      <c r="K17" s="8" t="inlineStr">
        <is>
          <t>N/A — not a one-to-many numeric field</t>
        </is>
      </c>
      <c r="L17" s="8" t="inlineStr">
        <is>
          <t>User Validation</t>
        </is>
      </c>
      <c r="M17" s="8" t="inlineStr">
        <is>
          <t>CIL Architecture Team</t>
        </is>
      </c>
      <c r="N17" s="8" t="inlineStr">
        <is>
          <t>2026-06-28</t>
        </is>
      </c>
      <c r="O17" s="8" t="inlineStr">
        <is>
          <t>CorpStage CIL Registry v1.0</t>
        </is>
      </c>
      <c r="P17" s="8" t="inlineStr">
        <is>
          <t>Group only (single enterprise-wide fact, does not repeat per node)</t>
        </is>
      </c>
      <c r="Q17" s="8" t="inlineStr">
        <is>
          <t>Global</t>
        </is>
      </c>
      <c r="R17" s="8" t="inlineStr">
        <is>
          <t>Tier 1 (Standard) — available to all frameworks and all customers</t>
        </is>
      </c>
      <c r="S17" s="8" t="inlineStr">
        <is>
          <t>Owned by D09 Operational Intelligence as an operational performance fact. Financial cost of operational performance owned by D03. D09 owns the operational system-of-record data; D03 owns the financial translation of operational outcomes.</t>
        </is>
      </c>
    </row>
    <row r="18" ht="15" customHeight="1" s="6">
      <c r="A18" s="8" t="inlineStr">
        <is>
          <t>CDE-O017</t>
        </is>
      </c>
      <c r="B18" s="8" t="inlineStr">
        <is>
          <t>Core Production Process Methodology (Lean/Batch/Continuous/Job-Shop)</t>
        </is>
      </c>
      <c r="C18" s="8" t="inlineStr">
        <is>
          <t>Text</t>
        </is>
      </c>
      <c r="D18" s="8" t="inlineStr">
        <is>
          <t>Recommended</t>
        </is>
      </c>
      <c r="E18" s="8" t="inlineStr">
        <is>
          <t>Optional</t>
        </is>
      </c>
      <c r="F18" s="8" t="inlineStr">
        <is>
          <t>P2</t>
        </is>
      </c>
      <c r="G18" s="8" t="inlineStr">
        <is>
          <t>Non-empty text</t>
        </is>
      </c>
      <c r="H18" s="8" t="inlineStr">
        <is>
          <t>TYPE:TEXT</t>
        </is>
      </c>
      <c r="I18" s="8" t="inlineStr">
        <is>
          <t>Effective-dated</t>
        </is>
      </c>
      <c r="J18" s="8" t="inlineStr">
        <is>
          <t>One-to-one</t>
        </is>
      </c>
      <c r="K18" s="8" t="inlineStr">
        <is>
          <t>N/A — not a one-to-many numeric field</t>
        </is>
      </c>
      <c r="L18" s="8" t="inlineStr">
        <is>
          <t>User Validation</t>
        </is>
      </c>
      <c r="M18" s="8" t="inlineStr">
        <is>
          <t>CIL Architecture Team</t>
        </is>
      </c>
      <c r="N18" s="8" t="inlineStr">
        <is>
          <t>2026-06-28</t>
        </is>
      </c>
      <c r="O18" s="8" t="inlineStr">
        <is>
          <t>CorpStage CIL Registry v1.0</t>
        </is>
      </c>
      <c r="P18" s="8" t="inlineStr">
        <is>
          <t>Group only (single enterprise-wide fact, does not repeat per node)</t>
        </is>
      </c>
      <c r="Q18" s="8" t="inlineStr">
        <is>
          <t>Global</t>
        </is>
      </c>
      <c r="R18" s="8" t="inlineStr">
        <is>
          <t>Tier 1 (Standard) — available to all frameworks and all customers</t>
        </is>
      </c>
      <c r="S18" s="8" t="inlineStr">
        <is>
          <t>Owned by D09 Operational Intelligence as an operational performance fact. Financial cost of operational performance owned by D03. D09 owns the operational system-of-record data; D03 owns the financial translation of operational outcomes.</t>
        </is>
      </c>
    </row>
    <row r="19" ht="15" customHeight="1" s="6">
      <c r="A19" s="8" t="inlineStr">
        <is>
          <t>CDE-O018</t>
        </is>
      </c>
      <c r="B19" s="8" t="inlineStr">
        <is>
          <t>Quality Control Process Documented</t>
        </is>
      </c>
      <c r="C19" s="8" t="inlineStr">
        <is>
          <t>Boolean</t>
        </is>
      </c>
      <c r="D19" s="8" t="inlineStr">
        <is>
          <t>Required</t>
        </is>
      </c>
      <c r="E19" s="8" t="inlineStr">
        <is>
          <t>Universal</t>
        </is>
      </c>
      <c r="F19" s="8" t="inlineStr">
        <is>
          <t>P1</t>
        </is>
      </c>
      <c r="G19" s="8" t="inlineStr">
        <is>
          <t>True/False</t>
        </is>
      </c>
      <c r="H19" s="8" t="inlineStr">
        <is>
          <t>TYPE:BOOLEAN|ALLOWED:TRUE,FALSE</t>
        </is>
      </c>
      <c r="I19" s="8" t="inlineStr">
        <is>
          <t>Effective-dated</t>
        </is>
      </c>
      <c r="J19" s="8" t="inlineStr">
        <is>
          <t>One-to-one</t>
        </is>
      </c>
      <c r="K19" s="8" t="inlineStr">
        <is>
          <t>N/A — not a one-to-many numeric field</t>
        </is>
      </c>
      <c r="L19" s="8" t="inlineStr">
        <is>
          <t>User Validation</t>
        </is>
      </c>
      <c r="M19" s="8" t="inlineStr">
        <is>
          <t>CIL Architecture Team</t>
        </is>
      </c>
      <c r="N19" s="8" t="inlineStr">
        <is>
          <t>2026-06-28</t>
        </is>
      </c>
      <c r="O19" s="8" t="inlineStr">
        <is>
          <t>CorpStage CIL Registry v1.0</t>
        </is>
      </c>
      <c r="P19" s="8" t="inlineStr">
        <is>
          <t>Group only (single enterprise-wide fact, does not repeat per node)</t>
        </is>
      </c>
      <c r="Q19" s="8" t="inlineStr">
        <is>
          <t>Global</t>
        </is>
      </c>
      <c r="R19" s="8" t="inlineStr">
        <is>
          <t>Tier 1 (Standard) — available to all frameworks and all customers</t>
        </is>
      </c>
      <c r="S19" s="8" t="inlineStr">
        <is>
          <t>Owned by D09 Operational Intelligence as an operational performance fact. Financial cost of operational performance owned by D03. D09 owns the operational system-of-record data; D03 owns the financial translation of operational outcomes.</t>
        </is>
      </c>
    </row>
    <row r="20" ht="15" customHeight="1" s="6">
      <c r="A20" s="8" t="inlineStr">
        <is>
          <t>CDE-O019</t>
        </is>
      </c>
      <c r="B20" s="8" t="inlineStr">
        <is>
          <t>Defect Rate % (Current Period)</t>
        </is>
      </c>
      <c r="C20" s="8" t="inlineStr">
        <is>
          <t>Numeric</t>
        </is>
      </c>
      <c r="D20" s="8" t="inlineStr">
        <is>
          <t>Recommended</t>
        </is>
      </c>
      <c r="E20" s="8" t="inlineStr">
        <is>
          <t>Optional</t>
        </is>
      </c>
      <c r="F20" s="8" t="inlineStr">
        <is>
          <t>P2</t>
        </is>
      </c>
      <c r="G20" s="8" t="inlineStr">
        <is>
          <t>0-100, numeric</t>
        </is>
      </c>
      <c r="H20" s="8" t="inlineStr">
        <is>
          <t>TYPE:NUMERIC|MIN:0|MAX:100</t>
        </is>
      </c>
      <c r="I20" s="8" t="inlineStr">
        <is>
          <t>Effective-dated</t>
        </is>
      </c>
      <c r="J20" s="8" t="inlineStr">
        <is>
          <t>One-to-one</t>
        </is>
      </c>
      <c r="K20" s="8" t="inlineStr">
        <is>
          <t>N/A — not a one-to-many numeric field</t>
        </is>
      </c>
      <c r="L20" s="8" t="inlineStr">
        <is>
          <t>User Validation</t>
        </is>
      </c>
      <c r="M20" s="8" t="inlineStr">
        <is>
          <t>CIL Architecture Team</t>
        </is>
      </c>
      <c r="N20" s="8" t="inlineStr">
        <is>
          <t>2026-06-28</t>
        </is>
      </c>
      <c r="O20" s="8" t="inlineStr">
        <is>
          <t>CorpStage CIL Registry v1.0</t>
        </is>
      </c>
      <c r="P20" s="8" t="inlineStr">
        <is>
          <t>Group only (single enterprise-wide fact, does not repeat per node)</t>
        </is>
      </c>
      <c r="Q20" s="8" t="inlineStr">
        <is>
          <t>Global</t>
        </is>
      </c>
      <c r="R20" s="8" t="inlineStr">
        <is>
          <t>Tier 1 (Standard) — available to all frameworks and all customers</t>
        </is>
      </c>
      <c r="S20" s="8" t="inlineStr">
        <is>
          <t>Owned by D09 Operational Intelligence as an operational performance fact. Financial cost of operational performance owned by D03. D09 owns the operational system-of-record data; D03 owns the financial translation of operational outcomes.</t>
        </is>
      </c>
    </row>
    <row r="21" ht="15" customHeight="1" s="6">
      <c r="A21" s="8" t="inlineStr">
        <is>
          <t>CDE-O020</t>
        </is>
      </c>
      <c r="B21" s="8" t="inlineStr">
        <is>
          <t>Product/Service Rework Rate %</t>
        </is>
      </c>
      <c r="C21" s="8" t="inlineStr">
        <is>
          <t>Numeric</t>
        </is>
      </c>
      <c r="D21" s="8" t="inlineStr">
        <is>
          <t>Recommended</t>
        </is>
      </c>
      <c r="E21" s="8" t="inlineStr">
        <is>
          <t>Optional</t>
        </is>
      </c>
      <c r="F21" s="8" t="inlineStr">
        <is>
          <t>P2</t>
        </is>
      </c>
      <c r="G21" s="8" t="inlineStr">
        <is>
          <t>0-100, numeric</t>
        </is>
      </c>
      <c r="H21" s="8" t="inlineStr">
        <is>
          <t>TYPE:NUMERIC|MIN:0|MAX:100</t>
        </is>
      </c>
      <c r="I21" s="8" t="inlineStr">
        <is>
          <t>Effective-dated</t>
        </is>
      </c>
      <c r="J21" s="8" t="inlineStr">
        <is>
          <t>One-to-one</t>
        </is>
      </c>
      <c r="K21" s="8" t="inlineStr">
        <is>
          <t>N/A — not a one-to-many numeric field</t>
        </is>
      </c>
      <c r="L21" s="8" t="inlineStr">
        <is>
          <t>User Validation</t>
        </is>
      </c>
      <c r="M21" s="8" t="inlineStr">
        <is>
          <t>CIL Architecture Team</t>
        </is>
      </c>
      <c r="N21" s="8" t="inlineStr">
        <is>
          <t>2026-06-28</t>
        </is>
      </c>
      <c r="O21" s="8" t="inlineStr">
        <is>
          <t>CorpStage CIL Registry v1.0</t>
        </is>
      </c>
      <c r="P21" s="8" t="inlineStr">
        <is>
          <t>Group only (single enterprise-wide fact, does not repeat per node)</t>
        </is>
      </c>
      <c r="Q21" s="8" t="inlineStr">
        <is>
          <t>Global</t>
        </is>
      </c>
      <c r="R21" s="8" t="inlineStr">
        <is>
          <t>Tier 1 (Standard) — available to all frameworks and all customers</t>
        </is>
      </c>
      <c r="S21" s="8" t="inlineStr">
        <is>
          <t>Distinct from Domain 7 ESG &amp; Sustainability Intelligence's waste-disclosure CDEs (e.g. Total Waste Generated), which capture the DISCLOSURE-FACING absolute waste figure. This CDE captures the OPERATIONAL-EFFICIENCY view (scrap rate as a % of production, a process-quality metric) — the underlying operational fact that may partially explain Domain 7's waste figure, but is tracked here for cost/efficiency purposes.</t>
        </is>
      </c>
    </row>
    <row r="22" ht="15" customHeight="1" s="6">
      <c r="A22" s="8" t="inlineStr">
        <is>
          <t>CDE-O021</t>
        </is>
      </c>
      <c r="B22" s="8" t="inlineStr">
        <is>
          <t>Production Scrap Rate %</t>
        </is>
      </c>
      <c r="C22" s="8" t="inlineStr">
        <is>
          <t>Numeric</t>
        </is>
      </c>
      <c r="D22" s="8" t="inlineStr">
        <is>
          <t>Recommended</t>
        </is>
      </c>
      <c r="E22" s="8" t="inlineStr">
        <is>
          <t>Optional</t>
        </is>
      </c>
      <c r="F22" s="8" t="inlineStr">
        <is>
          <t>P2</t>
        </is>
      </c>
      <c r="G22" s="8" t="inlineStr">
        <is>
          <t>0-100, numeric</t>
        </is>
      </c>
      <c r="H22" s="8" t="inlineStr">
        <is>
          <t>TYPE:NUMERIC|MIN:0|MAX:100</t>
        </is>
      </c>
      <c r="I22" s="8" t="inlineStr">
        <is>
          <t>Effective-dated</t>
        </is>
      </c>
      <c r="J22" s="8" t="inlineStr">
        <is>
          <t>One-to-one</t>
        </is>
      </c>
      <c r="K22" s="8" t="inlineStr">
        <is>
          <t>N/A — not a one-to-many numeric field</t>
        </is>
      </c>
      <c r="L22" s="8" t="inlineStr">
        <is>
          <t>User Validation</t>
        </is>
      </c>
      <c r="M22" s="8" t="inlineStr">
        <is>
          <t>CIL Architecture Team</t>
        </is>
      </c>
      <c r="N22" s="8" t="inlineStr">
        <is>
          <t>2026-06-28</t>
        </is>
      </c>
      <c r="O22" s="8" t="inlineStr">
        <is>
          <t>CorpStage CIL Registry v1.0</t>
        </is>
      </c>
      <c r="P22" s="8" t="inlineStr">
        <is>
          <t>Group only (single enterprise-wide fact, does not repeat per node)</t>
        </is>
      </c>
      <c r="Q22" s="8" t="inlineStr">
        <is>
          <t>Global</t>
        </is>
      </c>
      <c r="R22" s="8" t="inlineStr">
        <is>
          <t>Tier 1 (Standard) — available to all frameworks and all customers</t>
        </is>
      </c>
      <c r="S22" s="8" t="inlineStr">
        <is>
          <t>Distinct from Domain 7 ESG &amp; Sustainability Intelligence's waste-disclosure CDEs (e.g. Total Waste Generated), which capture the DISCLOSURE-FACING absolute waste figure. This CDE captures the OPERATIONAL-EFFICIENCY view (scrap rate as a % of production, a process-quality metric) — the underlying operational fact that may partially explain Domain 7's waste figure, but is tracked here for cost/efficiency purposes.</t>
        </is>
      </c>
    </row>
    <row r="23" ht="15" customHeight="1" s="6">
      <c r="A23" s="8" t="inlineStr">
        <is>
          <t>CDE-O022</t>
        </is>
      </c>
      <c r="B23" s="8" t="inlineStr">
        <is>
          <t>Continuous Improvement Program Documented (e.g. Six Sigma/Kaizen)</t>
        </is>
      </c>
      <c r="C23" s="8" t="inlineStr">
        <is>
          <t>Boolean</t>
        </is>
      </c>
      <c r="D23" s="8" t="inlineStr">
        <is>
          <t>Recommended</t>
        </is>
      </c>
      <c r="E23" s="8" t="inlineStr">
        <is>
          <t>Optional</t>
        </is>
      </c>
      <c r="F23" s="8" t="inlineStr">
        <is>
          <t>P2</t>
        </is>
      </c>
      <c r="G23" s="8" t="inlineStr">
        <is>
          <t>True/False</t>
        </is>
      </c>
      <c r="H23" s="8" t="inlineStr">
        <is>
          <t>TYPE:BOOLEAN|ALLOWED:TRUE,FALSE</t>
        </is>
      </c>
      <c r="I23" s="8" t="inlineStr">
        <is>
          <t>Effective-dated</t>
        </is>
      </c>
      <c r="J23" s="8" t="inlineStr">
        <is>
          <t>One-to-one</t>
        </is>
      </c>
      <c r="K23" s="8" t="inlineStr">
        <is>
          <t>N/A — not a one-to-many numeric field</t>
        </is>
      </c>
      <c r="L23" s="8" t="inlineStr">
        <is>
          <t>User Validation</t>
        </is>
      </c>
      <c r="M23" s="8" t="inlineStr">
        <is>
          <t>CIL Architecture Team</t>
        </is>
      </c>
      <c r="N23" s="8" t="inlineStr">
        <is>
          <t>2026-06-28</t>
        </is>
      </c>
      <c r="O23" s="8" t="inlineStr">
        <is>
          <t>CorpStage CIL Registry v1.0</t>
        </is>
      </c>
      <c r="P23" s="8" t="inlineStr">
        <is>
          <t>Group only (single enterprise-wide fact, does not repeat per node)</t>
        </is>
      </c>
      <c r="Q23" s="8" t="inlineStr">
        <is>
          <t>Global</t>
        </is>
      </c>
      <c r="R23" s="8" t="inlineStr">
        <is>
          <t>Tier 1 (Standard) — available to all frameworks and all customers</t>
        </is>
      </c>
      <c r="S23" s="8" t="inlineStr">
        <is>
          <t>Owned by D09 Operational Intelligence as an operational performance fact. Financial cost of operational performance owned by D03. D09 owns the operational system-of-record data; D03 owns the financial translation of operational outcomes.</t>
        </is>
      </c>
    </row>
    <row r="24" ht="15" customHeight="1" s="6">
      <c r="A24" s="8" t="inlineStr">
        <is>
          <t>CDE-O023</t>
        </is>
      </c>
      <c r="B24" s="8" t="inlineStr">
        <is>
          <t>Preventive Maintenance Program Documented for Critical Equipment</t>
        </is>
      </c>
      <c r="C24" s="8" t="inlineStr">
        <is>
          <t>Boolean</t>
        </is>
      </c>
      <c r="D24" s="8" t="inlineStr">
        <is>
          <t>Required</t>
        </is>
      </c>
      <c r="E24" s="8" t="inlineStr">
        <is>
          <t>Universal</t>
        </is>
      </c>
      <c r="F24" s="8" t="inlineStr">
        <is>
          <t>P1</t>
        </is>
      </c>
      <c r="G24" s="8" t="inlineStr">
        <is>
          <t>True/False</t>
        </is>
      </c>
      <c r="H24" s="8" t="inlineStr">
        <is>
          <t>TYPE:BOOLEAN|ALLOWED:TRUE,FALSE</t>
        </is>
      </c>
      <c r="I24" s="8" t="inlineStr">
        <is>
          <t>Effective-dated</t>
        </is>
      </c>
      <c r="J24" s="8" t="inlineStr">
        <is>
          <t>One-to-one</t>
        </is>
      </c>
      <c r="K24" s="8" t="inlineStr">
        <is>
          <t>N/A — not a one-to-many numeric field</t>
        </is>
      </c>
      <c r="L24" s="8" t="inlineStr">
        <is>
          <t>User Validation</t>
        </is>
      </c>
      <c r="M24" s="8" t="inlineStr">
        <is>
          <t>CIL Architecture Team</t>
        </is>
      </c>
      <c r="N24" s="8" t="inlineStr">
        <is>
          <t>2026-06-28</t>
        </is>
      </c>
      <c r="O24" s="8" t="inlineStr">
        <is>
          <t>CorpStage CIL Registry v1.0</t>
        </is>
      </c>
      <c r="P24" s="8" t="inlineStr">
        <is>
          <t>Group only (single enterprise-wide fact, does not repeat per node)</t>
        </is>
      </c>
      <c r="Q24" s="8" t="inlineStr">
        <is>
          <t>Global</t>
        </is>
      </c>
      <c r="R24" s="8" t="inlineStr">
        <is>
          <t>Tier 1 (Standard) — available to all frameworks and all customers</t>
        </is>
      </c>
      <c r="S24" s="8" t="inlineStr">
        <is>
          <t>Owned by D09 Operational Intelligence as an operational performance fact. Financial cost of operational performance owned by D03. D09 owns the operational system-of-record data; D03 owns the financial translation of operational outcomes.</t>
        </is>
      </c>
    </row>
    <row r="25" ht="15" customHeight="1" s="6">
      <c r="A25" s="8" t="inlineStr">
        <is>
          <t>CDE-O024</t>
        </is>
      </c>
      <c r="B25" s="8" t="inlineStr">
        <is>
          <t>Preventive Maintenance Schedule Adherence %</t>
        </is>
      </c>
      <c r="C25" s="8" t="inlineStr">
        <is>
          <t>Numeric</t>
        </is>
      </c>
      <c r="D25" s="8" t="inlineStr">
        <is>
          <t>Recommended</t>
        </is>
      </c>
      <c r="E25" s="8" t="inlineStr">
        <is>
          <t>Optional</t>
        </is>
      </c>
      <c r="F25" s="8" t="inlineStr">
        <is>
          <t>P2</t>
        </is>
      </c>
      <c r="G25" s="8" t="inlineStr">
        <is>
          <t>0-100, numeric</t>
        </is>
      </c>
      <c r="H25" s="8" t="inlineStr">
        <is>
          <t>TYPE:NUMERIC|MIN:0|MAX:100</t>
        </is>
      </c>
      <c r="I25" s="8" t="inlineStr">
        <is>
          <t>Effective-dated</t>
        </is>
      </c>
      <c r="J25" s="8" t="inlineStr">
        <is>
          <t>One-to-one</t>
        </is>
      </c>
      <c r="K25" s="8" t="inlineStr">
        <is>
          <t>N/A — not a one-to-many numeric field</t>
        </is>
      </c>
      <c r="L25" s="8" t="inlineStr">
        <is>
          <t>User Validation</t>
        </is>
      </c>
      <c r="M25" s="8" t="inlineStr">
        <is>
          <t>CIL Architecture Team</t>
        </is>
      </c>
      <c r="N25" s="8" t="inlineStr">
        <is>
          <t>2026-06-28</t>
        </is>
      </c>
      <c r="O25" s="8" t="inlineStr">
        <is>
          <t>CorpStage CIL Registry v1.0</t>
        </is>
      </c>
      <c r="P25" s="8" t="inlineStr">
        <is>
          <t>Group only (single enterprise-wide fact, does not repeat per node)</t>
        </is>
      </c>
      <c r="Q25" s="8" t="inlineStr">
        <is>
          <t>Global</t>
        </is>
      </c>
      <c r="R25" s="8" t="inlineStr">
        <is>
          <t>Tier 1 (Standard) — available to all frameworks and all customers</t>
        </is>
      </c>
      <c r="S25" s="8" t="inlineStr">
        <is>
          <t>Owned by D09 Operational Intelligence as an operational performance fact. Financial cost of operational performance owned by D03. D09 owns the operational system-of-record data; D03 owns the financial translation of operational outcomes.</t>
        </is>
      </c>
    </row>
    <row r="26" ht="15" customHeight="1" s="6">
      <c r="A26" s="8" t="inlineStr">
        <is>
          <t>CDE-O025</t>
        </is>
      </c>
      <c r="B26" s="8" t="inlineStr">
        <is>
          <t>Average Equipment Age (Years)</t>
        </is>
      </c>
      <c r="C26" s="8" t="inlineStr">
        <is>
          <t>Numeric</t>
        </is>
      </c>
      <c r="D26" s="8" t="inlineStr">
        <is>
          <t>Recommended</t>
        </is>
      </c>
      <c r="E26" s="8" t="inlineStr">
        <is>
          <t>Optional</t>
        </is>
      </c>
      <c r="F26" s="8" t="inlineStr">
        <is>
          <t>P2</t>
        </is>
      </c>
      <c r="G26" s="8" t="inlineStr">
        <is>
          <t>&gt;=0, numeric</t>
        </is>
      </c>
      <c r="H26" s="8" t="inlineStr">
        <is>
          <t>TYPE:NUMERIC|MIN:0</t>
        </is>
      </c>
      <c r="I26" s="8" t="inlineStr">
        <is>
          <t>Effective-dated</t>
        </is>
      </c>
      <c r="J26" s="8" t="inlineStr">
        <is>
          <t>One-to-one</t>
        </is>
      </c>
      <c r="K26" s="8" t="inlineStr">
        <is>
          <t>N/A — not a one-to-many numeric field</t>
        </is>
      </c>
      <c r="L26" s="8" t="inlineStr">
        <is>
          <t>User Validation</t>
        </is>
      </c>
      <c r="M26" s="8" t="inlineStr">
        <is>
          <t>CIL Architecture Team</t>
        </is>
      </c>
      <c r="N26" s="8" t="inlineStr">
        <is>
          <t>2026-06-28</t>
        </is>
      </c>
      <c r="O26" s="8" t="inlineStr">
        <is>
          <t>CorpStage CIL Registry v1.0</t>
        </is>
      </c>
      <c r="P26" s="8" t="inlineStr">
        <is>
          <t>Group only (single enterprise-wide fact, does not repeat per node)</t>
        </is>
      </c>
      <c r="Q26" s="8" t="inlineStr">
        <is>
          <t>Global</t>
        </is>
      </c>
      <c r="R26" s="8" t="inlineStr">
        <is>
          <t>Tier 1 (Standard) — available to all frameworks and all customers</t>
        </is>
      </c>
      <c r="S26" s="8" t="inlineStr">
        <is>
          <t>Owned by D09 Operational Intelligence as an operational performance fact. Financial cost of operational performance owned by D03. D09 owns the operational system-of-record data; D03 owns the financial translation of operational outcomes.</t>
        </is>
      </c>
    </row>
    <row r="27" ht="15" customHeight="1" s="6">
      <c r="A27" s="8" t="inlineStr">
        <is>
          <t>CDE-O026</t>
        </is>
      </c>
      <c r="B27" s="8" t="inlineStr">
        <is>
          <t>Equipment Condition Assessment Rating</t>
        </is>
      </c>
      <c r="C27" s="8" t="inlineStr">
        <is>
          <t>Text</t>
        </is>
      </c>
      <c r="D27" s="8" t="inlineStr">
        <is>
          <t>Supplemental</t>
        </is>
      </c>
      <c r="E27" s="8" t="inlineStr">
        <is>
          <t>Optional</t>
        </is>
      </c>
      <c r="F27" s="8" t="inlineStr">
        <is>
          <t>P3</t>
        </is>
      </c>
      <c r="G27" s="8" t="inlineStr">
        <is>
          <t>Excellent/Good/Fair/Poor</t>
        </is>
      </c>
      <c r="H27" s="8" t="inlineStr">
        <is>
          <t>TYPE:ENUM|ALLOWED:EXCELLENT,GOOD,FAIR,POOR</t>
        </is>
      </c>
      <c r="I27" s="8" t="inlineStr">
        <is>
          <t>Effective-dated</t>
        </is>
      </c>
      <c r="J27" s="8" t="inlineStr">
        <is>
          <t>One-to-many</t>
        </is>
      </c>
      <c r="K27" s="8" t="inlineStr">
        <is>
          <t>N/A — not a one-to-many numeric field</t>
        </is>
      </c>
      <c r="L27" s="8" t="inlineStr">
        <is>
          <t>User Validation</t>
        </is>
      </c>
      <c r="M27" s="8" t="inlineStr">
        <is>
          <t>CIL Architecture Team</t>
        </is>
      </c>
      <c r="N27" s="8" t="inlineStr">
        <is>
          <t>2026-06-28</t>
        </is>
      </c>
      <c r="O27" s="8" t="inlineStr">
        <is>
          <t>CorpStage CIL Registry v1.0</t>
        </is>
      </c>
      <c r="P27" s="8" t="inlineStr">
        <is>
          <t>Plant, Site, Company, Group (collected at lowest defined node, aggregates upward)</t>
        </is>
      </c>
      <c r="Q27" s="8" t="inlineStr">
        <is>
          <t>Global</t>
        </is>
      </c>
      <c r="R27" s="8" t="inlineStr">
        <is>
          <t>Tier 1 (Standard) — available to all frameworks and all customers</t>
        </is>
      </c>
      <c r="S27" s="8" t="inlineStr">
        <is>
          <t>Owned by D09 Operational Intelligence as an operational performance fact. Financial cost of operational performance owned by D03. D09 owns the operational system-of-record data; D03 owns the financial translation of operational outcomes.</t>
        </is>
      </c>
    </row>
    <row r="28" ht="15" customHeight="1" s="6">
      <c r="A28" s="8" t="inlineStr">
        <is>
          <t>CDE-O027</t>
        </is>
      </c>
      <c r="B28" s="8" t="inlineStr">
        <is>
          <t>Facility-Level Safety Audit Frequency</t>
        </is>
      </c>
      <c r="C28" s="8" t="inlineStr">
        <is>
          <t>Text</t>
        </is>
      </c>
      <c r="D28" s="8" t="inlineStr">
        <is>
          <t>Required</t>
        </is>
      </c>
      <c r="E28" s="8" t="inlineStr">
        <is>
          <t>Optional</t>
        </is>
      </c>
      <c r="F28" s="8" t="inlineStr">
        <is>
          <t>P1</t>
        </is>
      </c>
      <c r="G28" s="8" t="inlineStr">
        <is>
          <t>Annual/Semi-Annual/Quarterly/Monthly</t>
        </is>
      </c>
      <c r="H28" s="8" t="inlineStr">
        <is>
          <t>TYPE:ENUM|ALLOWED:ANNUAL,SEMI_ANNUAL,QUARTERLY,MONTHLY</t>
        </is>
      </c>
      <c r="I28" s="8" t="inlineStr">
        <is>
          <t>Effective-dated</t>
        </is>
      </c>
      <c r="J28" s="8" t="inlineStr">
        <is>
          <t>One-to-many</t>
        </is>
      </c>
      <c r="K28" s="8" t="inlineStr">
        <is>
          <t>N/A — not a one-to-many numeric field</t>
        </is>
      </c>
      <c r="L28" s="8" t="inlineStr">
        <is>
          <t>User Validation</t>
        </is>
      </c>
      <c r="M28" s="8" t="inlineStr">
        <is>
          <t>CIL Architecture Team</t>
        </is>
      </c>
      <c r="N28" s="8" t="inlineStr">
        <is>
          <t>2026-06-28</t>
        </is>
      </c>
      <c r="O28" s="8" t="inlineStr">
        <is>
          <t>CorpStage CIL Registry v1.0</t>
        </is>
      </c>
      <c r="P28" s="8" t="inlineStr">
        <is>
          <t>Plant, Site, Company, Group (collected at lowest defined node, aggregates upward)</t>
        </is>
      </c>
      <c r="Q28" s="8" t="inlineStr">
        <is>
          <t>Global</t>
        </is>
      </c>
      <c r="R28" s="8" t="inlineStr">
        <is>
          <t>Tier 1 (Standard) — available to all frameworks and all customers</t>
        </is>
      </c>
      <c r="S28" s="8" t="inlineStr">
        <is>
          <t>Distinct from Domain 7 ESG &amp; Sustainability Intelligence's disclosed safety metrics (CDE-E050/051/052, Workplace Safety Incident Rate/Fatality Count/Trend), which are the DISCLOSURE-FACING aggregate figures. This CDE captures the FACILITY-LEVEL OPERATIONAL PROCESS (audit frequency, near-miss reporting mechanism) that produces the underlying data Domain 7's disclosed metrics are calculated from — Domain 7 must be referenced for the disclosed incident/fatality figures themselves, not duplicated here.</t>
        </is>
      </c>
    </row>
    <row r="29" ht="15" customHeight="1" s="6">
      <c r="A29" s="8" t="inlineStr">
        <is>
          <t>CDE-O028</t>
        </is>
      </c>
      <c r="B29" s="8" t="inlineStr">
        <is>
          <t>Near-Miss Reporting Mechanism Exists at Facility Level</t>
        </is>
      </c>
      <c r="C29" s="8" t="inlineStr">
        <is>
          <t>Boolean</t>
        </is>
      </c>
      <c r="D29" s="8" t="inlineStr">
        <is>
          <t>Recommended</t>
        </is>
      </c>
      <c r="E29" s="8" t="inlineStr">
        <is>
          <t>Optional</t>
        </is>
      </c>
      <c r="F29" s="8" t="inlineStr">
        <is>
          <t>P2</t>
        </is>
      </c>
      <c r="G29" s="8" t="inlineStr">
        <is>
          <t>True/False</t>
        </is>
      </c>
      <c r="H29" s="8" t="inlineStr">
        <is>
          <t>TYPE:BOOLEAN|ALLOWED:TRUE,FALSE</t>
        </is>
      </c>
      <c r="I29" s="8" t="inlineStr">
        <is>
          <t>Effective-dated</t>
        </is>
      </c>
      <c r="J29" s="8" t="inlineStr">
        <is>
          <t>One-to-many</t>
        </is>
      </c>
      <c r="K29" s="8" t="inlineStr">
        <is>
          <t>N/A — not a one-to-many numeric field</t>
        </is>
      </c>
      <c r="L29" s="8" t="inlineStr">
        <is>
          <t>User Validation</t>
        </is>
      </c>
      <c r="M29" s="8" t="inlineStr">
        <is>
          <t>CIL Architecture Team</t>
        </is>
      </c>
      <c r="N29" s="8" t="inlineStr">
        <is>
          <t>2026-06-28</t>
        </is>
      </c>
      <c r="O29" s="8" t="inlineStr">
        <is>
          <t>CorpStage CIL Registry v1.0</t>
        </is>
      </c>
      <c r="P29" s="8" t="inlineStr">
        <is>
          <t>Plant, Site, Company, Group (collected at lowest defined node, aggregates upward)</t>
        </is>
      </c>
      <c r="Q29" s="8" t="inlineStr">
        <is>
          <t>Global</t>
        </is>
      </c>
      <c r="R29" s="8" t="inlineStr">
        <is>
          <t>Tier 1 (Standard) — available to all frameworks and all customers</t>
        </is>
      </c>
      <c r="S29" s="8" t="inlineStr">
        <is>
          <t>Owned by D09 Operational Intelligence as an operational performance fact. Financial cost of operational performance owned by D03. D09 owns the operational system-of-record data; D03 owns the financial translation of operational outcomes.</t>
        </is>
      </c>
    </row>
    <row r="30" ht="15" customHeight="1" s="6">
      <c r="A30" s="8" t="inlineStr">
        <is>
          <t>CDE-O029</t>
        </is>
      </c>
      <c r="B30" s="8" t="inlineStr">
        <is>
          <t>Deferred Maintenance Backlog Estimated Cost</t>
        </is>
      </c>
      <c r="C30" s="8" t="inlineStr">
        <is>
          <t>Numeric</t>
        </is>
      </c>
      <c r="D30" s="8" t="inlineStr">
        <is>
          <t>Recommended</t>
        </is>
      </c>
      <c r="E30" s="8" t="inlineStr">
        <is>
          <t>Optional</t>
        </is>
      </c>
      <c r="F30" s="8" t="inlineStr">
        <is>
          <t>P2</t>
        </is>
      </c>
      <c r="G30" s="8" t="inlineStr">
        <is>
          <t>&gt;=0, numeric</t>
        </is>
      </c>
      <c r="H30" s="8" t="inlineStr">
        <is>
          <t>TYPE:NUMERIC|MIN:0</t>
        </is>
      </c>
      <c r="I30" s="8" t="inlineStr">
        <is>
          <t>Effective-dated</t>
        </is>
      </c>
      <c r="J30" s="8" t="inlineStr">
        <is>
          <t>One-to-one</t>
        </is>
      </c>
      <c r="K30" s="8" t="inlineStr">
        <is>
          <t>N/A — not a one-to-many numeric field</t>
        </is>
      </c>
      <c r="L30" s="8" t="inlineStr">
        <is>
          <t>Finance / ERP System (SAP S/4HANA, Oracle Fusion, NetSuite)</t>
        </is>
      </c>
      <c r="M30" s="8" t="inlineStr">
        <is>
          <t>CIL Architecture Team</t>
        </is>
      </c>
      <c r="N30" s="8" t="inlineStr">
        <is>
          <t>2026-06-28</t>
        </is>
      </c>
      <c r="O30" s="8" t="inlineStr">
        <is>
          <t>CorpStage CIL Registry v1.0</t>
        </is>
      </c>
      <c r="P30" s="8" t="inlineStr">
        <is>
          <t>Group only (single enterprise-wide fact, does not repeat per node)</t>
        </is>
      </c>
      <c r="Q30" s="8" t="inlineStr">
        <is>
          <t>Global</t>
        </is>
      </c>
      <c r="R30" s="8" t="inlineStr">
        <is>
          <t>Tier 1 (Standard) — available to all frameworks and all customers</t>
        </is>
      </c>
      <c r="S30" s="8" t="inlineStr">
        <is>
          <t>Owned by D09 Operational Intelligence as an operational performance fact. Financial cost of operational performance owned by D03. D09 owns the operational system-of-record data; D03 owns the financial translation of operational outcomes.</t>
        </is>
      </c>
    </row>
    <row r="31" ht="15" customHeight="1" s="6">
      <c r="A31" s="8" t="inlineStr">
        <is>
          <t>CDE-O030</t>
        </is>
      </c>
      <c r="B31" s="8" t="inlineStr">
        <is>
          <t>Maintenance Backlog Items (Count)</t>
        </is>
      </c>
      <c r="C31" s="8" t="inlineStr">
        <is>
          <t>Numeric</t>
        </is>
      </c>
      <c r="D31" s="8" t="inlineStr">
        <is>
          <t>Supplemental</t>
        </is>
      </c>
      <c r="E31" s="8" t="inlineStr">
        <is>
          <t>Optional</t>
        </is>
      </c>
      <c r="F31" s="8" t="inlineStr">
        <is>
          <t>P3</t>
        </is>
      </c>
      <c r="G31" s="8" t="inlineStr">
        <is>
          <t>&gt;=0, integer</t>
        </is>
      </c>
      <c r="H31" s="8" t="inlineStr">
        <is>
          <t>TYPE:INTEGER|MIN:0</t>
        </is>
      </c>
      <c r="I31" s="8" t="inlineStr">
        <is>
          <t>Effective-dated</t>
        </is>
      </c>
      <c r="J31" s="8" t="inlineStr">
        <is>
          <t>One-to-one</t>
        </is>
      </c>
      <c r="K31" s="8" t="inlineStr">
        <is>
          <t>N/A — not a one-to-many numeric field</t>
        </is>
      </c>
      <c r="L31" s="8" t="inlineStr">
        <is>
          <t>User Validation</t>
        </is>
      </c>
      <c r="M31" s="8" t="inlineStr">
        <is>
          <t>CIL Architecture Team</t>
        </is>
      </c>
      <c r="N31" s="8" t="inlineStr">
        <is>
          <t>2026-06-28</t>
        </is>
      </c>
      <c r="O31" s="8" t="inlineStr">
        <is>
          <t>CorpStage CIL Registry v1.0</t>
        </is>
      </c>
      <c r="P31" s="8" t="inlineStr">
        <is>
          <t>Group only (single enterprise-wide fact, does not repeat per node)</t>
        </is>
      </c>
      <c r="Q31" s="8" t="inlineStr">
        <is>
          <t>Global</t>
        </is>
      </c>
      <c r="R31" s="8" t="inlineStr">
        <is>
          <t>Tier 1 (Standard) — available to all frameworks and all customers</t>
        </is>
      </c>
      <c r="S31" s="8" t="inlineStr">
        <is>
          <t>Owned by D09 Operational Intelligence as an operational performance fact. Financial cost of operational performance owned by D03. D09 owns the operational system-of-record data; D03 owns the financial translation of operational outcomes.</t>
        </is>
      </c>
    </row>
    <row r="32" ht="15" customHeight="1" s="6">
      <c r="A32" s="8" t="inlineStr">
        <is>
          <t>CDE-O031</t>
        </is>
      </c>
      <c r="B32" s="8" t="inlineStr">
        <is>
          <t>Unplanned Operational Downtime (Hours, Current Period)</t>
        </is>
      </c>
      <c r="C32" s="8" t="inlineStr">
        <is>
          <t>Numeric</t>
        </is>
      </c>
      <c r="D32" s="8" t="inlineStr">
        <is>
          <t>Required</t>
        </is>
      </c>
      <c r="E32" s="8" t="inlineStr">
        <is>
          <t>Universal</t>
        </is>
      </c>
      <c r="F32" s="8" t="inlineStr">
        <is>
          <t>P1</t>
        </is>
      </c>
      <c r="G32" s="8" t="inlineStr">
        <is>
          <t>&gt;=0, numeric</t>
        </is>
      </c>
      <c r="H32" s="8" t="inlineStr">
        <is>
          <t>TYPE:NUMERIC|MIN:0</t>
        </is>
      </c>
      <c r="I32" s="8" t="inlineStr">
        <is>
          <t>Effective-dated</t>
        </is>
      </c>
      <c r="J32" s="8" t="inlineStr">
        <is>
          <t>One-to-many</t>
        </is>
      </c>
      <c r="K32" s="8" t="inlineStr">
        <is>
          <t>Independent per facility; SUM gives total enterprise downtime if reporting aggregate</t>
        </is>
      </c>
      <c r="L32" s="8" t="inlineStr">
        <is>
          <t>User Validation</t>
        </is>
      </c>
      <c r="M32" s="8" t="inlineStr">
        <is>
          <t>CIL Architecture Team</t>
        </is>
      </c>
      <c r="N32" s="8" t="inlineStr">
        <is>
          <t>2026-06-28</t>
        </is>
      </c>
      <c r="O32" s="8" t="inlineStr">
        <is>
          <t>CorpStage CIL Registry v1.0</t>
        </is>
      </c>
      <c r="P32" s="8" t="inlineStr">
        <is>
          <t>Plant, Site, Company, Group (collected at lowest defined node, aggregates upward)</t>
        </is>
      </c>
      <c r="Q32" s="8" t="inlineStr">
        <is>
          <t>Global</t>
        </is>
      </c>
      <c r="R32" s="8" t="inlineStr">
        <is>
          <t>Tier 1 (Standard) — available to all frameworks and all customers</t>
        </is>
      </c>
      <c r="S32" s="8" t="inlineStr">
        <is>
          <t>Distinct from Domain 4 Risk Intelligence's CDE-R087/088/146 (Operational Risk Event Historical Frequency/Cost/Trend), which capture the RISK-QUANTIFICATION view (financial impact of operational events as a risk metric). This domain owns the underlying OPERATIONAL FACT (hours of downtime, root cause) that Domain 4's risk view is quantifying — Domain 4 must reference this domain's downtime facts, not duplicate them.</t>
        </is>
      </c>
    </row>
    <row r="33" ht="15" customHeight="1" s="6">
      <c r="A33" s="8" t="inlineStr">
        <is>
          <t>CDE-O032</t>
        </is>
      </c>
      <c r="B33" s="8" t="inlineStr">
        <is>
          <t>Downtime Event Count (Current Period)</t>
        </is>
      </c>
      <c r="C33" s="8" t="inlineStr">
        <is>
          <t>Numeric</t>
        </is>
      </c>
      <c r="D33" s="8" t="inlineStr">
        <is>
          <t>Recommended</t>
        </is>
      </c>
      <c r="E33" s="8" t="inlineStr">
        <is>
          <t>Optional</t>
        </is>
      </c>
      <c r="F33" s="8" t="inlineStr">
        <is>
          <t>P2</t>
        </is>
      </c>
      <c r="G33" s="8" t="inlineStr">
        <is>
          <t>&gt;=0, integer</t>
        </is>
      </c>
      <c r="H33" s="8" t="inlineStr">
        <is>
          <t>TYPE:INTEGER|MIN:0</t>
        </is>
      </c>
      <c r="I33" s="8" t="inlineStr">
        <is>
          <t>Effective-dated</t>
        </is>
      </c>
      <c r="J33" s="8" t="inlineStr">
        <is>
          <t>One-to-many</t>
        </is>
      </c>
      <c r="K33" s="8" t="inlineStr">
        <is>
          <t>SUM across facilities should equal Total Enterprise Downtime Event Count; TOLERANCE: 95-105%</t>
        </is>
      </c>
      <c r="L33" s="8" t="inlineStr">
        <is>
          <t>User Validation</t>
        </is>
      </c>
      <c r="M33" s="8" t="inlineStr">
        <is>
          <t>CIL Architecture Team</t>
        </is>
      </c>
      <c r="N33" s="8" t="inlineStr">
        <is>
          <t>2026-06-28</t>
        </is>
      </c>
      <c r="O33" s="8" t="inlineStr">
        <is>
          <t>CorpStage CIL Registry v1.0</t>
        </is>
      </c>
      <c r="P33" s="8" t="inlineStr">
        <is>
          <t>Plant, Site, Company, Group (collected at lowest defined node, aggregates upward)</t>
        </is>
      </c>
      <c r="Q33" s="8" t="inlineStr">
        <is>
          <t>Global</t>
        </is>
      </c>
      <c r="R33" s="8" t="inlineStr">
        <is>
          <t>Tier 1 (Standard) — available to all frameworks and all customers</t>
        </is>
      </c>
      <c r="S33" s="8" t="inlineStr">
        <is>
          <t>Owned by D09 Operational Intelligence as an operational performance fact. Financial cost of operational performance owned by D03. D09 owns the operational system-of-record data; D03 owns the financial translation of operational outcomes.</t>
        </is>
      </c>
    </row>
    <row r="34" ht="15" customHeight="1" s="6">
      <c r="A34" s="8" t="inlineStr">
        <is>
          <t>CDE-O033</t>
        </is>
      </c>
      <c r="B34" s="8" t="inlineStr">
        <is>
          <t>Root Cause Analysis Process Documented for Significant Disruptions</t>
        </is>
      </c>
      <c r="C34" s="8" t="inlineStr">
        <is>
          <t>Boolean</t>
        </is>
      </c>
      <c r="D34" s="8" t="inlineStr">
        <is>
          <t>Required</t>
        </is>
      </c>
      <c r="E34" s="8" t="inlineStr">
        <is>
          <t>Multi</t>
        </is>
      </c>
      <c r="F34" s="8" t="inlineStr">
        <is>
          <t>P1</t>
        </is>
      </c>
      <c r="G34" s="8" t="inlineStr">
        <is>
          <t>True/False</t>
        </is>
      </c>
      <c r="H34" s="8" t="inlineStr">
        <is>
          <t>TYPE:BOOLEAN|ALLOWED:TRUE,FALSE</t>
        </is>
      </c>
      <c r="I34" s="8" t="inlineStr">
        <is>
          <t>Effective-dated</t>
        </is>
      </c>
      <c r="J34" s="8" t="inlineStr">
        <is>
          <t>One-to-one</t>
        </is>
      </c>
      <c r="K34" s="8" t="inlineStr">
        <is>
          <t>N/A — not a one-to-many numeric field</t>
        </is>
      </c>
      <c r="L34" s="8" t="inlineStr">
        <is>
          <t>User Validation</t>
        </is>
      </c>
      <c r="M34" s="8" t="inlineStr">
        <is>
          <t>CIL Architecture Team</t>
        </is>
      </c>
      <c r="N34" s="8" t="inlineStr">
        <is>
          <t>2026-06-28</t>
        </is>
      </c>
      <c r="O34" s="8" t="inlineStr">
        <is>
          <t>CorpStage CIL Registry v1.0</t>
        </is>
      </c>
      <c r="P34" s="8" t="inlineStr">
        <is>
          <t>Group only (single enterprise-wide fact, does not repeat per node)</t>
        </is>
      </c>
      <c r="Q34" s="8" t="inlineStr">
        <is>
          <t>Global</t>
        </is>
      </c>
      <c r="R34" s="8" t="inlineStr">
        <is>
          <t>Tier 1 (Standard) — available to all frameworks and all customers</t>
        </is>
      </c>
      <c r="S34" s="8" t="inlineStr">
        <is>
          <t>Owned by D09 Operational Intelligence as an operational performance fact. Financial cost of operational performance owned by D03. D09 owns the operational system-of-record data; D03 owns the financial translation of operational outcomes.</t>
        </is>
      </c>
    </row>
    <row r="35" ht="15" customHeight="1" s="6">
      <c r="A35" s="8" t="inlineStr">
        <is>
          <t>CDE-O034</t>
        </is>
      </c>
      <c r="B35" s="8" t="inlineStr">
        <is>
          <t>Root Cause Category (Equipment Failure/Human Error/Supply/Other)</t>
        </is>
      </c>
      <c r="C35" s="8" t="inlineStr">
        <is>
          <t>Text</t>
        </is>
      </c>
      <c r="D35" s="8" t="inlineStr">
        <is>
          <t>Supplemental</t>
        </is>
      </c>
      <c r="E35" s="8" t="inlineStr">
        <is>
          <t>Optional</t>
        </is>
      </c>
      <c r="F35" s="8" t="inlineStr">
        <is>
          <t>P3</t>
        </is>
      </c>
      <c r="G35" s="8" t="inlineStr">
        <is>
          <t>Non-empty text</t>
        </is>
      </c>
      <c r="H35" s="8" t="inlineStr">
        <is>
          <t>TYPE:TEXT</t>
        </is>
      </c>
      <c r="I35" s="8" t="inlineStr">
        <is>
          <t>Point-in-time</t>
        </is>
      </c>
      <c r="J35" s="8" t="inlineStr">
        <is>
          <t>One-to-many</t>
        </is>
      </c>
      <c r="K35" s="8" t="inlineStr">
        <is>
          <t>N/A — not a one-to-many numeric field</t>
        </is>
      </c>
      <c r="L35" s="8" t="inlineStr">
        <is>
          <t>User Validation</t>
        </is>
      </c>
      <c r="M35" s="8" t="inlineStr">
        <is>
          <t>CIL Architecture Team</t>
        </is>
      </c>
      <c r="N35" s="8" t="inlineStr">
        <is>
          <t>2026-06-28</t>
        </is>
      </c>
      <c r="O35" s="8" t="inlineStr">
        <is>
          <t>CorpStage CIL Registry v1.0</t>
        </is>
      </c>
      <c r="P35" s="8" t="inlineStr">
        <is>
          <t>Plant, Site, Company, Group (collected at lowest defined node, aggregates upward)</t>
        </is>
      </c>
      <c r="Q35" s="8" t="inlineStr">
        <is>
          <t>Global</t>
        </is>
      </c>
      <c r="R35" s="8" t="inlineStr">
        <is>
          <t>Tier 1 (Standard) — available to all frameworks and all customers</t>
        </is>
      </c>
      <c r="S35" s="8" t="inlineStr">
        <is>
          <t>Owned by D09 Operational Intelligence as an operational performance fact. Financial cost of operational performance owned by D03. D09 owns the operational system-of-record data; D03 owns the financial translation of operational outcomes.</t>
        </is>
      </c>
    </row>
    <row r="36" ht="15" customHeight="1" s="6">
      <c r="A36" s="8" t="inlineStr">
        <is>
          <t>CDE-O035</t>
        </is>
      </c>
      <c r="B36" s="8" t="inlineStr">
        <is>
          <t>Operational Recovery Time Following Disruption (Hours)</t>
        </is>
      </c>
      <c r="C36" s="8" t="inlineStr">
        <is>
          <t>Numeric</t>
        </is>
      </c>
      <c r="D36" s="8" t="inlineStr">
        <is>
          <t>Recommended</t>
        </is>
      </c>
      <c r="E36" s="8" t="inlineStr">
        <is>
          <t>Optional</t>
        </is>
      </c>
      <c r="F36" s="8" t="inlineStr">
        <is>
          <t>P2</t>
        </is>
      </c>
      <c r="G36" s="8" t="inlineStr">
        <is>
          <t>&gt;=0, numeric</t>
        </is>
      </c>
      <c r="H36" s="8" t="inlineStr">
        <is>
          <t>TYPE:NUMERIC|MIN:0</t>
        </is>
      </c>
      <c r="I36" s="8" t="inlineStr">
        <is>
          <t>Effective-dated</t>
        </is>
      </c>
      <c r="J36" s="8" t="inlineStr">
        <is>
          <t>One-to-many</t>
        </is>
      </c>
      <c r="K36" s="8" t="inlineStr">
        <is>
          <t>Independent per disruption event; not aggregated (recovery time is a duration per event, not a summable quantity — reporting an average or median across events is more meaningful than a sum)</t>
        </is>
      </c>
      <c r="L36" s="8" t="inlineStr">
        <is>
          <t>User Validation</t>
        </is>
      </c>
      <c r="M36" s="8" t="inlineStr">
        <is>
          <t>CIL Architecture Team</t>
        </is>
      </c>
      <c r="N36" s="8" t="inlineStr">
        <is>
          <t>2026-06-28</t>
        </is>
      </c>
      <c r="O36" s="8" t="inlineStr">
        <is>
          <t>CorpStage CIL Registry v1.0</t>
        </is>
      </c>
      <c r="P36" s="8" t="inlineStr">
        <is>
          <t>Plant, Site, Company, Group (collected at lowest defined node, aggregates upward)</t>
        </is>
      </c>
      <c r="Q36" s="8" t="inlineStr">
        <is>
          <t>Global</t>
        </is>
      </c>
      <c r="R36" s="8" t="inlineStr">
        <is>
          <t>Tier 1 (Standard) — available to all frameworks and all customers</t>
        </is>
      </c>
      <c r="S36" s="8" t="inlineStr">
        <is>
          <t>Owned by D09 Operational Intelligence as an operational performance fact. Financial cost of operational performance owned by D03. D09 owns the operational system-of-record data; D03 owns the financial translation of operational outcomes.</t>
        </is>
      </c>
    </row>
    <row r="37" ht="15" customHeight="1" s="6">
      <c r="A37" s="8" t="inlineStr">
        <is>
          <t>CDE-O036</t>
        </is>
      </c>
      <c r="B37" s="8" t="inlineStr">
        <is>
          <t>Formal Single-Point-of-Failure Mapping Process Documented</t>
        </is>
      </c>
      <c r="C37" s="8" t="inlineStr">
        <is>
          <t>Boolean</t>
        </is>
      </c>
      <c r="D37" s="8" t="inlineStr">
        <is>
          <t>Required</t>
        </is>
      </c>
      <c r="E37" s="8" t="inlineStr">
        <is>
          <t>Optional</t>
        </is>
      </c>
      <c r="F37" s="8" t="inlineStr">
        <is>
          <t>P1</t>
        </is>
      </c>
      <c r="G37" s="8" t="inlineStr">
        <is>
          <t>True/False</t>
        </is>
      </c>
      <c r="H37" s="8" t="inlineStr">
        <is>
          <t>TYPE:BOOLEAN|ALLOWED:TRUE,FALSE</t>
        </is>
      </c>
      <c r="I37" s="8" t="inlineStr">
        <is>
          <t>Effective-dated</t>
        </is>
      </c>
      <c r="J37" s="8" t="inlineStr">
        <is>
          <t>One-to-one</t>
        </is>
      </c>
      <c r="K37" s="8" t="inlineStr">
        <is>
          <t>N/A — not a one-to-many numeric field</t>
        </is>
      </c>
      <c r="L37" s="8" t="inlineStr">
        <is>
          <t>User Validation</t>
        </is>
      </c>
      <c r="M37" s="8" t="inlineStr">
        <is>
          <t>CIL Architecture Team</t>
        </is>
      </c>
      <c r="N37" s="8" t="inlineStr">
        <is>
          <t>2026-06-28</t>
        </is>
      </c>
      <c r="O37" s="8" t="inlineStr">
        <is>
          <t>CorpStage CIL Registry v1.0</t>
        </is>
      </c>
      <c r="P37" s="8" t="inlineStr">
        <is>
          <t>Group only (single enterprise-wide fact, does not repeat per node)</t>
        </is>
      </c>
      <c r="Q37" s="8" t="inlineStr">
        <is>
          <t>Global</t>
        </is>
      </c>
      <c r="R37" s="8" t="inlineStr">
        <is>
          <t>Tier 1 (Standard) — available to all frameworks and all customers</t>
        </is>
      </c>
      <c r="S37" s="8" t="inlineStr">
        <is>
          <t>Owned by Operational Intelligence per Binding 6(a) — captures the PROCESS-EXISTENCE fact (does a formal mapping exercise occur). This domain deliberately does NOT own the specific concentration-risk SEVERITY facts (single-source inputs, geographic/customer concentration ratings) — Domain 4 Risk Intelligence's CDE-R102/103/104/113/114/115/116/150/151 own that content comprehensively; this domain must reference Domain 4 for those facts, not duplicate.</t>
        </is>
      </c>
    </row>
    <row r="38" ht="15" customHeight="1" s="6">
      <c r="A38" s="8" t="inlineStr">
        <is>
          <t>CDE-O037</t>
        </is>
      </c>
      <c r="B38" s="8" t="inlineStr">
        <is>
          <t>Business Impact Analysis (BIA) Conducted for Production Operations</t>
        </is>
      </c>
      <c r="C38" s="8" t="inlineStr">
        <is>
          <t>Boolean</t>
        </is>
      </c>
      <c r="D38" s="8" t="inlineStr">
        <is>
          <t>Recommended</t>
        </is>
      </c>
      <c r="E38" s="8" t="inlineStr">
        <is>
          <t>Optional</t>
        </is>
      </c>
      <c r="F38" s="8" t="inlineStr">
        <is>
          <t>P2</t>
        </is>
      </c>
      <c r="G38" s="8" t="inlineStr">
        <is>
          <t>True/False/Unknown (tri-state)</t>
        </is>
      </c>
      <c r="H38" s="8" t="inlineStr">
        <is>
          <t>TYPE:BOOLEAN|ALLOWED:TRUE,FALSE,UNKNOWN</t>
        </is>
      </c>
      <c r="I38" s="8" t="inlineStr">
        <is>
          <t>Effective-dated</t>
        </is>
      </c>
      <c r="J38" s="8" t="inlineStr">
        <is>
          <t>One-to-one</t>
        </is>
      </c>
      <c r="K38" s="8" t="inlineStr">
        <is>
          <t>N/A — not a one-to-many numeric field</t>
        </is>
      </c>
      <c r="L38" s="8" t="inlineStr">
        <is>
          <t>User Validation</t>
        </is>
      </c>
      <c r="M38" s="8" t="inlineStr">
        <is>
          <t>CIL Architecture Team</t>
        </is>
      </c>
      <c r="N38" s="8" t="inlineStr">
        <is>
          <t>2026-06-28</t>
        </is>
      </c>
      <c r="O38" s="8" t="inlineStr">
        <is>
          <t>CorpStage CIL Registry v1.0</t>
        </is>
      </c>
      <c r="P38" s="8" t="inlineStr">
        <is>
          <t>Group only (single enterprise-wide fact, does not repeat per node)</t>
        </is>
      </c>
      <c r="Q38" s="8" t="inlineStr">
        <is>
          <t>Global</t>
        </is>
      </c>
      <c r="R38" s="8" t="inlineStr">
        <is>
          <t>Tier 1 (Standard) — available to all frameworks and all customers</t>
        </is>
      </c>
      <c r="S38" s="8" t="inlineStr">
        <is>
          <t>Owned by D09 Operational Intelligence as an operational performance fact. Financial cost of operational performance owned by D03. D09 owns the operational system-of-record data; D03 owns the financial translation of operational outcomes.</t>
        </is>
      </c>
    </row>
    <row r="39" ht="15" customHeight="1" s="6">
      <c r="A39" s="8" t="inlineStr">
        <is>
          <t>CDE-O038</t>
        </is>
      </c>
      <c r="B39" s="8" t="inlineStr">
        <is>
          <t>SPOF Mapping Last Conducted Date</t>
        </is>
      </c>
      <c r="C39" s="8" t="inlineStr">
        <is>
          <t>Date</t>
        </is>
      </c>
      <c r="D39" s="8" t="inlineStr">
        <is>
          <t>Supplemental</t>
        </is>
      </c>
      <c r="E39" s="8" t="inlineStr">
        <is>
          <t>Optional</t>
        </is>
      </c>
      <c r="F39" s="8" t="inlineStr">
        <is>
          <t>P3</t>
        </is>
      </c>
      <c r="G39" s="8" t="inlineStr">
        <is>
          <t>Valid date</t>
        </is>
      </c>
      <c r="H39" s="8" t="inlineStr">
        <is>
          <t>TYPE:DATE</t>
        </is>
      </c>
      <c r="I39" s="8" t="inlineStr">
        <is>
          <t>Point-in-time</t>
        </is>
      </c>
      <c r="J39" s="8" t="inlineStr">
        <is>
          <t>One-to-one</t>
        </is>
      </c>
      <c r="K39" s="8" t="inlineStr">
        <is>
          <t>N/A — not a one-to-many numeric field</t>
        </is>
      </c>
      <c r="L39" s="8" t="inlineStr">
        <is>
          <t>User Validation</t>
        </is>
      </c>
      <c r="M39" s="8" t="inlineStr">
        <is>
          <t>CIL Architecture Team</t>
        </is>
      </c>
      <c r="N39" s="8" t="inlineStr">
        <is>
          <t>2026-06-28</t>
        </is>
      </c>
      <c r="O39" s="8" t="inlineStr">
        <is>
          <t>CorpStage CIL Registry v1.0</t>
        </is>
      </c>
      <c r="P39" s="8" t="inlineStr">
        <is>
          <t>Group only (single enterprise-wide fact, does not repeat per node)</t>
        </is>
      </c>
      <c r="Q39" s="8" t="inlineStr">
        <is>
          <t>Global</t>
        </is>
      </c>
      <c r="R39" s="8" t="inlineStr">
        <is>
          <t>Tier 1 (Standard) — available to all frameworks and all customers</t>
        </is>
      </c>
      <c r="S39" s="8" t="inlineStr">
        <is>
          <t>Owned by D09 Operational Intelligence as an operational performance fact. Financial cost of operational performance owned by D03. D09 owns the operational system-of-record data; D03 owns the financial translation of operational outcomes.</t>
        </is>
      </c>
    </row>
    <row r="40" ht="15" customHeight="1" s="6">
      <c r="A40" s="8" t="inlineStr">
        <is>
          <t>CDE-O039</t>
        </is>
      </c>
      <c r="B40" s="8" t="inlineStr">
        <is>
          <t>Operational Cost Breakdown by Driver (Labor/Materials/Overhead %)</t>
        </is>
      </c>
      <c r="C40" s="8" t="inlineStr">
        <is>
          <t>Text</t>
        </is>
      </c>
      <c r="D40" s="8" t="inlineStr">
        <is>
          <t>Required</t>
        </is>
      </c>
      <c r="E40" s="8" t="inlineStr">
        <is>
          <t>Multi</t>
        </is>
      </c>
      <c r="F40" s="8" t="inlineStr">
        <is>
          <t>P1</t>
        </is>
      </c>
      <c r="G40" s="8" t="inlineStr">
        <is>
          <t>Non-empty text</t>
        </is>
      </c>
      <c r="H40" s="8" t="inlineStr">
        <is>
          <t>TYPE:TEXT</t>
        </is>
      </c>
      <c r="I40" s="8" t="inlineStr">
        <is>
          <t>Effective-dated</t>
        </is>
      </c>
      <c r="J40" s="8" t="inlineStr">
        <is>
          <t>One-to-one</t>
        </is>
      </c>
      <c r="K40" s="8" t="inlineStr">
        <is>
          <t>N/A — not a one-to-many numeric field</t>
        </is>
      </c>
      <c r="L40" s="8" t="inlineStr">
        <is>
          <t>Finance / ERP System (SAP S/4HANA, Oracle Fusion, NetSuite)</t>
        </is>
      </c>
      <c r="M40" s="8" t="inlineStr">
        <is>
          <t>CIL Architecture Team</t>
        </is>
      </c>
      <c r="N40" s="8" t="inlineStr">
        <is>
          <t>2026-06-28</t>
        </is>
      </c>
      <c r="O40" s="8" t="inlineStr">
        <is>
          <t>CorpStage CIL Registry v1.0</t>
        </is>
      </c>
      <c r="P40" s="8" t="inlineStr">
        <is>
          <t>Group only (single enterprise-wide fact, does not repeat per node)</t>
        </is>
      </c>
      <c r="Q40" s="8" t="inlineStr">
        <is>
          <t>Global</t>
        </is>
      </c>
      <c r="R40" s="8" t="inlineStr">
        <is>
          <t>Tier 1 (Standard) — available to all frameworks and all customers</t>
        </is>
      </c>
      <c r="S40" s="8" t="inlineStr">
        <is>
          <t>Distinct from Domain 3 Financial Intelligence's CDE-F253 (Cost of Goods Sold), which is the AGGREGATE financial-statement figure. This domain owns the OPERATIONAL DRIVER breakdown (labor/materials/overhead components) that explains COGS, not the aggregate figure itself — Domain 3 must be referenced for the total COGS figure.</t>
        </is>
      </c>
    </row>
    <row r="41" ht="15" customHeight="1" s="6">
      <c r="A41" s="8" t="inlineStr">
        <is>
          <t>CDE-O040</t>
        </is>
      </c>
      <c r="B41" s="8" t="inlineStr">
        <is>
          <t>Direct Labor Cost as % of Operational Cost</t>
        </is>
      </c>
      <c r="C41" s="8" t="inlineStr">
        <is>
          <t>Numeric</t>
        </is>
      </c>
      <c r="D41" s="8" t="inlineStr">
        <is>
          <t>Recommended</t>
        </is>
      </c>
      <c r="E41" s="8" t="inlineStr">
        <is>
          <t>Optional</t>
        </is>
      </c>
      <c r="F41" s="8" t="inlineStr">
        <is>
          <t>P2</t>
        </is>
      </c>
      <c r="G41" s="8" t="inlineStr">
        <is>
          <t>0-100, numeric</t>
        </is>
      </c>
      <c r="H41" s="8" t="inlineStr">
        <is>
          <t>TYPE:NUMERIC|MIN:0|MAX:100</t>
        </is>
      </c>
      <c r="I41" s="8" t="inlineStr">
        <is>
          <t>Effective-dated</t>
        </is>
      </c>
      <c r="J41" s="8" t="inlineStr">
        <is>
          <t>One-to-one</t>
        </is>
      </c>
      <c r="K41" s="8" t="inlineStr">
        <is>
          <t>N/A — not a one-to-many numeric field</t>
        </is>
      </c>
      <c r="L41" s="8" t="inlineStr">
        <is>
          <t>Finance / ERP System (SAP S/4HANA, Oracle Fusion, NetSuite)</t>
        </is>
      </c>
      <c r="M41" s="8" t="inlineStr">
        <is>
          <t>CIL Architecture Team</t>
        </is>
      </c>
      <c r="N41" s="8" t="inlineStr">
        <is>
          <t>2026-06-28</t>
        </is>
      </c>
      <c r="O41" s="8" t="inlineStr">
        <is>
          <t>CorpStage CIL Registry v1.0</t>
        </is>
      </c>
      <c r="P41" s="8" t="inlineStr">
        <is>
          <t>Group only (single enterprise-wide fact, does not repeat per node)</t>
        </is>
      </c>
      <c r="Q41" s="8" t="inlineStr">
        <is>
          <t>Global</t>
        </is>
      </c>
      <c r="R41" s="8" t="inlineStr">
        <is>
          <t>Tier 1 (Standard) — available to all frameworks and all customers</t>
        </is>
      </c>
      <c r="S41" s="8" t="inlineStr">
        <is>
          <t>Owned by D09 Operational Intelligence as an operational performance fact. Financial cost of operational performance owned by D03. D09 owns the operational system-of-record data; D03 owns the financial translation of operational outcomes.</t>
        </is>
      </c>
    </row>
    <row r="42" ht="15" customHeight="1" s="6">
      <c r="A42" s="8" t="inlineStr">
        <is>
          <t>CDE-O041</t>
        </is>
      </c>
      <c r="B42" s="8" t="inlineStr">
        <is>
          <t>Unit Production Cost (Current Period)</t>
        </is>
      </c>
      <c r="C42" s="8" t="inlineStr">
        <is>
          <t>Numeric</t>
        </is>
      </c>
      <c r="D42" s="8" t="inlineStr">
        <is>
          <t>Required</t>
        </is>
      </c>
      <c r="E42" s="8" t="inlineStr">
        <is>
          <t>Multi</t>
        </is>
      </c>
      <c r="F42" s="8" t="inlineStr">
        <is>
          <t>P1</t>
        </is>
      </c>
      <c r="G42" s="8" t="inlineStr">
        <is>
          <t>&gt;=0, numeric</t>
        </is>
      </c>
      <c r="H42" s="8" t="inlineStr">
        <is>
          <t>TYPE:NUMERIC|MIN:0</t>
        </is>
      </c>
      <c r="I42" s="8" t="inlineStr">
        <is>
          <t>Effective-dated</t>
        </is>
      </c>
      <c r="J42" s="8" t="inlineStr">
        <is>
          <t>One-to-one</t>
        </is>
      </c>
      <c r="K42" s="8" t="inlineStr">
        <is>
          <t>N/A — not a one-to-many numeric field</t>
        </is>
      </c>
      <c r="L42" s="8" t="inlineStr">
        <is>
          <t>Finance / ERP System (SAP S/4HANA, Oracle Fusion, NetSuite)</t>
        </is>
      </c>
      <c r="M42" s="8" t="inlineStr">
        <is>
          <t>CIL Architecture Team</t>
        </is>
      </c>
      <c r="N42" s="8" t="inlineStr">
        <is>
          <t>2026-06-28</t>
        </is>
      </c>
      <c r="O42" s="8" t="inlineStr">
        <is>
          <t>CorpStage CIL Registry v1.0</t>
        </is>
      </c>
      <c r="P42" s="8" t="inlineStr">
        <is>
          <t>Group only (single enterprise-wide fact, does not repeat per node)</t>
        </is>
      </c>
      <c r="Q42" s="8" t="inlineStr">
        <is>
          <t>Global</t>
        </is>
      </c>
      <c r="R42" s="8" t="inlineStr">
        <is>
          <t>Tier 1 (Standard) — available to all frameworks and all customers</t>
        </is>
      </c>
      <c r="S42" s="8" t="inlineStr">
        <is>
          <t>Owned by D09 Operational Intelligence as an operational performance fact. Financial cost of operational performance owned by D03. D09 owns the operational system-of-record data; D03 owns the financial translation of operational outcomes.</t>
        </is>
      </c>
    </row>
    <row r="43" ht="15" customHeight="1" s="6">
      <c r="A43" s="8" t="inlineStr">
        <is>
          <t>CDE-O042</t>
        </is>
      </c>
      <c r="B43" s="8" t="inlineStr">
        <is>
          <t>Unit Production Cost Trend (3yr)</t>
        </is>
      </c>
      <c r="C43" s="8" t="inlineStr">
        <is>
          <t>Text</t>
        </is>
      </c>
      <c r="D43" s="8" t="inlineStr">
        <is>
          <t>Recommended</t>
        </is>
      </c>
      <c r="E43" s="8" t="inlineStr">
        <is>
          <t>Optional</t>
        </is>
      </c>
      <c r="F43" s="8" t="inlineStr">
        <is>
          <t>P2</t>
        </is>
      </c>
      <c r="G43" s="8" t="inlineStr">
        <is>
          <t>Increasing/Stable/Decreasing</t>
        </is>
      </c>
      <c r="H43" s="8" t="inlineStr">
        <is>
          <t>TYPE:ENUM|ALLOWED:INCREASING,STABLE,DECREASING</t>
        </is>
      </c>
      <c r="I43" s="8" t="inlineStr">
        <is>
          <t>Point-in-time</t>
        </is>
      </c>
      <c r="J43" s="8" t="inlineStr">
        <is>
          <t>One-to-one</t>
        </is>
      </c>
      <c r="K43" s="8" t="inlineStr">
        <is>
          <t>N/A — not a one-to-many numeric field</t>
        </is>
      </c>
      <c r="L43" s="8" t="inlineStr">
        <is>
          <t>Finance / ERP System (SAP S/4HANA, Oracle Fusion, NetSuite)</t>
        </is>
      </c>
      <c r="M43" s="8" t="inlineStr">
        <is>
          <t>CIL Architecture Team</t>
        </is>
      </c>
      <c r="N43" s="8" t="inlineStr">
        <is>
          <t>2026-06-28</t>
        </is>
      </c>
      <c r="O43" s="8" t="inlineStr">
        <is>
          <t>CorpStage CIL Registry v1.0</t>
        </is>
      </c>
      <c r="P43" s="8" t="inlineStr">
        <is>
          <t>Group only (single enterprise-wide fact, does not repeat per node)</t>
        </is>
      </c>
      <c r="Q43" s="8" t="inlineStr">
        <is>
          <t>Global</t>
        </is>
      </c>
      <c r="R43" s="8" t="inlineStr">
        <is>
          <t>Tier 1 (Standard) — available to all frameworks and all customers</t>
        </is>
      </c>
      <c r="S43" s="8" t="inlineStr">
        <is>
          <t>Owned by D09 Operational Intelligence as an operational performance fact. Financial cost of operational performance owned by D03. D09 owns the operational system-of-record data; D03 owns the financial translation of operational outcomes.</t>
        </is>
      </c>
    </row>
    <row r="44" ht="15" customHeight="1" s="6">
      <c r="A44" s="8" t="inlineStr">
        <is>
          <t>CDE-O043</t>
        </is>
      </c>
      <c r="B44" s="8" t="inlineStr">
        <is>
          <t>Operational Cost Reduction Initiative Documented</t>
        </is>
      </c>
      <c r="C44" s="8" t="inlineStr">
        <is>
          <t>Boolean</t>
        </is>
      </c>
      <c r="D44" s="8" t="inlineStr">
        <is>
          <t>Recommended</t>
        </is>
      </c>
      <c r="E44" s="8" t="inlineStr">
        <is>
          <t>Optional</t>
        </is>
      </c>
      <c r="F44" s="8" t="inlineStr">
        <is>
          <t>P2</t>
        </is>
      </c>
      <c r="G44" s="8" t="inlineStr">
        <is>
          <t>True/False</t>
        </is>
      </c>
      <c r="H44" s="8" t="inlineStr">
        <is>
          <t>TYPE:BOOLEAN|ALLOWED:TRUE,FALSE</t>
        </is>
      </c>
      <c r="I44" s="8" t="inlineStr">
        <is>
          <t>Effective-dated</t>
        </is>
      </c>
      <c r="J44" s="8" t="inlineStr">
        <is>
          <t>One-to-one</t>
        </is>
      </c>
      <c r="K44" s="8" t="inlineStr">
        <is>
          <t>N/A — not a one-to-many numeric field</t>
        </is>
      </c>
      <c r="L44" s="8" t="inlineStr">
        <is>
          <t>User Validation</t>
        </is>
      </c>
      <c r="M44" s="8" t="inlineStr">
        <is>
          <t>CIL Architecture Team</t>
        </is>
      </c>
      <c r="N44" s="8" t="inlineStr">
        <is>
          <t>2026-06-28</t>
        </is>
      </c>
      <c r="O44" s="8" t="inlineStr">
        <is>
          <t>CorpStage CIL Registry v1.0</t>
        </is>
      </c>
      <c r="P44" s="8" t="inlineStr">
        <is>
          <t>Group only (single enterprise-wide fact, does not repeat per node)</t>
        </is>
      </c>
      <c r="Q44" s="8" t="inlineStr">
        <is>
          <t>Global</t>
        </is>
      </c>
      <c r="R44" s="8" t="inlineStr">
        <is>
          <t>Tier 1 (Standard) — available to all frameworks and all customers</t>
        </is>
      </c>
      <c r="S44" s="8" t="inlineStr">
        <is>
          <t>Owned by D09 Operational Intelligence as an operational performance fact. Financial cost of operational performance owned by D03. D09 owns the operational system-of-record data; D03 owns the financial translation of operational outcomes.</t>
        </is>
      </c>
    </row>
    <row r="45" ht="15" customHeight="1" s="6">
      <c r="A45" s="8" t="inlineStr">
        <is>
          <t>CDE-O044</t>
        </is>
      </c>
      <c r="B45" s="8" t="inlineStr">
        <is>
          <t>Cost Reduction Initiative Target Savings</t>
        </is>
      </c>
      <c r="C45" s="8" t="inlineStr">
        <is>
          <t>Numeric</t>
        </is>
      </c>
      <c r="D45" s="8" t="inlineStr">
        <is>
          <t>Supplemental</t>
        </is>
      </c>
      <c r="E45" s="8" t="inlineStr">
        <is>
          <t>Optional</t>
        </is>
      </c>
      <c r="F45" s="8" t="inlineStr">
        <is>
          <t>P3</t>
        </is>
      </c>
      <c r="G45" s="8" t="inlineStr">
        <is>
          <t>&gt;=0, numeric</t>
        </is>
      </c>
      <c r="H45" s="8" t="inlineStr">
        <is>
          <t>TYPE:NUMERIC|MIN:0</t>
        </is>
      </c>
      <c r="I45" s="8" t="inlineStr">
        <is>
          <t>Point-in-time</t>
        </is>
      </c>
      <c r="J45" s="8" t="inlineStr">
        <is>
          <t>One-to-one</t>
        </is>
      </c>
      <c r="K45" s="8" t="inlineStr">
        <is>
          <t>N/A — not a one-to-many numeric field</t>
        </is>
      </c>
      <c r="L45" s="8" t="inlineStr">
        <is>
          <t>User Validation</t>
        </is>
      </c>
      <c r="M45" s="8" t="inlineStr">
        <is>
          <t>CIL Architecture Team</t>
        </is>
      </c>
      <c r="N45" s="8" t="inlineStr">
        <is>
          <t>2026-06-28</t>
        </is>
      </c>
      <c r="O45" s="8" t="inlineStr">
        <is>
          <t>CorpStage CIL Registry v1.0</t>
        </is>
      </c>
      <c r="P45" s="8" t="inlineStr">
        <is>
          <t>Group only (single enterprise-wide fact, does not repeat per node)</t>
        </is>
      </c>
      <c r="Q45" s="8" t="inlineStr">
        <is>
          <t>Global</t>
        </is>
      </c>
      <c r="R45" s="8" t="inlineStr">
        <is>
          <t>Tier 1 (Standard) — available to all frameworks and all customers</t>
        </is>
      </c>
      <c r="S45" s="8" t="inlineStr">
        <is>
          <t>Owned by D09 Operational Intelligence as an operational performance fact. Financial cost of operational performance owned by D03. D09 owns the operational system-of-record data; D03 owns the financial translation of operational outcomes.</t>
        </is>
      </c>
    </row>
    <row r="46" ht="15" customHeight="1" s="6">
      <c r="A46" s="8" t="inlineStr">
        <is>
          <t>CDE-O045</t>
        </is>
      </c>
      <c r="B46" s="8" t="inlineStr">
        <is>
          <t>Energy Cost per Unit of Production</t>
        </is>
      </c>
      <c r="C46" s="8" t="inlineStr">
        <is>
          <t>Numeric</t>
        </is>
      </c>
      <c r="D46" s="8" t="inlineStr">
        <is>
          <t>Required</t>
        </is>
      </c>
      <c r="E46" s="8" t="inlineStr">
        <is>
          <t>Multi</t>
        </is>
      </c>
      <c r="F46" s="8" t="inlineStr">
        <is>
          <t>P1</t>
        </is>
      </c>
      <c r="G46" s="8" t="inlineStr">
        <is>
          <t>&gt;=0, numeric</t>
        </is>
      </c>
      <c r="H46" s="8" t="inlineStr">
        <is>
          <t>TYPE:NUMERIC|MIN:0</t>
        </is>
      </c>
      <c r="I46" s="8" t="inlineStr">
        <is>
          <t>Effective-dated</t>
        </is>
      </c>
      <c r="J46" s="8" t="inlineStr">
        <is>
          <t>One-to-one</t>
        </is>
      </c>
      <c r="K46" s="8" t="inlineStr">
        <is>
          <t>N/A — not a one-to-many numeric field</t>
        </is>
      </c>
      <c r="L46" s="8" t="inlineStr">
        <is>
          <t>Finance / ERP System (SAP S/4HANA, Oracle Fusion, NetSuite)</t>
        </is>
      </c>
      <c r="M46" s="8" t="inlineStr">
        <is>
          <t>CIL Architecture Team</t>
        </is>
      </c>
      <c r="N46" s="8" t="inlineStr">
        <is>
          <t>2026-06-28</t>
        </is>
      </c>
      <c r="O46" s="8" t="inlineStr">
        <is>
          <t>CorpStage CIL Registry v1.0</t>
        </is>
      </c>
      <c r="P46" s="8" t="inlineStr">
        <is>
          <t>Group only (single enterprise-wide fact, does not repeat per node)</t>
        </is>
      </c>
      <c r="Q46" s="8" t="inlineStr">
        <is>
          <t>Global</t>
        </is>
      </c>
      <c r="R46" s="8" t="inlineStr">
        <is>
          <t>Tier 1 (Standard) — available to all frameworks and all customers</t>
        </is>
      </c>
      <c r="S46" s="8" t="inlineStr">
        <is>
          <t>Distinct from Domain 7 ESG &amp; Sustainability Intelligence's CDE-E001/002 (Total Direct Energy Cost), which is the AGGREGATE disclosure-facing figure. This domain owns the PER-UNIT EFFICIENCY RATIO (cost per unit of production) — derived from but not duplicating Domain 7's total figure, consistent with the canonical blueprint's explicit framing of Operational Intelligence as the 'energy consumption AS OPERATIONAL COST' lens.</t>
        </is>
      </c>
    </row>
    <row r="47" ht="15" customHeight="1" s="6">
      <c r="A47" s="8" t="inlineStr">
        <is>
          <t>CDE-O046</t>
        </is>
      </c>
      <c r="B47" s="8" t="inlineStr">
        <is>
          <t>Energy Cost per Unit Trend (3yr)</t>
        </is>
      </c>
      <c r="C47" s="8" t="inlineStr">
        <is>
          <t>Text</t>
        </is>
      </c>
      <c r="D47" s="8" t="inlineStr">
        <is>
          <t>Recommended</t>
        </is>
      </c>
      <c r="E47" s="8" t="inlineStr">
        <is>
          <t>Optional</t>
        </is>
      </c>
      <c r="F47" s="8" t="inlineStr">
        <is>
          <t>P2</t>
        </is>
      </c>
      <c r="G47" s="8" t="inlineStr">
        <is>
          <t>Increasing/Stable/Decreasing</t>
        </is>
      </c>
      <c r="H47" s="8" t="inlineStr">
        <is>
          <t>TYPE:ENUM|ALLOWED:INCREASING,STABLE,DECREASING</t>
        </is>
      </c>
      <c r="I47" s="8" t="inlineStr">
        <is>
          <t>Point-in-time</t>
        </is>
      </c>
      <c r="J47" s="8" t="inlineStr">
        <is>
          <t>One-to-one</t>
        </is>
      </c>
      <c r="K47" s="8" t="inlineStr">
        <is>
          <t>N/A — not a one-to-many numeric field</t>
        </is>
      </c>
      <c r="L47" s="8" t="inlineStr">
        <is>
          <t>Finance / ERP System (SAP S/4HANA, Oracle Fusion, NetSuite)</t>
        </is>
      </c>
      <c r="M47" s="8" t="inlineStr">
        <is>
          <t>CIL Architecture Team</t>
        </is>
      </c>
      <c r="N47" s="8" t="inlineStr">
        <is>
          <t>2026-06-28</t>
        </is>
      </c>
      <c r="O47" s="8" t="inlineStr">
        <is>
          <t>CorpStage CIL Registry v1.0</t>
        </is>
      </c>
      <c r="P47" s="8" t="inlineStr">
        <is>
          <t>Group only (single enterprise-wide fact, does not repeat per node)</t>
        </is>
      </c>
      <c r="Q47" s="8" t="inlineStr">
        <is>
          <t>Global</t>
        </is>
      </c>
      <c r="R47" s="8" t="inlineStr">
        <is>
          <t>Tier 1 (Standard) — available to all frameworks and all customers</t>
        </is>
      </c>
      <c r="S47" s="8" t="inlineStr">
        <is>
          <t>Owned by D09 Operational Intelligence as an operational performance fact. Financial cost of operational performance owned by D03. D09 owns the operational system-of-record data; D03 owns the financial translation of operational outcomes.</t>
        </is>
      </c>
    </row>
    <row r="48" ht="15" customHeight="1" s="6">
      <c r="A48" s="8" t="inlineStr">
        <is>
          <t>CDE-O047</t>
        </is>
      </c>
      <c r="B48" s="8" t="inlineStr">
        <is>
          <t>Water Cost per Unit of Production</t>
        </is>
      </c>
      <c r="C48" s="8" t="inlineStr">
        <is>
          <t>Numeric</t>
        </is>
      </c>
      <c r="D48" s="8" t="inlineStr">
        <is>
          <t>Recommended</t>
        </is>
      </c>
      <c r="E48" s="8" t="inlineStr">
        <is>
          <t>Optional</t>
        </is>
      </c>
      <c r="F48" s="8" t="inlineStr">
        <is>
          <t>P2</t>
        </is>
      </c>
      <c r="G48" s="8" t="inlineStr">
        <is>
          <t>&gt;=0, numeric</t>
        </is>
      </c>
      <c r="H48" s="8" t="inlineStr">
        <is>
          <t>TYPE:NUMERIC|MIN:0</t>
        </is>
      </c>
      <c r="I48" s="8" t="inlineStr">
        <is>
          <t>Effective-dated</t>
        </is>
      </c>
      <c r="J48" s="8" t="inlineStr">
        <is>
          <t>One-to-one</t>
        </is>
      </c>
      <c r="K48" s="8" t="inlineStr">
        <is>
          <t>N/A — not a one-to-many numeric field</t>
        </is>
      </c>
      <c r="L48" s="8" t="inlineStr">
        <is>
          <t>Finance / ERP System (SAP S/4HANA, Oracle Fusion, NetSuite)</t>
        </is>
      </c>
      <c r="M48" s="8" t="inlineStr">
        <is>
          <t>CIL Architecture Team</t>
        </is>
      </c>
      <c r="N48" s="8" t="inlineStr">
        <is>
          <t>2026-06-28</t>
        </is>
      </c>
      <c r="O48" s="8" t="inlineStr">
        <is>
          <t>CorpStage CIL Registry v1.0</t>
        </is>
      </c>
      <c r="P48" s="8" t="inlineStr">
        <is>
          <t>Group only (single enterprise-wide fact, does not repeat per node)</t>
        </is>
      </c>
      <c r="Q48" s="8" t="inlineStr">
        <is>
          <t>Global</t>
        </is>
      </c>
      <c r="R48" s="8" t="inlineStr">
        <is>
          <t>Tier 1 (Standard) — available to all frameworks and all customers</t>
        </is>
      </c>
      <c r="S48" s="8" t="inlineStr">
        <is>
          <t>Owned by D09 Operational Intelligence as an operational performance fact. Financial cost of operational performance owned by D03. D09 owns the operational system-of-record data; D03 owns the financial translation of operational outcomes.</t>
        </is>
      </c>
    </row>
    <row r="49" ht="15" customHeight="1" s="6">
      <c r="A49" s="8" t="inlineStr">
        <is>
          <t>CDE-O048</t>
        </is>
      </c>
      <c r="B49" s="8" t="inlineStr">
        <is>
          <t>Raw Material Cost Efficiency Ratio (Material Cost per Unit Output)</t>
        </is>
      </c>
      <c r="C49" s="8" t="inlineStr">
        <is>
          <t>Numeric</t>
        </is>
      </c>
      <c r="D49" s="8" t="inlineStr">
        <is>
          <t>Recommended</t>
        </is>
      </c>
      <c r="E49" s="8" t="inlineStr">
        <is>
          <t>Optional</t>
        </is>
      </c>
      <c r="F49" s="8" t="inlineStr">
        <is>
          <t>P2</t>
        </is>
      </c>
      <c r="G49" s="8" t="inlineStr">
        <is>
          <t>&gt;=0, numeric</t>
        </is>
      </c>
      <c r="H49" s="8" t="inlineStr">
        <is>
          <t>TYPE:NUMERIC|MIN:0</t>
        </is>
      </c>
      <c r="I49" s="8" t="inlineStr">
        <is>
          <t>Effective-dated</t>
        </is>
      </c>
      <c r="J49" s="8" t="inlineStr">
        <is>
          <t>One-to-one</t>
        </is>
      </c>
      <c r="K49" s="8" t="inlineStr">
        <is>
          <t>N/A — not a one-to-many numeric field</t>
        </is>
      </c>
      <c r="L49" s="8" t="inlineStr">
        <is>
          <t>Finance / ERP System (SAP S/4HANA, Oracle Fusion, NetSuite)</t>
        </is>
      </c>
      <c r="M49" s="8" t="inlineStr">
        <is>
          <t>CIL Architecture Team</t>
        </is>
      </c>
      <c r="N49" s="8" t="inlineStr">
        <is>
          <t>2026-06-28</t>
        </is>
      </c>
      <c r="O49" s="8" t="inlineStr">
        <is>
          <t>CorpStage CIL Registry v1.0</t>
        </is>
      </c>
      <c r="P49" s="8" t="inlineStr">
        <is>
          <t>Group only (single enterprise-wide fact, does not repeat per node)</t>
        </is>
      </c>
      <c r="Q49" s="8" t="inlineStr">
        <is>
          <t>Global</t>
        </is>
      </c>
      <c r="R49" s="8" t="inlineStr">
        <is>
          <t>Tier 1 (Standard) — available to all frameworks and all customers</t>
        </is>
      </c>
      <c r="S49" s="8" t="inlineStr">
        <is>
          <t>Owned by D09 Operational Intelligence as an operational performance fact. Financial cost of operational performance owned by D03. D09 owns the operational system-of-record data; D03 owns the financial translation of operational outcomes.</t>
        </is>
      </c>
    </row>
    <row r="50" ht="15" customHeight="1" s="6">
      <c r="A50" s="8" t="inlineStr">
        <is>
          <t>CDE-O049</t>
        </is>
      </c>
      <c r="B50" s="8" t="inlineStr">
        <is>
          <t>Operational Efficiency Investment Made (e.g. Equipment Upgrade for Energy Savings)</t>
        </is>
      </c>
      <c r="C50" s="8" t="inlineStr">
        <is>
          <t>Boolean</t>
        </is>
      </c>
      <c r="D50" s="8" t="inlineStr">
        <is>
          <t>Recommended</t>
        </is>
      </c>
      <c r="E50" s="8" t="inlineStr">
        <is>
          <t>Optional</t>
        </is>
      </c>
      <c r="F50" s="8" t="inlineStr">
        <is>
          <t>P2</t>
        </is>
      </c>
      <c r="G50" s="8" t="inlineStr">
        <is>
          <t>True/False</t>
        </is>
      </c>
      <c r="H50" s="8" t="inlineStr">
        <is>
          <t>TYPE:BOOLEAN|ALLOWED:TRUE,FALSE</t>
        </is>
      </c>
      <c r="I50" s="8" t="inlineStr">
        <is>
          <t>Effective-dated</t>
        </is>
      </c>
      <c r="J50" s="8" t="inlineStr">
        <is>
          <t>One-to-one</t>
        </is>
      </c>
      <c r="K50" s="8" t="inlineStr">
        <is>
          <t>N/A — not a one-to-many numeric field</t>
        </is>
      </c>
      <c r="L50" s="8" t="inlineStr">
        <is>
          <t>Finance / ERP System (SAP S/4HANA, Oracle Fusion, NetSuite)</t>
        </is>
      </c>
      <c r="M50" s="8" t="inlineStr">
        <is>
          <t>CIL Architecture Team</t>
        </is>
      </c>
      <c r="N50" s="8" t="inlineStr">
        <is>
          <t>2026-06-28</t>
        </is>
      </c>
      <c r="O50" s="8" t="inlineStr">
        <is>
          <t>CorpStage CIL Registry v1.0</t>
        </is>
      </c>
      <c r="P50" s="8" t="inlineStr">
        <is>
          <t>Group only (single enterprise-wide fact, does not repeat per node)</t>
        </is>
      </c>
      <c r="Q50" s="8" t="inlineStr">
        <is>
          <t>Global</t>
        </is>
      </c>
      <c r="R50" s="8" t="inlineStr">
        <is>
          <t>Tier 1 (Standard) — available to all frameworks and all customers</t>
        </is>
      </c>
      <c r="S50" s="8" t="inlineStr">
        <is>
          <t>Owned by D09 Operational Intelligence as an operational performance fact. Financial cost of operational performance owned by D03. D09 owns the operational system-of-record data; D03 owns the financial translation of operational outcomes.</t>
        </is>
      </c>
    </row>
    <row r="51" ht="15" customHeight="1" s="6">
      <c r="A51" s="8" t="inlineStr">
        <is>
          <t>CDE-O050</t>
        </is>
      </c>
      <c r="B51" s="8" t="inlineStr">
        <is>
          <t>Efficiency Investment Payback Period (Years)</t>
        </is>
      </c>
      <c r="C51" s="8" t="inlineStr">
        <is>
          <t>Numeric</t>
        </is>
      </c>
      <c r="D51" s="8" t="inlineStr">
        <is>
          <t>Supplemental</t>
        </is>
      </c>
      <c r="E51" s="8" t="inlineStr">
        <is>
          <t>Optional</t>
        </is>
      </c>
      <c r="F51" s="8" t="inlineStr">
        <is>
          <t>P3</t>
        </is>
      </c>
      <c r="G51" s="8" t="inlineStr">
        <is>
          <t>&gt;=0, numeric</t>
        </is>
      </c>
      <c r="H51" s="8" t="inlineStr">
        <is>
          <t>TYPE:NUMERIC|MIN:0</t>
        </is>
      </c>
      <c r="I51" s="8" t="inlineStr">
        <is>
          <t>Point-in-time</t>
        </is>
      </c>
      <c r="J51" s="8" t="inlineStr">
        <is>
          <t>One-to-one</t>
        </is>
      </c>
      <c r="K51" s="8" t="inlineStr">
        <is>
          <t>N/A — not a one-to-many numeric field</t>
        </is>
      </c>
      <c r="L51" s="8" t="inlineStr">
        <is>
          <t>Finance / ERP System (SAP S/4HANA, Oracle Fusion, NetSuite)</t>
        </is>
      </c>
      <c r="M51" s="8" t="inlineStr">
        <is>
          <t>CIL Architecture Team</t>
        </is>
      </c>
      <c r="N51" s="8" t="inlineStr">
        <is>
          <t>2026-06-28</t>
        </is>
      </c>
      <c r="O51" s="8" t="inlineStr">
        <is>
          <t>CorpStage CIL Registry v1.0</t>
        </is>
      </c>
      <c r="P51" s="8" t="inlineStr">
        <is>
          <t>Group only (single enterprise-wide fact, does not repeat per node)</t>
        </is>
      </c>
      <c r="Q51" s="8" t="inlineStr">
        <is>
          <t>Global</t>
        </is>
      </c>
      <c r="R51" s="8" t="inlineStr">
        <is>
          <t>Tier 1 (Standard) — available to all frameworks and all customers</t>
        </is>
      </c>
      <c r="S51" s="8" t="inlineStr">
        <is>
          <t>Owned by D09 Operational Intelligence as an operational performance fact. Financial cost of operational performance owned by D03. D09 owns the operational system-of-record data; D03 owns the financial translation of operational outcomes.</t>
        </is>
      </c>
    </row>
    <row r="52" ht="15" customHeight="1" s="6">
      <c r="A52" s="8" t="inlineStr">
        <is>
          <t>CDE-O051</t>
        </is>
      </c>
      <c r="B52" s="8" t="inlineStr">
        <is>
          <t>Operational Technology (OT) Systems Deployed (SCADA/MES/Other)</t>
        </is>
      </c>
      <c r="C52" s="8" t="inlineStr">
        <is>
          <t>Boolean</t>
        </is>
      </c>
      <c r="D52" s="8" t="inlineStr">
        <is>
          <t>Required</t>
        </is>
      </c>
      <c r="E52" s="8" t="inlineStr">
        <is>
          <t>Optional</t>
        </is>
      </c>
      <c r="F52" s="8" t="inlineStr">
        <is>
          <t>P1</t>
        </is>
      </c>
      <c r="G52" s="8" t="inlineStr">
        <is>
          <t>True/False</t>
        </is>
      </c>
      <c r="H52" s="8" t="inlineStr">
        <is>
          <t>TYPE:BOOLEAN|ALLOWED:TRUE,FALSE</t>
        </is>
      </c>
      <c r="I52" s="8" t="inlineStr">
        <is>
          <t>Effective-dated</t>
        </is>
      </c>
      <c r="J52" s="8" t="inlineStr">
        <is>
          <t>One-to-one</t>
        </is>
      </c>
      <c r="K52" s="8" t="inlineStr">
        <is>
          <t>N/A — not a one-to-many numeric field</t>
        </is>
      </c>
      <c r="L52" s="8" t="inlineStr">
        <is>
          <t>User Validation</t>
        </is>
      </c>
      <c r="M52" s="8" t="inlineStr">
        <is>
          <t>CIL Architecture Team</t>
        </is>
      </c>
      <c r="N52" s="8" t="inlineStr">
        <is>
          <t>2026-06-28</t>
        </is>
      </c>
      <c r="O52" s="8" t="inlineStr">
        <is>
          <t>CorpStage CIL Registry v1.0</t>
        </is>
      </c>
      <c r="P52" s="8" t="inlineStr">
        <is>
          <t>Group only (single enterprise-wide fact, does not repeat per node)</t>
        </is>
      </c>
      <c r="Q52" s="8" t="inlineStr">
        <is>
          <t>Global</t>
        </is>
      </c>
      <c r="R52" s="8" t="inlineStr">
        <is>
          <t>Tier 1 (Standard) — available to all frameworks and all customers</t>
        </is>
      </c>
      <c r="S52" s="8" t="inlineStr">
        <is>
          <t>Owned by D09 Operational Intelligence as an operational performance fact. Financial cost of operational performance owned by D03. D09 owns the operational system-of-record data; D03 owns the financial translation of operational outcomes.</t>
        </is>
      </c>
    </row>
    <row r="53" ht="15" customHeight="1" s="6">
      <c r="A53" s="8" t="inlineStr">
        <is>
          <t>CDE-O052</t>
        </is>
      </c>
      <c r="B53" s="8" t="inlineStr">
        <is>
          <t>OT System Type/Vendor</t>
        </is>
      </c>
      <c r="C53" s="8" t="inlineStr">
        <is>
          <t>Text</t>
        </is>
      </c>
      <c r="D53" s="8" t="inlineStr">
        <is>
          <t>Supplemental</t>
        </is>
      </c>
      <c r="E53" s="8" t="inlineStr">
        <is>
          <t>Optional</t>
        </is>
      </c>
      <c r="F53" s="8" t="inlineStr">
        <is>
          <t>P3</t>
        </is>
      </c>
      <c r="G53" s="8" t="inlineStr">
        <is>
          <t>Non-empty text</t>
        </is>
      </c>
      <c r="H53" s="8" t="inlineStr">
        <is>
          <t>TYPE:TEXT</t>
        </is>
      </c>
      <c r="I53" s="8" t="inlineStr">
        <is>
          <t>Point-in-time</t>
        </is>
      </c>
      <c r="J53" s="8" t="inlineStr">
        <is>
          <t>One-to-many</t>
        </is>
      </c>
      <c r="K53" s="8" t="inlineStr">
        <is>
          <t>N/A — not a one-to-many numeric field</t>
        </is>
      </c>
      <c r="L53" s="8" t="inlineStr">
        <is>
          <t>User Validation</t>
        </is>
      </c>
      <c r="M53" s="8" t="inlineStr">
        <is>
          <t>CIL Architecture Team</t>
        </is>
      </c>
      <c r="N53" s="8" t="inlineStr">
        <is>
          <t>2026-06-28</t>
        </is>
      </c>
      <c r="O53" s="8" t="inlineStr">
        <is>
          <t>CorpStage CIL Registry v1.0</t>
        </is>
      </c>
      <c r="P53" s="8" t="inlineStr">
        <is>
          <t>Group only (single enterprise-wide fact, does not repeat per node)</t>
        </is>
      </c>
      <c r="Q53" s="8" t="inlineStr">
        <is>
          <t>Global</t>
        </is>
      </c>
      <c r="R53" s="8" t="inlineStr">
        <is>
          <t>Tier 1 (Standard) — available to all frameworks and all customers</t>
        </is>
      </c>
      <c r="S53" s="8" t="inlineStr">
        <is>
          <t>Owned by D09 Operational Intelligence as an operational performance fact. Financial cost of operational performance owned by D03. D09 owns the operational system-of-record data; D03 owns the financial translation of operational outcomes.</t>
        </is>
      </c>
    </row>
    <row r="54" ht="15" customHeight="1" s="6">
      <c r="A54" s="8" t="inlineStr">
        <is>
          <t>CDE-O053</t>
        </is>
      </c>
      <c r="B54" s="8" t="inlineStr">
        <is>
          <t>Automation/Robotics Deployment in Operations</t>
        </is>
      </c>
      <c r="C54" s="8" t="inlineStr">
        <is>
          <t>Boolean</t>
        </is>
      </c>
      <c r="D54" s="8" t="inlineStr">
        <is>
          <t>Required</t>
        </is>
      </c>
      <c r="E54" s="8" t="inlineStr">
        <is>
          <t>Optional</t>
        </is>
      </c>
      <c r="F54" s="8" t="inlineStr">
        <is>
          <t>P1</t>
        </is>
      </c>
      <c r="G54" s="8" t="inlineStr">
        <is>
          <t>True/False</t>
        </is>
      </c>
      <c r="H54" s="8" t="inlineStr">
        <is>
          <t>TYPE:BOOLEAN|ALLOWED:TRUE,FALSE</t>
        </is>
      </c>
      <c r="I54" s="8" t="inlineStr">
        <is>
          <t>Effective-dated</t>
        </is>
      </c>
      <c r="J54" s="8" t="inlineStr">
        <is>
          <t>One-to-one</t>
        </is>
      </c>
      <c r="K54" s="8" t="inlineStr">
        <is>
          <t>N/A — not a one-to-many numeric field</t>
        </is>
      </c>
      <c r="L54" s="8" t="inlineStr">
        <is>
          <t>User Validation</t>
        </is>
      </c>
      <c r="M54" s="8" t="inlineStr">
        <is>
          <t>CIL Architecture Team</t>
        </is>
      </c>
      <c r="N54" s="8" t="inlineStr">
        <is>
          <t>2026-06-28</t>
        </is>
      </c>
      <c r="O54" s="8" t="inlineStr">
        <is>
          <t>CorpStage CIL Registry v1.0</t>
        </is>
      </c>
      <c r="P54" s="8" t="inlineStr">
        <is>
          <t>Group only (single enterprise-wide fact, does not repeat per node)</t>
        </is>
      </c>
      <c r="Q54" s="8" t="inlineStr">
        <is>
          <t>Global</t>
        </is>
      </c>
      <c r="R54" s="8" t="inlineStr">
        <is>
          <t>Tier 1 (Standard) — available to all frameworks and all customers</t>
        </is>
      </c>
      <c r="S54" s="8" t="inlineStr">
        <is>
          <t>Owned by D09 Operational Intelligence as an operational performance fact. Financial cost of operational performance owned by D03. D09 owns the operational system-of-record data; D03 owns the financial translation of operational outcomes.</t>
        </is>
      </c>
    </row>
    <row r="55" ht="15" customHeight="1" s="6">
      <c r="A55" s="8" t="inlineStr">
        <is>
          <t>CDE-O054</t>
        </is>
      </c>
      <c r="B55" s="8" t="inlineStr">
        <is>
          <t>Production Process Automated %</t>
        </is>
      </c>
      <c r="C55" s="8" t="inlineStr">
        <is>
          <t>Numeric</t>
        </is>
      </c>
      <c r="D55" s="8" t="inlineStr">
        <is>
          <t>Recommended</t>
        </is>
      </c>
      <c r="E55" s="8" t="inlineStr">
        <is>
          <t>Optional</t>
        </is>
      </c>
      <c r="F55" s="8" t="inlineStr">
        <is>
          <t>P2</t>
        </is>
      </c>
      <c r="G55" s="8" t="inlineStr">
        <is>
          <t>0-100, numeric</t>
        </is>
      </c>
      <c r="H55" s="8" t="inlineStr">
        <is>
          <t>TYPE:NUMERIC|MIN:0|MAX:100</t>
        </is>
      </c>
      <c r="I55" s="8" t="inlineStr">
        <is>
          <t>Effective-dated</t>
        </is>
      </c>
      <c r="J55" s="8" t="inlineStr">
        <is>
          <t>One-to-one</t>
        </is>
      </c>
      <c r="K55" s="8" t="inlineStr">
        <is>
          <t>N/A — not a one-to-many numeric field</t>
        </is>
      </c>
      <c r="L55" s="8" t="inlineStr">
        <is>
          <t>User Validation</t>
        </is>
      </c>
      <c r="M55" s="8" t="inlineStr">
        <is>
          <t>CIL Architecture Team</t>
        </is>
      </c>
      <c r="N55" s="8" t="inlineStr">
        <is>
          <t>2026-06-28</t>
        </is>
      </c>
      <c r="O55" s="8" t="inlineStr">
        <is>
          <t>CorpStage CIL Registry v1.0</t>
        </is>
      </c>
      <c r="P55" s="8" t="inlineStr">
        <is>
          <t>Group only (single enterprise-wide fact, does not repeat per node)</t>
        </is>
      </c>
      <c r="Q55" s="8" t="inlineStr">
        <is>
          <t>Global</t>
        </is>
      </c>
      <c r="R55" s="8" t="inlineStr">
        <is>
          <t>Tier 1 (Standard) — available to all frameworks and all customers</t>
        </is>
      </c>
      <c r="S55" s="8" t="inlineStr">
        <is>
          <t>Owned by D09 Operational Intelligence as an operational performance fact. Financial cost of operational performance owned by D03. D09 owns the operational system-of-record data; D03 owns the financial translation of operational outcomes.</t>
        </is>
      </c>
    </row>
    <row r="56" ht="15" customHeight="1" s="6">
      <c r="A56" s="8" t="inlineStr">
        <is>
          <t>CDE-O055</t>
        </is>
      </c>
      <c r="B56" s="8" t="inlineStr">
        <is>
          <t>Digital Twin or Real-Time Operational Monitoring Capability Exists</t>
        </is>
      </c>
      <c r="C56" s="8" t="inlineStr">
        <is>
          <t>Boolean</t>
        </is>
      </c>
      <c r="D56" s="8" t="inlineStr">
        <is>
          <t>Recommended</t>
        </is>
      </c>
      <c r="E56" s="8" t="inlineStr">
        <is>
          <t>Optional</t>
        </is>
      </c>
      <c r="F56" s="8" t="inlineStr">
        <is>
          <t>P2</t>
        </is>
      </c>
      <c r="G56" s="8" t="inlineStr">
        <is>
          <t>True/False/Unknown (tri-state)</t>
        </is>
      </c>
      <c r="H56" s="8" t="inlineStr">
        <is>
          <t>TYPE:BOOLEAN|ALLOWED:TRUE,FALSE,UNKNOWN</t>
        </is>
      </c>
      <c r="I56" s="8" t="inlineStr">
        <is>
          <t>Effective-dated</t>
        </is>
      </c>
      <c r="J56" s="8" t="inlineStr">
        <is>
          <t>One-to-one</t>
        </is>
      </c>
      <c r="K56" s="8" t="inlineStr">
        <is>
          <t>N/A — not a one-to-many numeric field</t>
        </is>
      </c>
      <c r="L56" s="8" t="inlineStr">
        <is>
          <t>User Validation</t>
        </is>
      </c>
      <c r="M56" s="8" t="inlineStr">
        <is>
          <t>CIL Architecture Team</t>
        </is>
      </c>
      <c r="N56" s="8" t="inlineStr">
        <is>
          <t>2026-06-28</t>
        </is>
      </c>
      <c r="O56" s="8" t="inlineStr">
        <is>
          <t>CorpStage CIL Registry v1.0</t>
        </is>
      </c>
      <c r="P56" s="8" t="inlineStr">
        <is>
          <t>Group only (single enterprise-wide fact, does not repeat per node)</t>
        </is>
      </c>
      <c r="Q56" s="8" t="inlineStr">
        <is>
          <t>Global</t>
        </is>
      </c>
      <c r="R56" s="8" t="inlineStr">
        <is>
          <t>Tier 1 (Standard) — available to all frameworks and all customers</t>
        </is>
      </c>
      <c r="S56" s="8" t="inlineStr">
        <is>
          <t>Owned by D09 Operational Intelligence as an operational performance fact. Financial cost of operational performance owned by D03. D09 owns the operational system-of-record data; D03 owns the financial translation of operational outcomes.</t>
        </is>
      </c>
    </row>
    <row r="57" ht="15" customHeight="1" s="6">
      <c r="A57" s="8" t="inlineStr">
        <is>
          <t>CDE-O056</t>
        </is>
      </c>
      <c r="B57" s="8" t="inlineStr">
        <is>
          <t>Facility Lease vs Owned Mix % (Group-Level)</t>
        </is>
      </c>
      <c r="C57" s="8" t="inlineStr">
        <is>
          <t>Numeric</t>
        </is>
      </c>
      <c r="D57" s="8" t="inlineStr">
        <is>
          <t>Supplemental</t>
        </is>
      </c>
      <c r="E57" s="8" t="inlineStr">
        <is>
          <t>Optional</t>
        </is>
      </c>
      <c r="F57" s="8" t="inlineStr">
        <is>
          <t>P3</t>
        </is>
      </c>
      <c r="G57" s="8" t="inlineStr">
        <is>
          <t>0-100, numeric</t>
        </is>
      </c>
      <c r="H57" s="8" t="inlineStr">
        <is>
          <t>TYPE:NUMERIC|MIN:0|MAX:100</t>
        </is>
      </c>
      <c r="I57" s="8" t="inlineStr">
        <is>
          <t>Effective-dated</t>
        </is>
      </c>
      <c r="J57" s="8" t="inlineStr">
        <is>
          <t>One-to-one</t>
        </is>
      </c>
      <c r="K57" s="8" t="inlineStr">
        <is>
          <t>N/A — not a one-to-many numeric field</t>
        </is>
      </c>
      <c r="L57" s="8" t="inlineStr">
        <is>
          <t>User Validation</t>
        </is>
      </c>
      <c r="M57" s="8" t="inlineStr">
        <is>
          <t>CIL Architecture Team</t>
        </is>
      </c>
      <c r="N57" s="8" t="inlineStr">
        <is>
          <t>2026-06-28</t>
        </is>
      </c>
      <c r="O57" s="8" t="inlineStr">
        <is>
          <t>CorpStage CIL Registry v1.1</t>
        </is>
      </c>
      <c r="P57" s="8" t="inlineStr">
        <is>
          <t>Group only (single enterprise-wide fact, does not repeat per node)</t>
        </is>
      </c>
      <c r="Q57" s="8" t="inlineStr">
        <is>
          <t>Global</t>
        </is>
      </c>
      <c r="R57" s="8" t="inlineStr">
        <is>
          <t>Tier 1 (Standard) — available to all frameworks and all customers</t>
        </is>
      </c>
      <c r="S57" s="8" t="inlineStr">
        <is>
          <t>Owned by D09 Operational Intelligence as an operational performance fact. Financial cost of operational performance owned by D03. D09 owns the operational system-of-record data; D03 owns the financial translation of operational outcomes.</t>
        </is>
      </c>
    </row>
    <row r="58" ht="15" customHeight="1" s="6">
      <c r="A58" s="8" t="inlineStr">
        <is>
          <t>CDE-O057</t>
        </is>
      </c>
      <c r="B58" s="8" t="inlineStr">
        <is>
          <t>Facility Geographic Region</t>
        </is>
      </c>
      <c r="C58" s="8" t="inlineStr">
        <is>
          <t>Text</t>
        </is>
      </c>
      <c r="D58" s="8" t="inlineStr">
        <is>
          <t>Supplemental</t>
        </is>
      </c>
      <c r="E58" s="8" t="inlineStr">
        <is>
          <t>Optional</t>
        </is>
      </c>
      <c r="F58" s="8" t="inlineStr">
        <is>
          <t>P3</t>
        </is>
      </c>
      <c r="G58" s="8" t="inlineStr">
        <is>
          <t>Non-empty text</t>
        </is>
      </c>
      <c r="H58" s="8" t="inlineStr">
        <is>
          <t>TYPE:TEXT</t>
        </is>
      </c>
      <c r="I58" s="8" t="inlineStr">
        <is>
          <t>Point-in-time</t>
        </is>
      </c>
      <c r="J58" s="8" t="inlineStr">
        <is>
          <t>One-to-many</t>
        </is>
      </c>
      <c r="K58" s="8" t="inlineStr">
        <is>
          <t>N/A — not a one-to-many numeric field</t>
        </is>
      </c>
      <c r="L58" s="8" t="inlineStr">
        <is>
          <t>User Validation</t>
        </is>
      </c>
      <c r="M58" s="8" t="inlineStr">
        <is>
          <t>CIL Architecture Team</t>
        </is>
      </c>
      <c r="N58" s="8" t="inlineStr">
        <is>
          <t>2026-06-28</t>
        </is>
      </c>
      <c r="O58" s="8" t="inlineStr">
        <is>
          <t>CorpStage CIL Registry v1.1</t>
        </is>
      </c>
      <c r="P58" s="8" t="inlineStr">
        <is>
          <t>Plant, Site, Company, Group (collected at lowest defined node, aggregates upward)</t>
        </is>
      </c>
      <c r="Q58" s="8" t="inlineStr">
        <is>
          <t>Global</t>
        </is>
      </c>
      <c r="R58" s="8" t="inlineStr">
        <is>
          <t>Tier 1 (Standard) — available to all frameworks and all customers</t>
        </is>
      </c>
      <c r="S58" s="8" t="inlineStr">
        <is>
          <t>Owned by D09 Operational Intelligence as an operational performance fact. Financial cost of operational performance owned by D03. D09 owns the operational system-of-record data; D03 owns the financial translation of operational outcomes.</t>
        </is>
      </c>
    </row>
    <row r="59" ht="15" customHeight="1" s="6">
      <c r="A59" s="8" t="inlineStr">
        <is>
          <t>CDE-O058</t>
        </is>
      </c>
      <c r="B59" s="8" t="inlineStr">
        <is>
          <t>Capacity Utilization Last Reviewed Date</t>
        </is>
      </c>
      <c r="C59" s="8" t="inlineStr">
        <is>
          <t>Date</t>
        </is>
      </c>
      <c r="D59" s="8" t="inlineStr">
        <is>
          <t>Supplemental</t>
        </is>
      </c>
      <c r="E59" s="8" t="inlineStr">
        <is>
          <t>Optional</t>
        </is>
      </c>
      <c r="F59" s="8" t="inlineStr">
        <is>
          <t>P3</t>
        </is>
      </c>
      <c r="G59" s="8" t="inlineStr">
        <is>
          <t>Valid date</t>
        </is>
      </c>
      <c r="H59" s="8" t="inlineStr">
        <is>
          <t>TYPE:DATE</t>
        </is>
      </c>
      <c r="I59" s="8" t="inlineStr">
        <is>
          <t>Point-in-time</t>
        </is>
      </c>
      <c r="J59" s="8" t="inlineStr">
        <is>
          <t>One-to-one</t>
        </is>
      </c>
      <c r="K59" s="8" t="inlineStr">
        <is>
          <t>N/A — not a one-to-many numeric field</t>
        </is>
      </c>
      <c r="L59" s="8" t="inlineStr">
        <is>
          <t>User Validation</t>
        </is>
      </c>
      <c r="M59" s="8" t="inlineStr">
        <is>
          <t>CIL Architecture Team</t>
        </is>
      </c>
      <c r="N59" s="8" t="inlineStr">
        <is>
          <t>2026-06-28</t>
        </is>
      </c>
      <c r="O59" s="8" t="inlineStr">
        <is>
          <t>CorpStage CIL Registry v1.1</t>
        </is>
      </c>
      <c r="P59" s="8" t="inlineStr">
        <is>
          <t>Group only (single enterprise-wide fact, does not repeat per node)</t>
        </is>
      </c>
      <c r="Q59" s="8" t="inlineStr">
        <is>
          <t>Global</t>
        </is>
      </c>
      <c r="R59" s="8" t="inlineStr">
        <is>
          <t>Tier 1 (Standard) — available to all frameworks and all customers</t>
        </is>
      </c>
      <c r="S59" s="8" t="inlineStr">
        <is>
          <t>Owned by D09 Operational Intelligence as an operational performance fact. Financial cost of operational performance owned by D03. D09 owns the operational system-of-record data; D03 owns the financial translation of operational outcomes.</t>
        </is>
      </c>
    </row>
    <row r="60" ht="15" customHeight="1" s="6">
      <c r="A60" s="8" t="inlineStr">
        <is>
          <t>CDE-O059</t>
        </is>
      </c>
      <c r="B60" s="8" t="inlineStr">
        <is>
          <t>Production Throughput Trend (3yr)</t>
        </is>
      </c>
      <c r="C60" s="8" t="inlineStr">
        <is>
          <t>Text</t>
        </is>
      </c>
      <c r="D60" s="8" t="inlineStr">
        <is>
          <t>Supplemental</t>
        </is>
      </c>
      <c r="E60" s="8" t="inlineStr">
        <is>
          <t>Optional</t>
        </is>
      </c>
      <c r="F60" s="8" t="inlineStr">
        <is>
          <t>P3</t>
        </is>
      </c>
      <c r="G60" s="8" t="inlineStr">
        <is>
          <t>Increasing/Stable/Decreasing</t>
        </is>
      </c>
      <c r="H60" s="8" t="inlineStr">
        <is>
          <t>TYPE:ENUM|ALLOWED:INCREASING,STABLE,DECREASING</t>
        </is>
      </c>
      <c r="I60" s="8" t="inlineStr">
        <is>
          <t>Point-in-time</t>
        </is>
      </c>
      <c r="J60" s="8" t="inlineStr">
        <is>
          <t>One-to-one</t>
        </is>
      </c>
      <c r="K60" s="8" t="inlineStr">
        <is>
          <t>N/A — not a one-to-many numeric field</t>
        </is>
      </c>
      <c r="L60" s="8" t="inlineStr">
        <is>
          <t>User Validation</t>
        </is>
      </c>
      <c r="M60" s="8" t="inlineStr">
        <is>
          <t>CIL Architecture Team</t>
        </is>
      </c>
      <c r="N60" s="8" t="inlineStr">
        <is>
          <t>2026-06-28</t>
        </is>
      </c>
      <c r="O60" s="8" t="inlineStr">
        <is>
          <t>CorpStage CIL Registry v1.1</t>
        </is>
      </c>
      <c r="P60" s="8" t="inlineStr">
        <is>
          <t>Group only (single enterprise-wide fact, does not repeat per node)</t>
        </is>
      </c>
      <c r="Q60" s="8" t="inlineStr">
        <is>
          <t>Global</t>
        </is>
      </c>
      <c r="R60" s="8" t="inlineStr">
        <is>
          <t>Tier 1 (Standard) — available to all frameworks and all customers</t>
        </is>
      </c>
      <c r="S60" s="8" t="inlineStr">
        <is>
          <t>Owned by D09 Operational Intelligence as an operational performance fact. Financial cost of operational performance owned by D03. D09 owns the operational system-of-record data; D03 owns the financial translation of operational outcomes.</t>
        </is>
      </c>
    </row>
    <row r="61" ht="15" customHeight="1" s="6">
      <c r="A61" s="8" t="inlineStr">
        <is>
          <t>CDE-O060</t>
        </is>
      </c>
      <c r="B61" s="8" t="inlineStr">
        <is>
          <t>OEE Benchmark Comparison (Industry Standard)</t>
        </is>
      </c>
      <c r="C61" s="8" t="inlineStr">
        <is>
          <t>Text</t>
        </is>
      </c>
      <c r="D61" s="8" t="inlineStr">
        <is>
          <t>Supplemental</t>
        </is>
      </c>
      <c r="E61" s="8" t="inlineStr">
        <is>
          <t>Optional</t>
        </is>
      </c>
      <c r="F61" s="8" t="inlineStr">
        <is>
          <t>P3</t>
        </is>
      </c>
      <c r="G61" s="8" t="inlineStr">
        <is>
          <t>Above/At/Below</t>
        </is>
      </c>
      <c r="H61" s="8" t="inlineStr">
        <is>
          <t>TYPE:ENUM|ALLOWED:ABOVE,AT,BELOW</t>
        </is>
      </c>
      <c r="I61" s="8" t="inlineStr">
        <is>
          <t>Point-in-time</t>
        </is>
      </c>
      <c r="J61" s="8" t="inlineStr">
        <is>
          <t>One-to-one</t>
        </is>
      </c>
      <c r="K61" s="8" t="inlineStr">
        <is>
          <t>N/A — not a one-to-many numeric field</t>
        </is>
      </c>
      <c r="L61" s="8" t="inlineStr">
        <is>
          <t>User Validation</t>
        </is>
      </c>
      <c r="M61" s="8" t="inlineStr">
        <is>
          <t>CIL Architecture Team</t>
        </is>
      </c>
      <c r="N61" s="8" t="inlineStr">
        <is>
          <t>2026-06-28</t>
        </is>
      </c>
      <c r="O61" s="8" t="inlineStr">
        <is>
          <t>CorpStage CIL Registry v1.1</t>
        </is>
      </c>
      <c r="P61" s="8" t="inlineStr">
        <is>
          <t>Group only (single enterprise-wide fact, does not repeat per node)</t>
        </is>
      </c>
      <c r="Q61" s="8" t="inlineStr">
        <is>
          <t>Global</t>
        </is>
      </c>
      <c r="R61" s="8" t="inlineStr">
        <is>
          <t>Tier 1 (Standard) — available to all frameworks and all customers</t>
        </is>
      </c>
      <c r="S61" s="8" t="inlineStr">
        <is>
          <t>Owned by D09 Operational Intelligence as an operational performance fact. Financial cost of operational performance owned by D03. D09 owns the operational system-of-record data; D03 owns the financial translation of operational outcomes.</t>
        </is>
      </c>
    </row>
    <row r="62" ht="15" customHeight="1" s="6">
      <c r="A62" s="8" t="inlineStr">
        <is>
          <t>CDE-O061</t>
        </is>
      </c>
      <c r="B62" s="8" t="inlineStr">
        <is>
          <t>Capacity Change Implementation Timeline (Months)</t>
        </is>
      </c>
      <c r="C62" s="8" t="inlineStr">
        <is>
          <t>Numeric</t>
        </is>
      </c>
      <c r="D62" s="8" t="inlineStr">
        <is>
          <t>Supplemental</t>
        </is>
      </c>
      <c r="E62" s="8" t="inlineStr">
        <is>
          <t>Optional</t>
        </is>
      </c>
      <c r="F62" s="8" t="inlineStr">
        <is>
          <t>P3</t>
        </is>
      </c>
      <c r="G62" s="8" t="inlineStr">
        <is>
          <t>&gt;=0, numeric</t>
        </is>
      </c>
      <c r="H62" s="8" t="inlineStr">
        <is>
          <t>TYPE:NUMERIC|MIN:0</t>
        </is>
      </c>
      <c r="I62" s="8" t="inlineStr">
        <is>
          <t>Point-in-time</t>
        </is>
      </c>
      <c r="J62" s="8" t="inlineStr">
        <is>
          <t>One-to-one</t>
        </is>
      </c>
      <c r="K62" s="8" t="inlineStr">
        <is>
          <t>N/A — not a one-to-many numeric field</t>
        </is>
      </c>
      <c r="L62" s="8" t="inlineStr">
        <is>
          <t>User Validation</t>
        </is>
      </c>
      <c r="M62" s="8" t="inlineStr">
        <is>
          <t>CIL Architecture Team</t>
        </is>
      </c>
      <c r="N62" s="8" t="inlineStr">
        <is>
          <t>2026-06-28</t>
        </is>
      </c>
      <c r="O62" s="8" t="inlineStr">
        <is>
          <t>CorpStage CIL Registry v1.1</t>
        </is>
      </c>
      <c r="P62" s="8" t="inlineStr">
        <is>
          <t>Group only (single enterprise-wide fact, does not repeat per node)</t>
        </is>
      </c>
      <c r="Q62" s="8" t="inlineStr">
        <is>
          <t>Global</t>
        </is>
      </c>
      <c r="R62" s="8" t="inlineStr">
        <is>
          <t>Tier 1 (Standard) — available to all frameworks and all customers</t>
        </is>
      </c>
      <c r="S62" s="8" t="inlineStr">
        <is>
          <t>Owned by D09 Operational Intelligence as an operational performance fact. Financial cost of operational performance owned by D03. D09 owns the operational system-of-record data; D03 owns the financial translation of operational outcomes.</t>
        </is>
      </c>
    </row>
    <row r="63" ht="15" customHeight="1" s="6">
      <c r="A63" s="8" t="inlineStr">
        <is>
          <t>CDE-O062</t>
        </is>
      </c>
      <c r="B63" s="8" t="inlineStr">
        <is>
          <t>Production Process Methodology Last Reviewed Date</t>
        </is>
      </c>
      <c r="C63" s="8" t="inlineStr">
        <is>
          <t>Date</t>
        </is>
      </c>
      <c r="D63" s="8" t="inlineStr">
        <is>
          <t>Supplemental</t>
        </is>
      </c>
      <c r="E63" s="8" t="inlineStr">
        <is>
          <t>Optional</t>
        </is>
      </c>
      <c r="F63" s="8" t="inlineStr">
        <is>
          <t>P3</t>
        </is>
      </c>
      <c r="G63" s="8" t="inlineStr">
        <is>
          <t>Valid date</t>
        </is>
      </c>
      <c r="H63" s="8" t="inlineStr">
        <is>
          <t>TYPE:DATE</t>
        </is>
      </c>
      <c r="I63" s="8" t="inlineStr">
        <is>
          <t>Point-in-time</t>
        </is>
      </c>
      <c r="J63" s="8" t="inlineStr">
        <is>
          <t>One-to-one</t>
        </is>
      </c>
      <c r="K63" s="8" t="inlineStr">
        <is>
          <t>N/A — not a one-to-many numeric field</t>
        </is>
      </c>
      <c r="L63" s="8" t="inlineStr">
        <is>
          <t>User Validation</t>
        </is>
      </c>
      <c r="M63" s="8" t="inlineStr">
        <is>
          <t>CIL Architecture Team</t>
        </is>
      </c>
      <c r="N63" s="8" t="inlineStr">
        <is>
          <t>2026-06-28</t>
        </is>
      </c>
      <c r="O63" s="8" t="inlineStr">
        <is>
          <t>CorpStage CIL Registry v1.1</t>
        </is>
      </c>
      <c r="P63" s="8" t="inlineStr">
        <is>
          <t>Group only (single enterprise-wide fact, does not repeat per node)</t>
        </is>
      </c>
      <c r="Q63" s="8" t="inlineStr">
        <is>
          <t>Global</t>
        </is>
      </c>
      <c r="R63" s="8" t="inlineStr">
        <is>
          <t>Tier 1 (Standard) — available to all frameworks and all customers</t>
        </is>
      </c>
      <c r="S63" s="8" t="inlineStr">
        <is>
          <t>Owned by D09 Operational Intelligence as an operational performance fact. Financial cost of operational performance owned by D03. D09 owns the operational system-of-record data; D03 owns the financial translation of operational outcomes.</t>
        </is>
      </c>
    </row>
    <row r="64" ht="15" customHeight="1" s="6">
      <c r="A64" s="8" t="inlineStr">
        <is>
          <t>CDE-O063</t>
        </is>
      </c>
      <c r="B64" s="8" t="inlineStr">
        <is>
          <t>Production Process Methodology Changed in Current Period</t>
        </is>
      </c>
      <c r="C64" s="8" t="inlineStr">
        <is>
          <t>Boolean</t>
        </is>
      </c>
      <c r="D64" s="8" t="inlineStr">
        <is>
          <t>Supplemental</t>
        </is>
      </c>
      <c r="E64" s="8" t="inlineStr">
        <is>
          <t>Optional</t>
        </is>
      </c>
      <c r="F64" s="8" t="inlineStr">
        <is>
          <t>P3</t>
        </is>
      </c>
      <c r="G64" s="8" t="inlineStr">
        <is>
          <t>True/False/Unknown (tri-state)</t>
        </is>
      </c>
      <c r="H64" s="8" t="inlineStr">
        <is>
          <t>TYPE:BOOLEAN|ALLOWED:TRUE,FALSE,UNKNOWN</t>
        </is>
      </c>
      <c r="I64" s="8" t="inlineStr">
        <is>
          <t>Point-in-time</t>
        </is>
      </c>
      <c r="J64" s="8" t="inlineStr">
        <is>
          <t>One-to-one</t>
        </is>
      </c>
      <c r="K64" s="8" t="inlineStr">
        <is>
          <t>N/A — not a one-to-many numeric field</t>
        </is>
      </c>
      <c r="L64" s="8" t="inlineStr">
        <is>
          <t>User Validation</t>
        </is>
      </c>
      <c r="M64" s="8" t="inlineStr">
        <is>
          <t>CIL Architecture Team</t>
        </is>
      </c>
      <c r="N64" s="8" t="inlineStr">
        <is>
          <t>2026-06-28</t>
        </is>
      </c>
      <c r="O64" s="8" t="inlineStr">
        <is>
          <t>CorpStage CIL Registry v1.1</t>
        </is>
      </c>
      <c r="P64" s="8" t="inlineStr">
        <is>
          <t>Group only (single enterprise-wide fact, does not repeat per node)</t>
        </is>
      </c>
      <c r="Q64" s="8" t="inlineStr">
        <is>
          <t>Global</t>
        </is>
      </c>
      <c r="R64" s="8" t="inlineStr">
        <is>
          <t>Tier 1 (Standard) — available to all frameworks and all customers</t>
        </is>
      </c>
      <c r="S64" s="8" t="inlineStr">
        <is>
          <t>Owned by D09 Operational Intelligence as an operational performance fact. Financial cost of operational performance owned by D03. D09 owns the operational system-of-record data; D03 owns the financial translation of operational outcomes.</t>
        </is>
      </c>
    </row>
    <row r="65" ht="15" customHeight="1" s="6">
      <c r="A65" s="8" t="inlineStr">
        <is>
          <t>CDE-O064</t>
        </is>
      </c>
      <c r="B65" s="8" t="inlineStr">
        <is>
          <t>Quality Control Methodology (Statistical Process Control/Other)</t>
        </is>
      </c>
      <c r="C65" s="8" t="inlineStr">
        <is>
          <t>Text</t>
        </is>
      </c>
      <c r="D65" s="8" t="inlineStr">
        <is>
          <t>Supplemental</t>
        </is>
      </c>
      <c r="E65" s="8" t="inlineStr">
        <is>
          <t>Optional</t>
        </is>
      </c>
      <c r="F65" s="8" t="inlineStr">
        <is>
          <t>P3</t>
        </is>
      </c>
      <c r="G65" s="8" t="inlineStr">
        <is>
          <t>Non-empty text</t>
        </is>
      </c>
      <c r="H65" s="8" t="inlineStr">
        <is>
          <t>TYPE:TEXT</t>
        </is>
      </c>
      <c r="I65" s="8" t="inlineStr">
        <is>
          <t>Point-in-time</t>
        </is>
      </c>
      <c r="J65" s="8" t="inlineStr">
        <is>
          <t>One-to-one</t>
        </is>
      </c>
      <c r="K65" s="8" t="inlineStr">
        <is>
          <t>N/A — not a one-to-many numeric field</t>
        </is>
      </c>
      <c r="L65" s="8" t="inlineStr">
        <is>
          <t>User Validation</t>
        </is>
      </c>
      <c r="M65" s="8" t="inlineStr">
        <is>
          <t>CIL Architecture Team</t>
        </is>
      </c>
      <c r="N65" s="8" t="inlineStr">
        <is>
          <t>2026-06-28</t>
        </is>
      </c>
      <c r="O65" s="8" t="inlineStr">
        <is>
          <t>CorpStage CIL Registry v1.1</t>
        </is>
      </c>
      <c r="P65" s="8" t="inlineStr">
        <is>
          <t>Group only (single enterprise-wide fact, does not repeat per node)</t>
        </is>
      </c>
      <c r="Q65" s="8" t="inlineStr">
        <is>
          <t>Global</t>
        </is>
      </c>
      <c r="R65" s="8" t="inlineStr">
        <is>
          <t>Tier 1 (Standard) — available to all frameworks and all customers</t>
        </is>
      </c>
      <c r="S65" s="8" t="inlineStr">
        <is>
          <t>Owned by D09 Operational Intelligence as an operational performance fact. Financial cost of operational performance owned by D03. D09 owns the operational system-of-record data; D03 owns the financial translation of operational outcomes.</t>
        </is>
      </c>
    </row>
    <row r="66" ht="15" customHeight="1" s="6">
      <c r="A66" s="8" t="inlineStr">
        <is>
          <t>CDE-O065</t>
        </is>
      </c>
      <c r="B66" s="8" t="inlineStr">
        <is>
          <t>Rework/Scrap Root Cause Category</t>
        </is>
      </c>
      <c r="C66" s="8" t="inlineStr">
        <is>
          <t>Text</t>
        </is>
      </c>
      <c r="D66" s="8" t="inlineStr">
        <is>
          <t>Supplemental</t>
        </is>
      </c>
      <c r="E66" s="8" t="inlineStr">
        <is>
          <t>Optional</t>
        </is>
      </c>
      <c r="F66" s="8" t="inlineStr">
        <is>
          <t>P3</t>
        </is>
      </c>
      <c r="G66" s="8" t="inlineStr">
        <is>
          <t>Non-empty text</t>
        </is>
      </c>
      <c r="H66" s="8" t="inlineStr">
        <is>
          <t>TYPE:TEXT</t>
        </is>
      </c>
      <c r="I66" s="8" t="inlineStr">
        <is>
          <t>Point-in-time</t>
        </is>
      </c>
      <c r="J66" s="8" t="inlineStr">
        <is>
          <t>One-to-many</t>
        </is>
      </c>
      <c r="K66" s="8" t="inlineStr">
        <is>
          <t>N/A — not a one-to-many numeric field</t>
        </is>
      </c>
      <c r="L66" s="8" t="inlineStr">
        <is>
          <t>User Validation</t>
        </is>
      </c>
      <c r="M66" s="8" t="inlineStr">
        <is>
          <t>CIL Architecture Team</t>
        </is>
      </c>
      <c r="N66" s="8" t="inlineStr">
        <is>
          <t>2026-06-28</t>
        </is>
      </c>
      <c r="O66" s="8" t="inlineStr">
        <is>
          <t>CorpStage CIL Registry v1.1</t>
        </is>
      </c>
      <c r="P66" s="8" t="inlineStr">
        <is>
          <t>Company, Group (collected per legal entity, not below Company level)</t>
        </is>
      </c>
      <c r="Q66" s="8" t="inlineStr">
        <is>
          <t>Global</t>
        </is>
      </c>
      <c r="R66" s="8" t="inlineStr">
        <is>
          <t>Tier 1 (Standard) — available to all frameworks and all customers</t>
        </is>
      </c>
      <c r="S66" s="8" t="inlineStr">
        <is>
          <t>Owned by D09 Operational Intelligence as an operational performance fact. Financial cost of operational performance owned by D03. D09 owns the operational system-of-record data; D03 owns the financial translation of operational outcomes.</t>
        </is>
      </c>
    </row>
    <row r="67" ht="15" customHeight="1" s="6">
      <c r="A67" s="8" t="inlineStr">
        <is>
          <t>CDE-O066</t>
        </is>
      </c>
      <c r="B67" s="8" t="inlineStr">
        <is>
          <t>Continuous Improvement Program Savings (Current Period)</t>
        </is>
      </c>
      <c r="C67" s="8" t="inlineStr">
        <is>
          <t>Numeric</t>
        </is>
      </c>
      <c r="D67" s="8" t="inlineStr">
        <is>
          <t>Supplemental</t>
        </is>
      </c>
      <c r="E67" s="8" t="inlineStr">
        <is>
          <t>Optional</t>
        </is>
      </c>
      <c r="F67" s="8" t="inlineStr">
        <is>
          <t>P3</t>
        </is>
      </c>
      <c r="G67" s="8" t="inlineStr">
        <is>
          <t>&gt;=0, numeric</t>
        </is>
      </c>
      <c r="H67" s="8" t="inlineStr">
        <is>
          <t>TYPE:NUMERIC|MIN:0</t>
        </is>
      </c>
      <c r="I67" s="8" t="inlineStr">
        <is>
          <t>Effective-dated</t>
        </is>
      </c>
      <c r="J67" s="8" t="inlineStr">
        <is>
          <t>One-to-one</t>
        </is>
      </c>
      <c r="K67" s="8" t="inlineStr">
        <is>
          <t>N/A — not a one-to-many numeric field</t>
        </is>
      </c>
      <c r="L67" s="8" t="inlineStr">
        <is>
          <t>Finance / ERP System (SAP S/4HANA, Oracle Fusion, NetSuite)</t>
        </is>
      </c>
      <c r="M67" s="8" t="inlineStr">
        <is>
          <t>CIL Architecture Team</t>
        </is>
      </c>
      <c r="N67" s="8" t="inlineStr">
        <is>
          <t>2026-06-28</t>
        </is>
      </c>
      <c r="O67" s="8" t="inlineStr">
        <is>
          <t>CorpStage CIL Registry v1.1</t>
        </is>
      </c>
      <c r="P67" s="8" t="inlineStr">
        <is>
          <t>Group only (single enterprise-wide fact, does not repeat per node)</t>
        </is>
      </c>
      <c r="Q67" s="8" t="inlineStr">
        <is>
          <t>Global</t>
        </is>
      </c>
      <c r="R67" s="8" t="inlineStr">
        <is>
          <t>Tier 1 (Standard) — available to all frameworks and all customers</t>
        </is>
      </c>
      <c r="S67" s="8" t="inlineStr">
        <is>
          <t>Owned by D09 Operational Intelligence as an operational performance fact. Financial cost of operational performance owned by D03. D09 owns the operational system-of-record data; D03 owns the financial translation of operational outcomes.</t>
        </is>
      </c>
    </row>
    <row r="68" ht="15" customHeight="1" s="6">
      <c r="A68" s="8" t="inlineStr">
        <is>
          <t>CDE-O067</t>
        </is>
      </c>
      <c r="B68" s="8" t="inlineStr">
        <is>
          <t>Continuous Improvement Initiatives Active (Count)</t>
        </is>
      </c>
      <c r="C68" s="8" t="inlineStr">
        <is>
          <t>Numeric</t>
        </is>
      </c>
      <c r="D68" s="8" t="inlineStr">
        <is>
          <t>Supplemental</t>
        </is>
      </c>
      <c r="E68" s="8" t="inlineStr">
        <is>
          <t>Optional</t>
        </is>
      </c>
      <c r="F68" s="8" t="inlineStr">
        <is>
          <t>P3</t>
        </is>
      </c>
      <c r="G68" s="8" t="inlineStr">
        <is>
          <t>&gt;=0, integer</t>
        </is>
      </c>
      <c r="H68" s="8" t="inlineStr">
        <is>
          <t>TYPE:INTEGER|MIN:0</t>
        </is>
      </c>
      <c r="I68" s="8" t="inlineStr">
        <is>
          <t>Effective-dated</t>
        </is>
      </c>
      <c r="J68" s="8" t="inlineStr">
        <is>
          <t>One-to-one</t>
        </is>
      </c>
      <c r="K68" s="8" t="inlineStr">
        <is>
          <t>N/A — not a one-to-many numeric field</t>
        </is>
      </c>
      <c r="L68" s="8" t="inlineStr">
        <is>
          <t>User Validation</t>
        </is>
      </c>
      <c r="M68" s="8" t="inlineStr">
        <is>
          <t>CIL Architecture Team</t>
        </is>
      </c>
      <c r="N68" s="8" t="inlineStr">
        <is>
          <t>2026-06-28</t>
        </is>
      </c>
      <c r="O68" s="8" t="inlineStr">
        <is>
          <t>CorpStage CIL Registry v1.1</t>
        </is>
      </c>
      <c r="P68" s="8" t="inlineStr">
        <is>
          <t>Group only (single enterprise-wide fact, does not repeat per node)</t>
        </is>
      </c>
      <c r="Q68" s="8" t="inlineStr">
        <is>
          <t>Global</t>
        </is>
      </c>
      <c r="R68" s="8" t="inlineStr">
        <is>
          <t>Tier 1 (Standard) — available to all frameworks and all customers</t>
        </is>
      </c>
      <c r="S68" s="8" t="inlineStr">
        <is>
          <t>Owned by D09 Operational Intelligence as an operational performance fact. Financial cost of operational performance owned by D03. D09 owns the operational system-of-record data; D03 owns the financial translation of operational outcomes.</t>
        </is>
      </c>
    </row>
    <row r="69" ht="15" customHeight="1" s="6">
      <c r="A69" s="8" t="inlineStr">
        <is>
          <t>CDE-O068</t>
        </is>
      </c>
      <c r="B69" s="8" t="inlineStr">
        <is>
          <t>Preventive Maintenance Cost (Current Period)</t>
        </is>
      </c>
      <c r="C69" s="8" t="inlineStr">
        <is>
          <t>Numeric</t>
        </is>
      </c>
      <c r="D69" s="8" t="inlineStr">
        <is>
          <t>Supplemental</t>
        </is>
      </c>
      <c r="E69" s="8" t="inlineStr">
        <is>
          <t>Optional</t>
        </is>
      </c>
      <c r="F69" s="8" t="inlineStr">
        <is>
          <t>P3</t>
        </is>
      </c>
      <c r="G69" s="8" t="inlineStr">
        <is>
          <t>&gt;=0, numeric</t>
        </is>
      </c>
      <c r="H69" s="8" t="inlineStr">
        <is>
          <t>TYPE:NUMERIC|MIN:0</t>
        </is>
      </c>
      <c r="I69" s="8" t="inlineStr">
        <is>
          <t>Effective-dated</t>
        </is>
      </c>
      <c r="J69" s="8" t="inlineStr">
        <is>
          <t>One-to-one</t>
        </is>
      </c>
      <c r="K69" s="8" t="inlineStr">
        <is>
          <t>N/A — not a one-to-many numeric field</t>
        </is>
      </c>
      <c r="L69" s="8" t="inlineStr">
        <is>
          <t>Finance / ERP System (SAP S/4HANA, Oracle Fusion, NetSuite)</t>
        </is>
      </c>
      <c r="M69" s="8" t="inlineStr">
        <is>
          <t>CIL Architecture Team</t>
        </is>
      </c>
      <c r="N69" s="8" t="inlineStr">
        <is>
          <t>2026-06-28</t>
        </is>
      </c>
      <c r="O69" s="8" t="inlineStr">
        <is>
          <t>CorpStage CIL Registry v1.1</t>
        </is>
      </c>
      <c r="P69" s="8" t="inlineStr">
        <is>
          <t>Group only (single enterprise-wide fact, does not repeat per node)</t>
        </is>
      </c>
      <c r="Q69" s="8" t="inlineStr">
        <is>
          <t>Global</t>
        </is>
      </c>
      <c r="R69" s="8" t="inlineStr">
        <is>
          <t>Tier 1 (Standard) — available to all frameworks and all customers</t>
        </is>
      </c>
      <c r="S69" s="8" t="inlineStr">
        <is>
          <t>Owned by D09 Operational Intelligence as an operational performance fact. Financial cost of operational performance owned by D03. D09 owns the operational system-of-record data; D03 owns the financial translation of operational outcomes.</t>
        </is>
      </c>
    </row>
    <row r="70" ht="15" customHeight="1" s="6">
      <c r="A70" s="8" t="inlineStr">
        <is>
          <t>CDE-O069</t>
        </is>
      </c>
      <c r="B70" s="8" t="inlineStr">
        <is>
          <t>Equipment Replacement Plan Documented</t>
        </is>
      </c>
      <c r="C70" s="8" t="inlineStr">
        <is>
          <t>Boolean</t>
        </is>
      </c>
      <c r="D70" s="8" t="inlineStr">
        <is>
          <t>Supplemental</t>
        </is>
      </c>
      <c r="E70" s="8" t="inlineStr">
        <is>
          <t>Optional</t>
        </is>
      </c>
      <c r="F70" s="8" t="inlineStr">
        <is>
          <t>P3</t>
        </is>
      </c>
      <c r="G70" s="8" t="inlineStr">
        <is>
          <t>True/False/Unknown (tri-state)</t>
        </is>
      </c>
      <c r="H70" s="8" t="inlineStr">
        <is>
          <t>TYPE:BOOLEAN|ALLOWED:TRUE,FALSE,UNKNOWN</t>
        </is>
      </c>
      <c r="I70" s="8" t="inlineStr">
        <is>
          <t>Point-in-time</t>
        </is>
      </c>
      <c r="J70" s="8" t="inlineStr">
        <is>
          <t>One-to-one</t>
        </is>
      </c>
      <c r="K70" s="8" t="inlineStr">
        <is>
          <t>N/A — not a one-to-many numeric field</t>
        </is>
      </c>
      <c r="L70" s="8" t="inlineStr">
        <is>
          <t>User Validation</t>
        </is>
      </c>
      <c r="M70" s="8" t="inlineStr">
        <is>
          <t>CIL Architecture Team</t>
        </is>
      </c>
      <c r="N70" s="8" t="inlineStr">
        <is>
          <t>2026-06-28</t>
        </is>
      </c>
      <c r="O70" s="8" t="inlineStr">
        <is>
          <t>CorpStage CIL Registry v1.1</t>
        </is>
      </c>
      <c r="P70" s="8" t="inlineStr">
        <is>
          <t>Group only (single enterprise-wide fact, does not repeat per node)</t>
        </is>
      </c>
      <c r="Q70" s="8" t="inlineStr">
        <is>
          <t>Global</t>
        </is>
      </c>
      <c r="R70" s="8" t="inlineStr">
        <is>
          <t>Tier 1 (Standard) — available to all frameworks and all customers</t>
        </is>
      </c>
      <c r="S70" s="8" t="inlineStr">
        <is>
          <t>Owned by D09 Operational Intelligence as an operational performance fact. Financial cost of operational performance owned by D03. D09 owns the operational system-of-record data; D03 owns the financial translation of operational outcomes.</t>
        </is>
      </c>
    </row>
    <row r="71" ht="15" customHeight="1" s="6">
      <c r="A71" s="8" t="inlineStr">
        <is>
          <t>CDE-O070</t>
        </is>
      </c>
      <c r="B71" s="8" t="inlineStr">
        <is>
          <t>Safety Audit Findings (Open Items Count)</t>
        </is>
      </c>
      <c r="C71" s="8" t="inlineStr">
        <is>
          <t>Numeric</t>
        </is>
      </c>
      <c r="D71" s="8" t="inlineStr">
        <is>
          <t>Supplemental</t>
        </is>
      </c>
      <c r="E71" s="8" t="inlineStr">
        <is>
          <t>Optional</t>
        </is>
      </c>
      <c r="F71" s="8" t="inlineStr">
        <is>
          <t>P3</t>
        </is>
      </c>
      <c r="G71" s="8" t="inlineStr">
        <is>
          <t>&gt;=0, integer</t>
        </is>
      </c>
      <c r="H71" s="8" t="inlineStr">
        <is>
          <t>TYPE:INTEGER|MIN:0</t>
        </is>
      </c>
      <c r="I71" s="8" t="inlineStr">
        <is>
          <t>Effective-dated</t>
        </is>
      </c>
      <c r="J71" s="8" t="inlineStr">
        <is>
          <t>One-to-many</t>
        </is>
      </c>
      <c r="K71" s="8" t="inlineStr">
        <is>
          <t>SUM across facilities should equal Total Enterprise Open Safety Audit Findings; TOLERANCE: 95-105%</t>
        </is>
      </c>
      <c r="L71" s="8" t="inlineStr">
        <is>
          <t>User Validation</t>
        </is>
      </c>
      <c r="M71" s="8" t="inlineStr">
        <is>
          <t>CIL Architecture Team</t>
        </is>
      </c>
      <c r="N71" s="8" t="inlineStr">
        <is>
          <t>2026-06-28</t>
        </is>
      </c>
      <c r="O71" s="8" t="inlineStr">
        <is>
          <t>CorpStage CIL Registry v1.1</t>
        </is>
      </c>
      <c r="P71" s="8" t="inlineStr">
        <is>
          <t>Plant, Site, Company, Group (collected at lowest defined node, aggregates upward)</t>
        </is>
      </c>
      <c r="Q71" s="8" t="inlineStr">
        <is>
          <t>Global</t>
        </is>
      </c>
      <c r="R71" s="8" t="inlineStr">
        <is>
          <t>Tier 1 (Standard) — available to all frameworks and all customers</t>
        </is>
      </c>
      <c r="S71" s="8" t="inlineStr">
        <is>
          <t>Owned by D09 Operational Intelligence as an operational performance fact. Financial cost of operational performance owned by D03. D09 owns the operational system-of-record data; D03 owns the financial translation of operational outcomes.</t>
        </is>
      </c>
    </row>
    <row r="72" ht="15" customHeight="1" s="6">
      <c r="A72" s="8" t="inlineStr">
        <is>
          <t>CDE-O071</t>
        </is>
      </c>
      <c r="B72" s="8" t="inlineStr">
        <is>
          <t>Maintenance Backlog Age (Oldest Item, Days)</t>
        </is>
      </c>
      <c r="C72" s="8" t="inlineStr">
        <is>
          <t>Numeric</t>
        </is>
      </c>
      <c r="D72" s="8" t="inlineStr">
        <is>
          <t>Supplemental</t>
        </is>
      </c>
      <c r="E72" s="8" t="inlineStr">
        <is>
          <t>Optional</t>
        </is>
      </c>
      <c r="F72" s="8" t="inlineStr">
        <is>
          <t>P3</t>
        </is>
      </c>
      <c r="G72" s="8" t="inlineStr">
        <is>
          <t>&gt;=0, integer</t>
        </is>
      </c>
      <c r="H72" s="8" t="inlineStr">
        <is>
          <t>TYPE:INTEGER|MIN:0</t>
        </is>
      </c>
      <c r="I72" s="8" t="inlineStr">
        <is>
          <t>Effective-dated</t>
        </is>
      </c>
      <c r="J72" s="8" t="inlineStr">
        <is>
          <t>One-to-one</t>
        </is>
      </c>
      <c r="K72" s="8" t="inlineStr">
        <is>
          <t>N/A — not a one-to-many numeric field</t>
        </is>
      </c>
      <c r="L72" s="8" t="inlineStr">
        <is>
          <t>User Validation</t>
        </is>
      </c>
      <c r="M72" s="8" t="inlineStr">
        <is>
          <t>CIL Architecture Team</t>
        </is>
      </c>
      <c r="N72" s="8" t="inlineStr">
        <is>
          <t>2026-06-28</t>
        </is>
      </c>
      <c r="O72" s="8" t="inlineStr">
        <is>
          <t>CorpStage CIL Registry v1.1</t>
        </is>
      </c>
      <c r="P72" s="8" t="inlineStr">
        <is>
          <t>Group only (single enterprise-wide fact, does not repeat per node)</t>
        </is>
      </c>
      <c r="Q72" s="8" t="inlineStr">
        <is>
          <t>Global</t>
        </is>
      </c>
      <c r="R72" s="8" t="inlineStr">
        <is>
          <t>Tier 1 (Standard) — available to all frameworks and all customers</t>
        </is>
      </c>
      <c r="S72" s="8" t="inlineStr">
        <is>
          <t>Owned by D09 Operational Intelligence as an operational performance fact. Financial cost of operational performance owned by D03. D09 owns the operational system-of-record data; D03 owns the financial translation of operational outcomes.</t>
        </is>
      </c>
    </row>
    <row r="73" ht="15" customHeight="1" s="6">
      <c r="A73" s="8" t="inlineStr">
        <is>
          <t>CDE-O072</t>
        </is>
      </c>
      <c r="B73" s="8" t="inlineStr">
        <is>
          <t>Downtime Cause Category (Mechanical/Electrical/Process/Other)</t>
        </is>
      </c>
      <c r="C73" s="8" t="inlineStr">
        <is>
          <t>Text</t>
        </is>
      </c>
      <c r="D73" s="8" t="inlineStr">
        <is>
          <t>Supplemental</t>
        </is>
      </c>
      <c r="E73" s="8" t="inlineStr">
        <is>
          <t>Optional</t>
        </is>
      </c>
      <c r="F73" s="8" t="inlineStr">
        <is>
          <t>P3</t>
        </is>
      </c>
      <c r="G73" s="8" t="inlineStr">
        <is>
          <t>Non-empty text</t>
        </is>
      </c>
      <c r="H73" s="8" t="inlineStr">
        <is>
          <t>TYPE:TEXT</t>
        </is>
      </c>
      <c r="I73" s="8" t="inlineStr">
        <is>
          <t>Point-in-time</t>
        </is>
      </c>
      <c r="J73" s="8" t="inlineStr">
        <is>
          <t>One-to-many</t>
        </is>
      </c>
      <c r="K73" s="8" t="inlineStr">
        <is>
          <t>N/A — not a one-to-many numeric field</t>
        </is>
      </c>
      <c r="L73" s="8" t="inlineStr">
        <is>
          <t>User Validation</t>
        </is>
      </c>
      <c r="M73" s="8" t="inlineStr">
        <is>
          <t>CIL Architecture Team</t>
        </is>
      </c>
      <c r="N73" s="8" t="inlineStr">
        <is>
          <t>2026-06-28</t>
        </is>
      </c>
      <c r="O73" s="8" t="inlineStr">
        <is>
          <t>CorpStage CIL Registry v1.1</t>
        </is>
      </c>
      <c r="P73" s="8" t="inlineStr">
        <is>
          <t>Plant, Site, Company, Group (collected at lowest defined node, aggregates upward)</t>
        </is>
      </c>
      <c r="Q73" s="8" t="inlineStr">
        <is>
          <t>Global</t>
        </is>
      </c>
      <c r="R73" s="8" t="inlineStr">
        <is>
          <t>Tier 1 (Standard) — available to all frameworks and all customers</t>
        </is>
      </c>
      <c r="S73" s="8" t="inlineStr">
        <is>
          <t>Owned by D09 Operational Intelligence as an operational performance fact. Financial cost of operational performance owned by D03. D09 owns the operational system-of-record data; D03 owns the financial translation of operational outcomes.</t>
        </is>
      </c>
    </row>
    <row r="74" ht="15" customHeight="1" s="6">
      <c r="A74" s="8" t="inlineStr">
        <is>
          <t>CDE-O073</t>
        </is>
      </c>
      <c r="B74" s="8" t="inlineStr">
        <is>
          <t>Root Cause Analysis Completion Rate %</t>
        </is>
      </c>
      <c r="C74" s="8" t="inlineStr">
        <is>
          <t>Numeric</t>
        </is>
      </c>
      <c r="D74" s="8" t="inlineStr">
        <is>
          <t>Supplemental</t>
        </is>
      </c>
      <c r="E74" s="8" t="inlineStr">
        <is>
          <t>Optional</t>
        </is>
      </c>
      <c r="F74" s="8" t="inlineStr">
        <is>
          <t>P3</t>
        </is>
      </c>
      <c r="G74" s="8" t="inlineStr">
        <is>
          <t>0-100, numeric</t>
        </is>
      </c>
      <c r="H74" s="8" t="inlineStr">
        <is>
          <t>TYPE:NUMERIC|MIN:0|MAX:100</t>
        </is>
      </c>
      <c r="I74" s="8" t="inlineStr">
        <is>
          <t>Effective-dated</t>
        </is>
      </c>
      <c r="J74" s="8" t="inlineStr">
        <is>
          <t>One-to-one</t>
        </is>
      </c>
      <c r="K74" s="8" t="inlineStr">
        <is>
          <t>N/A — not a one-to-many numeric field</t>
        </is>
      </c>
      <c r="L74" s="8" t="inlineStr">
        <is>
          <t>User Validation</t>
        </is>
      </c>
      <c r="M74" s="8" t="inlineStr">
        <is>
          <t>CIL Architecture Team</t>
        </is>
      </c>
      <c r="N74" s="8" t="inlineStr">
        <is>
          <t>2026-06-28</t>
        </is>
      </c>
      <c r="O74" s="8" t="inlineStr">
        <is>
          <t>CorpStage CIL Registry v1.1</t>
        </is>
      </c>
      <c r="P74" s="8" t="inlineStr">
        <is>
          <t>Group only (single enterprise-wide fact, does not repeat per node)</t>
        </is>
      </c>
      <c r="Q74" s="8" t="inlineStr">
        <is>
          <t>Global</t>
        </is>
      </c>
      <c r="R74" s="8" t="inlineStr">
        <is>
          <t>Tier 1 (Standard) — available to all frameworks and all customers</t>
        </is>
      </c>
      <c r="S74" s="8" t="inlineStr">
        <is>
          <t>Owned by D09 Operational Intelligence as an operational performance fact. Financial cost of operational performance owned by D03. D09 owns the operational system-of-record data; D03 owns the financial translation of operational outcomes.</t>
        </is>
      </c>
    </row>
    <row r="75" ht="15" customHeight="1" s="6">
      <c r="A75" s="8" t="inlineStr">
        <is>
          <t>CDE-O074</t>
        </is>
      </c>
      <c r="B75" s="8" t="inlineStr">
        <is>
          <t>Recovery Time Objective (RTO) Target (Hours)</t>
        </is>
      </c>
      <c r="C75" s="8" t="inlineStr">
        <is>
          <t>Numeric</t>
        </is>
      </c>
      <c r="D75" s="8" t="inlineStr">
        <is>
          <t>Supplemental</t>
        </is>
      </c>
      <c r="E75" s="8" t="inlineStr">
        <is>
          <t>Optional</t>
        </is>
      </c>
      <c r="F75" s="8" t="inlineStr">
        <is>
          <t>P3</t>
        </is>
      </c>
      <c r="G75" s="8" t="inlineStr">
        <is>
          <t>&gt;=0, numeric</t>
        </is>
      </c>
      <c r="H75" s="8" t="inlineStr">
        <is>
          <t>TYPE:NUMERIC|MIN:0</t>
        </is>
      </c>
      <c r="I75" s="8" t="inlineStr">
        <is>
          <t>Point-in-time</t>
        </is>
      </c>
      <c r="J75" s="8" t="inlineStr">
        <is>
          <t>One-to-one</t>
        </is>
      </c>
      <c r="K75" s="8" t="inlineStr">
        <is>
          <t>N/A — not a one-to-many numeric field</t>
        </is>
      </c>
      <c r="L75" s="8" t="inlineStr">
        <is>
          <t>User Validation</t>
        </is>
      </c>
      <c r="M75" s="8" t="inlineStr">
        <is>
          <t>CIL Architecture Team</t>
        </is>
      </c>
      <c r="N75" s="8" t="inlineStr">
        <is>
          <t>2026-06-28</t>
        </is>
      </c>
      <c r="O75" s="8" t="inlineStr">
        <is>
          <t>CorpStage CIL Registry v1.1</t>
        </is>
      </c>
      <c r="P75" s="8" t="inlineStr">
        <is>
          <t>Group only (single enterprise-wide fact, does not repeat per node)</t>
        </is>
      </c>
      <c r="Q75" s="8" t="inlineStr">
        <is>
          <t>Global</t>
        </is>
      </c>
      <c r="R75" s="8" t="inlineStr">
        <is>
          <t>Tier 1 (Standard) — available to all frameworks and all customers</t>
        </is>
      </c>
      <c r="S75" s="8" t="inlineStr">
        <is>
          <t>Owned by D09 Operational Intelligence as an operational performance fact. Financial cost of operational performance owned by D03. D09 owns the operational system-of-record data; D03 owns the financial translation of operational outcomes.</t>
        </is>
      </c>
    </row>
    <row r="76" ht="15" customHeight="1" s="6">
      <c r="A76" s="8" t="inlineStr">
        <is>
          <t>CDE-O075</t>
        </is>
      </c>
      <c r="B76" s="8" t="inlineStr">
        <is>
          <t>Operational Cost Breakdown Last Reviewed Date</t>
        </is>
      </c>
      <c r="C76" s="8" t="inlineStr">
        <is>
          <t>Date</t>
        </is>
      </c>
      <c r="D76" s="8" t="inlineStr">
        <is>
          <t>Supplemental</t>
        </is>
      </c>
      <c r="E76" s="8" t="inlineStr">
        <is>
          <t>Optional</t>
        </is>
      </c>
      <c r="F76" s="8" t="inlineStr">
        <is>
          <t>P3</t>
        </is>
      </c>
      <c r="G76" s="8" t="inlineStr">
        <is>
          <t>Valid date</t>
        </is>
      </c>
      <c r="H76" s="8" t="inlineStr">
        <is>
          <t>TYPE:DATE</t>
        </is>
      </c>
      <c r="I76" s="8" t="inlineStr">
        <is>
          <t>Point-in-time</t>
        </is>
      </c>
      <c r="J76" s="8" t="inlineStr">
        <is>
          <t>One-to-one</t>
        </is>
      </c>
      <c r="K76" s="8" t="inlineStr">
        <is>
          <t>N/A — not a one-to-many numeric field</t>
        </is>
      </c>
      <c r="L76" s="8" t="inlineStr">
        <is>
          <t>Finance / ERP System (SAP S/4HANA, Oracle Fusion, NetSuite)</t>
        </is>
      </c>
      <c r="M76" s="8" t="inlineStr">
        <is>
          <t>CIL Architecture Team</t>
        </is>
      </c>
      <c r="N76" s="8" t="inlineStr">
        <is>
          <t>2026-06-28</t>
        </is>
      </c>
      <c r="O76" s="8" t="inlineStr">
        <is>
          <t>CorpStage CIL Registry v1.1</t>
        </is>
      </c>
      <c r="P76" s="8" t="inlineStr">
        <is>
          <t>Group only (single enterprise-wide fact, does not repeat per node)</t>
        </is>
      </c>
      <c r="Q76" s="8" t="inlineStr">
        <is>
          <t>Global</t>
        </is>
      </c>
      <c r="R76" s="8" t="inlineStr">
        <is>
          <t>Tier 1 (Standard) — available to all frameworks and all customers</t>
        </is>
      </c>
      <c r="S76" s="8" t="inlineStr">
        <is>
          <t>Owned by D09 Operational Intelligence as an operational performance fact. Financial cost of operational performance owned by D03. D09 owns the operational system-of-record data; D03 owns the financial translation of operational outcomes.</t>
        </is>
      </c>
    </row>
    <row r="77" ht="15" customHeight="1" s="6">
      <c r="A77" s="8" t="inlineStr">
        <is>
          <t>CDE-O076</t>
        </is>
      </c>
      <c r="B77" s="8" t="inlineStr">
        <is>
          <t>Unit Production Cost Benchmark vs Industry</t>
        </is>
      </c>
      <c r="C77" s="8" t="inlineStr">
        <is>
          <t>Text</t>
        </is>
      </c>
      <c r="D77" s="8" t="inlineStr">
        <is>
          <t>Supplemental</t>
        </is>
      </c>
      <c r="E77" s="8" t="inlineStr">
        <is>
          <t>Optional</t>
        </is>
      </c>
      <c r="F77" s="8" t="inlineStr">
        <is>
          <t>P3</t>
        </is>
      </c>
      <c r="G77" s="8" t="inlineStr">
        <is>
          <t>Above/At/Below</t>
        </is>
      </c>
      <c r="H77" s="8" t="inlineStr">
        <is>
          <t>TYPE:ENUM|ALLOWED:ABOVE,AT,BELOW</t>
        </is>
      </c>
      <c r="I77" s="8" t="inlineStr">
        <is>
          <t>Point-in-time</t>
        </is>
      </c>
      <c r="J77" s="8" t="inlineStr">
        <is>
          <t>One-to-one</t>
        </is>
      </c>
      <c r="K77" s="8" t="inlineStr">
        <is>
          <t>N/A — not a one-to-many numeric field</t>
        </is>
      </c>
      <c r="L77" s="8" t="inlineStr">
        <is>
          <t>User Validation</t>
        </is>
      </c>
      <c r="M77" s="8" t="inlineStr">
        <is>
          <t>CIL Architecture Team</t>
        </is>
      </c>
      <c r="N77" s="8" t="inlineStr">
        <is>
          <t>2026-06-28</t>
        </is>
      </c>
      <c r="O77" s="8" t="inlineStr">
        <is>
          <t>CorpStage CIL Registry v1.1</t>
        </is>
      </c>
      <c r="P77" s="8" t="inlineStr">
        <is>
          <t>Group only (single enterprise-wide fact, does not repeat per node)</t>
        </is>
      </c>
      <c r="Q77" s="8" t="inlineStr">
        <is>
          <t>Global</t>
        </is>
      </c>
      <c r="R77" s="8" t="inlineStr">
        <is>
          <t>Tier 1 (Standard) — available to all frameworks and all customers</t>
        </is>
      </c>
      <c r="S77" s="8" t="inlineStr">
        <is>
          <t>Owned by D09 Operational Intelligence as an operational performance fact. Financial cost of operational performance owned by D03. D09 owns the operational system-of-record data; D03 owns the financial translation of operational outcomes.</t>
        </is>
      </c>
    </row>
    <row r="78" ht="15" customHeight="1" s="6">
      <c r="A78" s="8" t="inlineStr">
        <is>
          <t>CDE-O077</t>
        </is>
      </c>
      <c r="B78" s="8" t="inlineStr">
        <is>
          <t>Cost Reduction Initiative Implementation Status</t>
        </is>
      </c>
      <c r="C78" s="8" t="inlineStr">
        <is>
          <t>Text</t>
        </is>
      </c>
      <c r="D78" s="8" t="inlineStr">
        <is>
          <t>Supplemental</t>
        </is>
      </c>
      <c r="E78" s="8" t="inlineStr">
        <is>
          <t>Optional</t>
        </is>
      </c>
      <c r="F78" s="8" t="inlineStr">
        <is>
          <t>P3</t>
        </is>
      </c>
      <c r="G78" s="8" t="inlineStr">
        <is>
          <t>Planned/In Progress/Completed</t>
        </is>
      </c>
      <c r="H78" s="8" t="inlineStr">
        <is>
          <t>TYPE:ENUM|ALLOWED:PLANNED,IN_PROGRESS,COMPLETED</t>
        </is>
      </c>
      <c r="I78" s="8" t="inlineStr">
        <is>
          <t>Point-in-time</t>
        </is>
      </c>
      <c r="J78" s="8" t="inlineStr">
        <is>
          <t>One-to-one</t>
        </is>
      </c>
      <c r="K78" s="8" t="inlineStr">
        <is>
          <t>N/A — not a one-to-many numeric field</t>
        </is>
      </c>
      <c r="L78" s="8" t="inlineStr">
        <is>
          <t>User Validation</t>
        </is>
      </c>
      <c r="M78" s="8" t="inlineStr">
        <is>
          <t>CIL Architecture Team</t>
        </is>
      </c>
      <c r="N78" s="8" t="inlineStr">
        <is>
          <t>2026-06-28</t>
        </is>
      </c>
      <c r="O78" s="8" t="inlineStr">
        <is>
          <t>CorpStage CIL Registry v1.1</t>
        </is>
      </c>
      <c r="P78" s="8" t="inlineStr">
        <is>
          <t>Group only (single enterprise-wide fact, does not repeat per node)</t>
        </is>
      </c>
      <c r="Q78" s="8" t="inlineStr">
        <is>
          <t>Global</t>
        </is>
      </c>
      <c r="R78" s="8" t="inlineStr">
        <is>
          <t>Tier 1 (Standard) — available to all frameworks and all customers</t>
        </is>
      </c>
      <c r="S78" s="8" t="inlineStr">
        <is>
          <t>Owned by D09 Operational Intelligence as an operational performance fact. Financial cost of operational performance owned by D03. D09 owns the operational system-of-record data; D03 owns the financial translation of operational outcomes.</t>
        </is>
      </c>
    </row>
    <row r="79" ht="15" customHeight="1" s="6">
      <c r="A79" s="8" t="inlineStr">
        <is>
          <t>CDE-O078</t>
        </is>
      </c>
      <c r="B79" s="8" t="inlineStr">
        <is>
          <t>Energy Cost per Unit Benchmark vs Industry</t>
        </is>
      </c>
      <c r="C79" s="8" t="inlineStr">
        <is>
          <t>Text</t>
        </is>
      </c>
      <c r="D79" s="8" t="inlineStr">
        <is>
          <t>Supplemental</t>
        </is>
      </c>
      <c r="E79" s="8" t="inlineStr">
        <is>
          <t>Optional</t>
        </is>
      </c>
      <c r="F79" s="8" t="inlineStr">
        <is>
          <t>P3</t>
        </is>
      </c>
      <c r="G79" s="8" t="inlineStr">
        <is>
          <t>Above/At/Below</t>
        </is>
      </c>
      <c r="H79" s="8" t="inlineStr">
        <is>
          <t>TYPE:ENUM|ALLOWED:ABOVE,AT,BELOW</t>
        </is>
      </c>
      <c r="I79" s="8" t="inlineStr">
        <is>
          <t>Point-in-time</t>
        </is>
      </c>
      <c r="J79" s="8" t="inlineStr">
        <is>
          <t>One-to-one</t>
        </is>
      </c>
      <c r="K79" s="8" t="inlineStr">
        <is>
          <t>N/A — not a one-to-many numeric field</t>
        </is>
      </c>
      <c r="L79" s="8" t="inlineStr">
        <is>
          <t>User Validation</t>
        </is>
      </c>
      <c r="M79" s="8" t="inlineStr">
        <is>
          <t>CIL Architecture Team</t>
        </is>
      </c>
      <c r="N79" s="8" t="inlineStr">
        <is>
          <t>2026-06-28</t>
        </is>
      </c>
      <c r="O79" s="8" t="inlineStr">
        <is>
          <t>CorpStage CIL Registry v1.1</t>
        </is>
      </c>
      <c r="P79" s="8" t="inlineStr">
        <is>
          <t>Group only (single enterprise-wide fact, does not repeat per node)</t>
        </is>
      </c>
      <c r="Q79" s="8" t="inlineStr">
        <is>
          <t>Global</t>
        </is>
      </c>
      <c r="R79" s="8" t="inlineStr">
        <is>
          <t>Tier 1 (Standard) — available to all frameworks and all customers</t>
        </is>
      </c>
      <c r="S79" s="8" t="inlineStr">
        <is>
          <t>Owned by D09 Operational Intelligence as an operational performance fact. Financial cost of operational performance owned by D03. D09 owns the operational system-of-record data; D03 owns the financial translation of operational outcomes.</t>
        </is>
      </c>
    </row>
    <row r="80" ht="15" customHeight="1" s="6">
      <c r="A80" s="8" t="inlineStr">
        <is>
          <t>CDE-O079</t>
        </is>
      </c>
      <c r="B80" s="8" t="inlineStr">
        <is>
          <t>Water/Material Cost Efficiency Last Reviewed Date</t>
        </is>
      </c>
      <c r="C80" s="8" t="inlineStr">
        <is>
          <t>Date</t>
        </is>
      </c>
      <c r="D80" s="8" t="inlineStr">
        <is>
          <t>Supplemental</t>
        </is>
      </c>
      <c r="E80" s="8" t="inlineStr">
        <is>
          <t>Optional</t>
        </is>
      </c>
      <c r="F80" s="8" t="inlineStr">
        <is>
          <t>P3</t>
        </is>
      </c>
      <c r="G80" s="8" t="inlineStr">
        <is>
          <t>Valid date</t>
        </is>
      </c>
      <c r="H80" s="8" t="inlineStr">
        <is>
          <t>TYPE:DATE</t>
        </is>
      </c>
      <c r="I80" s="8" t="inlineStr">
        <is>
          <t>Point-in-time</t>
        </is>
      </c>
      <c r="J80" s="8" t="inlineStr">
        <is>
          <t>One-to-one</t>
        </is>
      </c>
      <c r="K80" s="8" t="inlineStr">
        <is>
          <t>N/A — not a one-to-many numeric field</t>
        </is>
      </c>
      <c r="L80" s="8" t="inlineStr">
        <is>
          <t>User Validation</t>
        </is>
      </c>
      <c r="M80" s="8" t="inlineStr">
        <is>
          <t>CIL Architecture Team</t>
        </is>
      </c>
      <c r="N80" s="8" t="inlineStr">
        <is>
          <t>2026-06-28</t>
        </is>
      </c>
      <c r="O80" s="8" t="inlineStr">
        <is>
          <t>CorpStage CIL Registry v1.1</t>
        </is>
      </c>
      <c r="P80" s="8" t="inlineStr">
        <is>
          <t>Group only (single enterprise-wide fact, does not repeat per node)</t>
        </is>
      </c>
      <c r="Q80" s="8" t="inlineStr">
        <is>
          <t>Global</t>
        </is>
      </c>
      <c r="R80" s="8" t="inlineStr">
        <is>
          <t>Tier 1 (Standard) — available to all frameworks and all customers</t>
        </is>
      </c>
      <c r="S80" s="8" t="inlineStr">
        <is>
          <t>Owned by D09 Operational Intelligence as an operational performance fact. Financial cost of operational performance owned by D03. D09 owns the operational system-of-record data; D03 owns the financial translation of operational outcomes.</t>
        </is>
      </c>
    </row>
    <row r="81" ht="15" customHeight="1" s="6">
      <c r="A81" s="8" t="inlineStr">
        <is>
          <t>CDE-O080</t>
        </is>
      </c>
      <c r="B81" s="8" t="inlineStr">
        <is>
          <t>Efficiency Investment Total Capital Deployed (Current Period)</t>
        </is>
      </c>
      <c r="C81" s="8" t="inlineStr">
        <is>
          <t>Numeric</t>
        </is>
      </c>
      <c r="D81" s="8" t="inlineStr">
        <is>
          <t>Supplemental</t>
        </is>
      </c>
      <c r="E81" s="8" t="inlineStr">
        <is>
          <t>Optional</t>
        </is>
      </c>
      <c r="F81" s="8" t="inlineStr">
        <is>
          <t>P3</t>
        </is>
      </c>
      <c r="G81" s="8" t="inlineStr">
        <is>
          <t>&gt;=0, numeric</t>
        </is>
      </c>
      <c r="H81" s="8" t="inlineStr">
        <is>
          <t>TYPE:NUMERIC|MIN:0</t>
        </is>
      </c>
      <c r="I81" s="8" t="inlineStr">
        <is>
          <t>Effective-dated</t>
        </is>
      </c>
      <c r="J81" s="8" t="inlineStr">
        <is>
          <t>One-to-one</t>
        </is>
      </c>
      <c r="K81" s="8" t="inlineStr">
        <is>
          <t>N/A — not a one-to-many numeric field</t>
        </is>
      </c>
      <c r="L81" s="8" t="inlineStr">
        <is>
          <t>Finance / ERP System (SAP S/4HANA, Oracle Fusion, NetSuite)</t>
        </is>
      </c>
      <c r="M81" s="8" t="inlineStr">
        <is>
          <t>CIL Architecture Team</t>
        </is>
      </c>
      <c r="N81" s="8" t="inlineStr">
        <is>
          <t>2026-06-28</t>
        </is>
      </c>
      <c r="O81" s="8" t="inlineStr">
        <is>
          <t>CorpStage CIL Registry v1.1</t>
        </is>
      </c>
      <c r="P81" s="8" t="inlineStr">
        <is>
          <t>Group only (single enterprise-wide fact, does not repeat per node)</t>
        </is>
      </c>
      <c r="Q81" s="8" t="inlineStr">
        <is>
          <t>Global</t>
        </is>
      </c>
      <c r="R81" s="8" t="inlineStr">
        <is>
          <t>Tier 1 (Standard) — available to all frameworks and all customers</t>
        </is>
      </c>
      <c r="S81" s="8" t="inlineStr">
        <is>
          <t>Owned by D09 Operational Intelligence as an operational performance fact. Financial cost of operational performance owned by D03. D09 owns the operational system-of-record data; D03 owns the financial translation of operational outcomes.</t>
        </is>
      </c>
    </row>
    <row r="82" ht="15" customHeight="1" s="6">
      <c r="A82" s="8" t="inlineStr">
        <is>
          <t>CDE-O081</t>
        </is>
      </c>
      <c r="B82" s="8" t="inlineStr">
        <is>
          <t>OT System Cybersecurity Assessment Conducted</t>
        </is>
      </c>
      <c r="C82" s="8" t="inlineStr">
        <is>
          <t>Boolean</t>
        </is>
      </c>
      <c r="D82" s="8" t="inlineStr">
        <is>
          <t>Supplemental</t>
        </is>
      </c>
      <c r="E82" s="8" t="inlineStr">
        <is>
          <t>Optional</t>
        </is>
      </c>
      <c r="F82" s="8" t="inlineStr">
        <is>
          <t>P3</t>
        </is>
      </c>
      <c r="G82" s="8" t="inlineStr">
        <is>
          <t>True/False/Unknown (tri-state)</t>
        </is>
      </c>
      <c r="H82" s="8" t="inlineStr">
        <is>
          <t>TYPE:BOOLEAN|ALLOWED:TRUE,FALSE,UNKNOWN</t>
        </is>
      </c>
      <c r="I82" s="8" t="inlineStr">
        <is>
          <t>Point-in-time</t>
        </is>
      </c>
      <c r="J82" s="8" t="inlineStr">
        <is>
          <t>One-to-one</t>
        </is>
      </c>
      <c r="K82" s="8" t="inlineStr">
        <is>
          <t>N/A — not a one-to-many numeric field</t>
        </is>
      </c>
      <c r="L82" s="8" t="inlineStr">
        <is>
          <t>User Validation</t>
        </is>
      </c>
      <c r="M82" s="8" t="inlineStr">
        <is>
          <t>CIL Architecture Team</t>
        </is>
      </c>
      <c r="N82" s="8" t="inlineStr">
        <is>
          <t>2026-06-28</t>
        </is>
      </c>
      <c r="O82" s="8" t="inlineStr">
        <is>
          <t>CorpStage CIL Registry v1.1</t>
        </is>
      </c>
      <c r="P82" s="8" t="inlineStr">
        <is>
          <t>Group only (single enterprise-wide fact, does not repeat per node)</t>
        </is>
      </c>
      <c r="Q82" s="8" t="inlineStr">
        <is>
          <t>Global</t>
        </is>
      </c>
      <c r="R82" s="8" t="inlineStr">
        <is>
          <t>Tier 1 (Standard) — available to all frameworks and all customers</t>
        </is>
      </c>
      <c r="S82" s="8" t="inlineStr">
        <is>
          <t>Owned by D09 Operational Intelligence as an operational performance fact. Financial cost of operational performance owned by D03. D09 owns the operational system-of-record data; D03 owns the financial translation of operational outcomes.</t>
        </is>
      </c>
    </row>
    <row r="83" ht="15" customHeight="1" s="6">
      <c r="A83" s="8" t="inlineStr">
        <is>
          <t>CDE-O082</t>
        </is>
      </c>
      <c r="B83" s="8" t="inlineStr">
        <is>
          <t>Automation Investment Plan for Next 12 Months</t>
        </is>
      </c>
      <c r="C83" s="8" t="inlineStr">
        <is>
          <t>Boolean</t>
        </is>
      </c>
      <c r="D83" s="8" t="inlineStr">
        <is>
          <t>Supplemental</t>
        </is>
      </c>
      <c r="E83" s="8" t="inlineStr">
        <is>
          <t>Optional</t>
        </is>
      </c>
      <c r="F83" s="8" t="inlineStr">
        <is>
          <t>P3</t>
        </is>
      </c>
      <c r="G83" s="8" t="inlineStr">
        <is>
          <t>True/False/Unknown (tri-state)</t>
        </is>
      </c>
      <c r="H83" s="8" t="inlineStr">
        <is>
          <t>TYPE:BOOLEAN|ALLOWED:TRUE,FALSE,UNKNOWN</t>
        </is>
      </c>
      <c r="I83" s="8" t="inlineStr">
        <is>
          <t>Point-in-time</t>
        </is>
      </c>
      <c r="J83" s="8" t="inlineStr">
        <is>
          <t>One-to-one</t>
        </is>
      </c>
      <c r="K83" s="8" t="inlineStr">
        <is>
          <t>N/A — not a one-to-many numeric field</t>
        </is>
      </c>
      <c r="L83" s="8" t="inlineStr">
        <is>
          <t>User Validation</t>
        </is>
      </c>
      <c r="M83" s="8" t="inlineStr">
        <is>
          <t>CIL Architecture Team</t>
        </is>
      </c>
      <c r="N83" s="8" t="inlineStr">
        <is>
          <t>2026-06-28</t>
        </is>
      </c>
      <c r="O83" s="8" t="inlineStr">
        <is>
          <t>CorpStage CIL Registry v1.1</t>
        </is>
      </c>
      <c r="P83" s="8" t="inlineStr">
        <is>
          <t>Group only (single enterprise-wide fact, does not repeat per node)</t>
        </is>
      </c>
      <c r="Q83" s="8" t="inlineStr">
        <is>
          <t>Global</t>
        </is>
      </c>
      <c r="R83" s="8" t="inlineStr">
        <is>
          <t>Tier 1 (Standard) — available to all frameworks and all customers</t>
        </is>
      </c>
      <c r="S83" s="8" t="inlineStr">
        <is>
          <t>Owned by D09 Operational Intelligence as an operational performance fact. Financial cost of operational performance owned by D03. D09 owns the operational system-of-record data; D03 owns the financial translation of operational outcomes.</t>
        </is>
      </c>
    </row>
    <row r="84" ht="15" customHeight="1" s="6">
      <c r="A84" s="8" t="inlineStr">
        <is>
          <t>CDE-O083</t>
        </is>
      </c>
      <c r="B84" s="8" t="inlineStr">
        <is>
          <t>Digital Twin/Monitoring Coverage % of Operations</t>
        </is>
      </c>
      <c r="C84" s="8" t="inlineStr">
        <is>
          <t>Numeric</t>
        </is>
      </c>
      <c r="D84" s="8" t="inlineStr">
        <is>
          <t>Supplemental</t>
        </is>
      </c>
      <c r="E84" s="8" t="inlineStr">
        <is>
          <t>Optional</t>
        </is>
      </c>
      <c r="F84" s="8" t="inlineStr">
        <is>
          <t>P3</t>
        </is>
      </c>
      <c r="G84" s="8" t="inlineStr">
        <is>
          <t>0-100, numeric</t>
        </is>
      </c>
      <c r="H84" s="8" t="inlineStr">
        <is>
          <t>TYPE:NUMERIC|MIN:0|MAX:100</t>
        </is>
      </c>
      <c r="I84" s="8" t="inlineStr">
        <is>
          <t>Effective-dated</t>
        </is>
      </c>
      <c r="J84" s="8" t="inlineStr">
        <is>
          <t>One-to-one</t>
        </is>
      </c>
      <c r="K84" s="8" t="inlineStr">
        <is>
          <t>N/A — not a one-to-many numeric field</t>
        </is>
      </c>
      <c r="L84" s="8" t="inlineStr">
        <is>
          <t>User Validation</t>
        </is>
      </c>
      <c r="M84" s="8" t="inlineStr">
        <is>
          <t>CIL Architecture Team</t>
        </is>
      </c>
      <c r="N84" s="8" t="inlineStr">
        <is>
          <t>2026-06-28</t>
        </is>
      </c>
      <c r="O84" s="8" t="inlineStr">
        <is>
          <t>CorpStage CIL Registry v1.1</t>
        </is>
      </c>
      <c r="P84" s="8" t="inlineStr">
        <is>
          <t>Group only (single enterprise-wide fact, does not repeat per node)</t>
        </is>
      </c>
      <c r="Q84" s="8" t="inlineStr">
        <is>
          <t>Global</t>
        </is>
      </c>
      <c r="R84" s="8" t="inlineStr">
        <is>
          <t>Tier 1 (Standard) — available to all frameworks and all customers</t>
        </is>
      </c>
      <c r="S84" s="8" t="inlineStr">
        <is>
          <t>Owned by D09 Operational Intelligence as an operational performance fact. Financial cost of operational performance owned by D03. D09 owns the operational system-of-record data; D03 owns the financial translation of operational outcomes.</t>
        </is>
      </c>
    </row>
    <row r="85" ht="15" customHeight="1" s="6">
      <c r="A85" s="8" t="inlineStr">
        <is>
          <t>CDE-O084</t>
        </is>
      </c>
      <c r="B85" s="8" t="inlineStr">
        <is>
          <t>Facility ISO Certification Last Audit Date</t>
        </is>
      </c>
      <c r="C85" s="8" t="inlineStr">
        <is>
          <t>Date</t>
        </is>
      </c>
      <c r="D85" s="8" t="inlineStr">
        <is>
          <t>Supplemental</t>
        </is>
      </c>
      <c r="E85" s="8" t="inlineStr">
        <is>
          <t>Optional</t>
        </is>
      </c>
      <c r="F85" s="8" t="inlineStr">
        <is>
          <t>P3</t>
        </is>
      </c>
      <c r="G85" s="8" t="inlineStr">
        <is>
          <t>Valid date</t>
        </is>
      </c>
      <c r="H85" s="8" t="inlineStr">
        <is>
          <t>TYPE:DATE</t>
        </is>
      </c>
      <c r="I85" s="8" t="inlineStr">
        <is>
          <t>Point-in-time</t>
        </is>
      </c>
      <c r="J85" s="8" t="inlineStr">
        <is>
          <t>One-to-many</t>
        </is>
      </c>
      <c r="K85" s="8" t="inlineStr">
        <is>
          <t>N/A — not a one-to-many numeric field</t>
        </is>
      </c>
      <c r="L85" s="8" t="inlineStr">
        <is>
          <t>User Validation</t>
        </is>
      </c>
      <c r="M85" s="8" t="inlineStr">
        <is>
          <t>CIL Architecture Team</t>
        </is>
      </c>
      <c r="N85" s="8" t="inlineStr">
        <is>
          <t>2026-06-28</t>
        </is>
      </c>
      <c r="O85" s="8" t="inlineStr">
        <is>
          <t>CorpStage CIL Registry v1.2</t>
        </is>
      </c>
      <c r="P85" s="8" t="inlineStr">
        <is>
          <t>Plant, Site, Company, Group (collected at lowest defined node, aggregates upward)</t>
        </is>
      </c>
      <c r="Q85" s="8" t="inlineStr">
        <is>
          <t>Global</t>
        </is>
      </c>
      <c r="R85" s="8" t="inlineStr">
        <is>
          <t>Tier 1 (Standard) — available to all frameworks and all customers</t>
        </is>
      </c>
      <c r="S85" s="8" t="inlineStr">
        <is>
          <t>Owned by D09 Operational Intelligence as an operational performance fact. Financial cost of operational performance owned by D03. D09 owns the operational system-of-record data; D03 owns the financial translation of operational outcomes.</t>
        </is>
      </c>
    </row>
    <row r="86" ht="15" customHeight="1" s="6">
      <c r="A86" s="8" t="inlineStr">
        <is>
          <t>CDE-O085</t>
        </is>
      </c>
      <c r="B86" s="8" t="inlineStr">
        <is>
          <t>Production Throughput Capacity Gap (Actual vs Rated)</t>
        </is>
      </c>
      <c r="C86" s="8" t="inlineStr">
        <is>
          <t>Numeric</t>
        </is>
      </c>
      <c r="D86" s="8" t="inlineStr">
        <is>
          <t>Supplemental</t>
        </is>
      </c>
      <c r="E86" s="8" t="inlineStr">
        <is>
          <t>Optional</t>
        </is>
      </c>
      <c r="F86" s="8" t="inlineStr">
        <is>
          <t>P3</t>
        </is>
      </c>
      <c r="G86" s="8" t="inlineStr">
        <is>
          <t>Numeric (can be negative)</t>
        </is>
      </c>
      <c r="H86" s="8" t="inlineStr">
        <is>
          <t>TYPE:NUMERIC</t>
        </is>
      </c>
      <c r="I86" s="8" t="inlineStr">
        <is>
          <t>Effective-dated</t>
        </is>
      </c>
      <c r="J86" s="8" t="inlineStr">
        <is>
          <t>One-to-many</t>
        </is>
      </c>
      <c r="K86" s="8" t="inlineStr">
        <is>
          <t>Independent per facility; not aggregated (capacity gap is a difference, not a summable quantity — reporting Group-level gap requires recalculating from total actual vs total rated capacity, not summing individual facility gaps)</t>
        </is>
      </c>
      <c r="L86" s="8" t="inlineStr">
        <is>
          <t>User Validation</t>
        </is>
      </c>
      <c r="M86" s="8" t="inlineStr">
        <is>
          <t>CIL Architecture Team</t>
        </is>
      </c>
      <c r="N86" s="8" t="inlineStr">
        <is>
          <t>2026-06-28</t>
        </is>
      </c>
      <c r="O86" s="8" t="inlineStr">
        <is>
          <t>CorpStage CIL Registry v1.2</t>
        </is>
      </c>
      <c r="P86" s="8" t="inlineStr">
        <is>
          <t>Plant, Site, Company, Group (collected at lowest defined node, aggregates upward)</t>
        </is>
      </c>
      <c r="Q86" s="8" t="inlineStr">
        <is>
          <t>Global</t>
        </is>
      </c>
      <c r="R86" s="8" t="inlineStr">
        <is>
          <t>Tier 1 (Standard) — available to all frameworks and all customers</t>
        </is>
      </c>
      <c r="S86" s="8" t="inlineStr">
        <is>
          <t>Owned by D09 Operational Intelligence as an operational performance fact. Financial cost of operational performance owned by D03. D09 owns the operational system-of-record data; D03 owns the financial translation of operational outcomes.</t>
        </is>
      </c>
    </row>
    <row r="87" ht="15" customHeight="1" s="6">
      <c r="A87" s="8" t="inlineStr">
        <is>
          <t>CDE-O086</t>
        </is>
      </c>
      <c r="B87" s="8" t="inlineStr">
        <is>
          <t>Digital Twin/Monitoring Vendor/Platform Used</t>
        </is>
      </c>
      <c r="C87" s="8" t="inlineStr">
        <is>
          <t>Text</t>
        </is>
      </c>
      <c r="D87" s="8" t="inlineStr">
        <is>
          <t>Supplemental</t>
        </is>
      </c>
      <c r="E87" s="8" t="inlineStr">
        <is>
          <t>Optional</t>
        </is>
      </c>
      <c r="F87" s="8" t="inlineStr">
        <is>
          <t>P3</t>
        </is>
      </c>
      <c r="G87" s="8" t="inlineStr">
        <is>
          <t>Non-empty text</t>
        </is>
      </c>
      <c r="H87" s="8" t="inlineStr">
        <is>
          <t>TYPE:TEXT</t>
        </is>
      </c>
      <c r="I87" s="8" t="inlineStr">
        <is>
          <t>Point-in-time</t>
        </is>
      </c>
      <c r="J87" s="8" t="inlineStr">
        <is>
          <t>One-to-one</t>
        </is>
      </c>
      <c r="K87" s="8" t="inlineStr">
        <is>
          <t>N/A — not a one-to-many numeric field</t>
        </is>
      </c>
      <c r="L87" s="8" t="inlineStr">
        <is>
          <t>User Validation</t>
        </is>
      </c>
      <c r="M87" s="8" t="inlineStr">
        <is>
          <t>CIL Architecture Team</t>
        </is>
      </c>
      <c r="N87" s="8" t="inlineStr">
        <is>
          <t>2026-06-28</t>
        </is>
      </c>
      <c r="O87" s="8" t="inlineStr">
        <is>
          <t>CorpStage CIL Registry v1.2</t>
        </is>
      </c>
      <c r="P87" s="8" t="inlineStr">
        <is>
          <t>Group only (single enterprise-wide fact, does not repeat per node)</t>
        </is>
      </c>
      <c r="Q87" s="8" t="inlineStr">
        <is>
          <t>Global</t>
        </is>
      </c>
      <c r="R87" s="8" t="inlineStr">
        <is>
          <t>Tier 1 (Standard) — available to all frameworks and all customers</t>
        </is>
      </c>
      <c r="S87" s="8" t="inlineStr">
        <is>
          <t>Owned by D09 Operational Intelligence as an operational performance fact. Financial cost of operational performance owned by D03. D09 owns the operational system-of-record data; D03 owns the financial translation of operational outcomes.</t>
        </is>
      </c>
    </row>
    <row r="88" ht="15" customHeight="1" s="6">
      <c r="A88" s="8" t="inlineStr">
        <is>
          <t>CDE-O087</t>
        </is>
      </c>
      <c r="B88" s="8" t="inlineStr">
        <is>
          <t>Recovery Time Objective Last Tested/Drilled Date</t>
        </is>
      </c>
      <c r="C88" s="8" t="inlineStr">
        <is>
          <t>Date</t>
        </is>
      </c>
      <c r="D88" s="8" t="inlineStr">
        <is>
          <t>Supplemental</t>
        </is>
      </c>
      <c r="E88" s="8" t="inlineStr">
        <is>
          <t>Optional</t>
        </is>
      </c>
      <c r="F88" s="8" t="inlineStr">
        <is>
          <t>P3</t>
        </is>
      </c>
      <c r="G88" s="8" t="inlineStr">
        <is>
          <t>Valid date</t>
        </is>
      </c>
      <c r="H88" s="8" t="inlineStr">
        <is>
          <t>TYPE:DATE</t>
        </is>
      </c>
      <c r="I88" s="8" t="inlineStr">
        <is>
          <t>Point-in-time</t>
        </is>
      </c>
      <c r="J88" s="8" t="inlineStr">
        <is>
          <t>One-to-one</t>
        </is>
      </c>
      <c r="K88" s="8" t="inlineStr">
        <is>
          <t>N/A — not a one-to-many numeric field</t>
        </is>
      </c>
      <c r="L88" s="8" t="inlineStr">
        <is>
          <t>User Validation</t>
        </is>
      </c>
      <c r="M88" s="8" t="inlineStr">
        <is>
          <t>CIL Architecture Team</t>
        </is>
      </c>
      <c r="N88" s="8" t="inlineStr">
        <is>
          <t>2026-06-28</t>
        </is>
      </c>
      <c r="O88" s="8" t="inlineStr">
        <is>
          <t>CorpStage CIL Registry v1.2</t>
        </is>
      </c>
      <c r="P88" s="8" t="inlineStr">
        <is>
          <t>Group only (single enterprise-wide fact, does not repeat per node)</t>
        </is>
      </c>
      <c r="Q88" s="8" t="inlineStr">
        <is>
          <t>Global</t>
        </is>
      </c>
      <c r="R88" s="8" t="inlineStr">
        <is>
          <t>Tier 1 (Standard) — available to all frameworks and all customers</t>
        </is>
      </c>
      <c r="S88" s="8" t="inlineStr">
        <is>
          <t>Owned by D09 Operational Intelligence as an operational performance fact. Financial cost of operational performance owned by D03. D09 owns the operational system-of-record data; D03 owns the financial translation of operational outcomes.</t>
        </is>
      </c>
    </row>
    <row r="89" ht="15" customHeight="1" s="6">
      <c r="A89" s="5" t="inlineStr">
        <is>
          <t>CDE-O088</t>
        </is>
      </c>
      <c r="B89" s="5" t="inlineStr">
        <is>
          <t>Production Scheduling/Planning System in Use</t>
        </is>
      </c>
      <c r="C89" s="5" t="inlineStr">
        <is>
          <t>Boolean</t>
        </is>
      </c>
      <c r="D89" s="5" t="inlineStr">
        <is>
          <t>Recommended</t>
        </is>
      </c>
      <c r="E89" s="5" t="inlineStr">
        <is>
          <t>Optional</t>
        </is>
      </c>
      <c r="F89" s="5" t="inlineStr">
        <is>
          <t>P2</t>
        </is>
      </c>
      <c r="G89" s="5" t="inlineStr">
        <is>
          <t>True/False</t>
        </is>
      </c>
      <c r="H89" s="5" t="inlineStr">
        <is>
          <t>TYPE:BOOLEAN|ALLOWED:TRUE,FALSE</t>
        </is>
      </c>
      <c r="I89" s="5" t="inlineStr">
        <is>
          <t>Effective-dated</t>
        </is>
      </c>
      <c r="J89" s="5" t="inlineStr">
        <is>
          <t>One-to-one</t>
        </is>
      </c>
      <c r="K89" s="5" t="inlineStr">
        <is>
          <t>N/A — not a one-to-many numeric field</t>
        </is>
      </c>
      <c r="L89" s="5" t="inlineStr">
        <is>
          <t>User Validation</t>
        </is>
      </c>
      <c r="M89" s="5" t="inlineStr">
        <is>
          <t>CIL Architecture Team</t>
        </is>
      </c>
      <c r="N89" s="5" t="inlineStr">
        <is>
          <t>2026-06-28</t>
        </is>
      </c>
      <c r="O89" s="5" t="inlineStr">
        <is>
          <t>CorpStage CIL Registry v1.3</t>
        </is>
      </c>
      <c r="P89" s="5" t="inlineStr">
        <is>
          <t>Group only (single enterprise-wide fact, does not repeat per node)</t>
        </is>
      </c>
      <c r="Q89" s="5" t="inlineStr">
        <is>
          <t>Global</t>
        </is>
      </c>
      <c r="R89" s="5" t="inlineStr">
        <is>
          <t>Tier 1 (Standard) — available to all frameworks and all customers</t>
        </is>
      </c>
      <c r="S89" s="5" t="inlineStr">
        <is>
          <t>Owned by D09 Operational Intelligence as an operational performance fact. Financial cost of operational performance owned by D03. D09 owns the operational system-of-record data; D03 owns the financial translation of operational outcomes.</t>
        </is>
      </c>
    </row>
    <row r="90" ht="15" customHeight="1" s="6">
      <c r="A90" s="5" t="inlineStr">
        <is>
          <t>CDE-O089</t>
        </is>
      </c>
      <c r="B90" s="5" t="inlineStr">
        <is>
          <t>Work-in-Progress (WIP) Level (Physical Units, Distinct from Dollar Value)</t>
        </is>
      </c>
      <c r="C90" s="5" t="inlineStr">
        <is>
          <t>Numeric</t>
        </is>
      </c>
      <c r="D90" s="5" t="inlineStr">
        <is>
          <t>Recommended</t>
        </is>
      </c>
      <c r="E90" s="5" t="inlineStr">
        <is>
          <t>Optional</t>
        </is>
      </c>
      <c r="F90" s="5" t="inlineStr">
        <is>
          <t>P2</t>
        </is>
      </c>
      <c r="G90" s="5" t="inlineStr">
        <is>
          <t>&gt;=0, numeric</t>
        </is>
      </c>
      <c r="H90" s="5" t="inlineStr">
        <is>
          <t>TYPE:NUMERIC|MIN:0</t>
        </is>
      </c>
      <c r="I90" s="5" t="inlineStr">
        <is>
          <t>Effective-dated</t>
        </is>
      </c>
      <c r="J90" s="5" t="inlineStr">
        <is>
          <t>One-to-many</t>
        </is>
      </c>
      <c r="K90" s="5" t="inlineStr">
        <is>
          <t>Independent per facility; SUM gives total enterprise WIP if reporting aggregate</t>
        </is>
      </c>
      <c r="L90" s="5" t="inlineStr">
        <is>
          <t>User Validation</t>
        </is>
      </c>
      <c r="M90" s="5" t="inlineStr">
        <is>
          <t>CIL Architecture Team</t>
        </is>
      </c>
      <c r="N90" s="5" t="inlineStr">
        <is>
          <t>2026-06-28</t>
        </is>
      </c>
      <c r="O90" s="5" t="inlineStr">
        <is>
          <t>CorpStage CIL Registry v1.3</t>
        </is>
      </c>
      <c r="P90" s="5" t="inlineStr">
        <is>
          <t>Plant, Site, Company, Group (collected at lowest defined node, aggregates upward)</t>
        </is>
      </c>
      <c r="Q90" s="5" t="inlineStr">
        <is>
          <t>Global</t>
        </is>
      </c>
      <c r="R90" s="5" t="inlineStr">
        <is>
          <t>Tier 1 (Standard) — available to all frameworks and all customers</t>
        </is>
      </c>
      <c r="S90" s="5" t="inlineStr">
        <is>
          <t>Distinct from Domain 3 Financial Intelligence's CDE-F231/053 (Total Inventory Value/Days Inventory Outstanding), which capture the FINANCIAL VALUE and turnover ratio. This CDE captures the PHYSICAL WORK-IN-PROGRESS LEVEL as an operational bottleneck indicator — distinct from the dollar value Domain 3 tracks.</t>
        </is>
      </c>
    </row>
    <row r="91" ht="15" customHeight="1" s="6">
      <c r="A91" s="5" t="inlineStr">
        <is>
          <t>CDE-O090</t>
        </is>
      </c>
      <c r="B91" s="5" t="inlineStr">
        <is>
          <t>Outsourced/Contract Manufacturing Arrangement Exists</t>
        </is>
      </c>
      <c r="C91" s="5" t="inlineStr">
        <is>
          <t>Boolean</t>
        </is>
      </c>
      <c r="D91" s="5" t="inlineStr">
        <is>
          <t>Recommended</t>
        </is>
      </c>
      <c r="E91" s="5" t="inlineStr">
        <is>
          <t>Optional</t>
        </is>
      </c>
      <c r="F91" s="5" t="inlineStr">
        <is>
          <t>P2</t>
        </is>
      </c>
      <c r="G91" s="5" t="inlineStr">
        <is>
          <t>True/False</t>
        </is>
      </c>
      <c r="H91" s="5" t="inlineStr">
        <is>
          <t>TYPE:BOOLEAN|ALLOWED:TRUE,FALSE</t>
        </is>
      </c>
      <c r="I91" s="5" t="inlineStr">
        <is>
          <t>Effective-dated</t>
        </is>
      </c>
      <c r="J91" s="5" t="inlineStr">
        <is>
          <t>One-to-one</t>
        </is>
      </c>
      <c r="K91" s="5" t="inlineStr">
        <is>
          <t>N/A — not a one-to-many numeric field</t>
        </is>
      </c>
      <c r="L91" s="5" t="inlineStr">
        <is>
          <t>User Validation</t>
        </is>
      </c>
      <c r="M91" s="5" t="inlineStr">
        <is>
          <t>CIL Architecture Team</t>
        </is>
      </c>
      <c r="N91" s="5" t="inlineStr">
        <is>
          <t>2026-06-28</t>
        </is>
      </c>
      <c r="O91" s="5" t="inlineStr">
        <is>
          <t>CorpStage CIL Registry v1.3</t>
        </is>
      </c>
      <c r="P91" s="5" t="inlineStr">
        <is>
          <t>Group only (single enterprise-wide fact, does not repeat per node)</t>
        </is>
      </c>
      <c r="Q91" s="5" t="inlineStr">
        <is>
          <t>Global</t>
        </is>
      </c>
      <c r="R91" s="5" t="inlineStr">
        <is>
          <t>Tier 1 (Standard) — available to all frameworks and all customers</t>
        </is>
      </c>
      <c r="S91" s="5" t="inlineStr">
        <is>
          <t>Owned by D09 Operational Intelligence as an operational performance fact. Financial cost of operational performance owned by D03. D09 owns the operational system-of-record data; D03 owns the financial translation of operational outcomes.</t>
        </is>
      </c>
    </row>
    <row r="92" ht="15" customHeight="1" s="6">
      <c r="A92" s="5" t="inlineStr">
        <is>
          <t>CDE-O091</t>
        </is>
      </c>
      <c r="B92" s="5" t="inlineStr">
        <is>
          <t>Facility Decommissioning or Closure Plan Underway</t>
        </is>
      </c>
      <c r="C92" s="5" t="inlineStr">
        <is>
          <t>Boolean</t>
        </is>
      </c>
      <c r="D92" s="5" t="inlineStr">
        <is>
          <t>Recommended</t>
        </is>
      </c>
      <c r="E92" s="5" t="inlineStr">
        <is>
          <t>Optional</t>
        </is>
      </c>
      <c r="F92" s="5" t="inlineStr">
        <is>
          <t>P2</t>
        </is>
      </c>
      <c r="G92" s="5" t="inlineStr">
        <is>
          <t>True/False/Unknown (tri-state)</t>
        </is>
      </c>
      <c r="H92" s="5" t="inlineStr">
        <is>
          <t>TYPE:BOOLEAN|ALLOWED:TRUE,FALSE,UNKNOWN</t>
        </is>
      </c>
      <c r="I92" s="5" t="inlineStr">
        <is>
          <t>Effective-dated</t>
        </is>
      </c>
      <c r="J92" s="5" t="inlineStr">
        <is>
          <t>One-to-many</t>
        </is>
      </c>
      <c r="K92" s="5" t="inlineStr">
        <is>
          <t>N/A — not a one-to-many numeric field</t>
        </is>
      </c>
      <c r="L92" s="5" t="inlineStr">
        <is>
          <t>User Validation</t>
        </is>
      </c>
      <c r="M92" s="5" t="inlineStr">
        <is>
          <t>CIL Architecture Team</t>
        </is>
      </c>
      <c r="N92" s="5" t="inlineStr">
        <is>
          <t>2026-06-28</t>
        </is>
      </c>
      <c r="O92" s="5" t="inlineStr">
        <is>
          <t>CorpStage CIL Registry v1.3</t>
        </is>
      </c>
      <c r="P92" s="5" t="inlineStr">
        <is>
          <t>Plant, Site, Company, Group (collected at lowest defined node, aggregates upward)</t>
        </is>
      </c>
      <c r="Q92" s="5" t="inlineStr">
        <is>
          <t>Global</t>
        </is>
      </c>
      <c r="R92" s="5" t="inlineStr">
        <is>
          <t>Tier 1 (Standard) — available to all frameworks and all customers</t>
        </is>
      </c>
      <c r="S92" s="5" t="inlineStr">
        <is>
          <t>Owned by D09 Operational Intelligence as an operational performance fact. Financial cost of operational performance owned by D03. D09 owns the operational system-of-record data; D03 owns the financial translation of operational outcomes.</t>
        </is>
      </c>
    </row>
    <row r="93" ht="15" customHeight="1" s="6">
      <c r="A93" s="5" t="inlineStr">
        <is>
          <t>CDE-O092</t>
        </is>
      </c>
      <c r="B93" s="5" t="inlineStr">
        <is>
          <t>Seasonal/Cyclical Production Variation Pattern Documented</t>
        </is>
      </c>
      <c r="C93" s="5" t="inlineStr">
        <is>
          <t>Boolean</t>
        </is>
      </c>
      <c r="D93" s="5" t="inlineStr">
        <is>
          <t>Recommended</t>
        </is>
      </c>
      <c r="E93" s="5" t="inlineStr">
        <is>
          <t>Optional</t>
        </is>
      </c>
      <c r="F93" s="5" t="inlineStr">
        <is>
          <t>P2</t>
        </is>
      </c>
      <c r="G93" s="5" t="inlineStr">
        <is>
          <t>True/False</t>
        </is>
      </c>
      <c r="H93" s="5" t="inlineStr">
        <is>
          <t>TYPE:BOOLEAN|ALLOWED:TRUE,FALSE</t>
        </is>
      </c>
      <c r="I93" s="5" t="inlineStr">
        <is>
          <t>Effective-dated</t>
        </is>
      </c>
      <c r="J93" s="5" t="inlineStr">
        <is>
          <t>One-to-one</t>
        </is>
      </c>
      <c r="K93" s="5" t="inlineStr">
        <is>
          <t>N/A — not a one-to-many numeric field</t>
        </is>
      </c>
      <c r="L93" s="5" t="inlineStr">
        <is>
          <t>User Validation</t>
        </is>
      </c>
      <c r="M93" s="5" t="inlineStr">
        <is>
          <t>CIL Architecture Team</t>
        </is>
      </c>
      <c r="N93" s="5" t="inlineStr">
        <is>
          <t>2026-06-28</t>
        </is>
      </c>
      <c r="O93" s="5" t="inlineStr">
        <is>
          <t>CorpStage CIL Registry v1.3</t>
        </is>
      </c>
      <c r="P93" s="5" t="inlineStr">
        <is>
          <t>Group only (single enterprise-wide fact, does not repeat per node)</t>
        </is>
      </c>
      <c r="Q93" s="5" t="inlineStr">
        <is>
          <t>Global</t>
        </is>
      </c>
      <c r="R93" s="5" t="inlineStr">
        <is>
          <t>Tier 1 (Standard) — available to all frameworks and all customers</t>
        </is>
      </c>
      <c r="S93" s="5" t="inlineStr">
        <is>
          <t>Owned by D09 Operational Intelligence as an operational performance fact. Financial cost of operational performance owned by D03. D09 owns the operational system-of-record data; D03 owns the financial translation of operational outcomes.</t>
        </is>
      </c>
    </row>
    <row r="94" ht="15" customHeight="1" s="6">
      <c r="A94" s="5" t="inlineStr">
        <is>
          <t>CDE-O093</t>
        </is>
      </c>
      <c r="B94" s="5" t="inlineStr">
        <is>
          <t>Critical Equipment Spare Parts Inventory/Availability Tracked</t>
        </is>
      </c>
      <c r="C94" s="5" t="inlineStr">
        <is>
          <t>Boolean</t>
        </is>
      </c>
      <c r="D94" s="5" t="inlineStr">
        <is>
          <t>Recommended</t>
        </is>
      </c>
      <c r="E94" s="5" t="inlineStr">
        <is>
          <t>Optional</t>
        </is>
      </c>
      <c r="F94" s="5" t="inlineStr">
        <is>
          <t>P2</t>
        </is>
      </c>
      <c r="G94" s="5" t="inlineStr">
        <is>
          <t>True/False</t>
        </is>
      </c>
      <c r="H94" s="5" t="inlineStr">
        <is>
          <t>TYPE:BOOLEAN|ALLOWED:TRUE,FALSE</t>
        </is>
      </c>
      <c r="I94" s="5" t="inlineStr">
        <is>
          <t>Effective-dated</t>
        </is>
      </c>
      <c r="J94" s="5" t="inlineStr">
        <is>
          <t>One-to-one</t>
        </is>
      </c>
      <c r="K94" s="5" t="inlineStr">
        <is>
          <t>N/A — not a one-to-many numeric field</t>
        </is>
      </c>
      <c r="L94" s="5" t="inlineStr">
        <is>
          <t>User Validation</t>
        </is>
      </c>
      <c r="M94" s="5" t="inlineStr">
        <is>
          <t>CIL Architecture Team</t>
        </is>
      </c>
      <c r="N94" s="5" t="inlineStr">
        <is>
          <t>2026-06-28</t>
        </is>
      </c>
      <c r="O94" s="5" t="inlineStr">
        <is>
          <t>CorpStage CIL Registry v1.4</t>
        </is>
      </c>
      <c r="P94" s="5" t="inlineStr">
        <is>
          <t>Group only (single enterprise-wide fact, does not repeat per node)</t>
        </is>
      </c>
      <c r="Q94" s="5" t="inlineStr">
        <is>
          <t>Global</t>
        </is>
      </c>
      <c r="R94" s="5" t="inlineStr">
        <is>
          <t>Tier 1 (Standard) — available to all frameworks and all customers</t>
        </is>
      </c>
      <c r="S94" s="5" t="inlineStr">
        <is>
          <t>Owned by D09 Operational Intelligence as an operational performance fact. Financial cost of operational performance owned by D03. D09 owns the operational system-of-record data; D03 owns the financial translation of operational outcomes.</t>
        </is>
      </c>
    </row>
    <row r="95" ht="15" customHeight="1" s="6">
      <c r="A95" s="5" t="inlineStr">
        <is>
          <t>CDE-O094</t>
        </is>
      </c>
      <c r="B95" s="5" t="inlineStr">
        <is>
          <t>Average Production Line Changeover/Setup Time (Minutes)</t>
        </is>
      </c>
      <c r="C95" s="5" t="inlineStr">
        <is>
          <t>Numeric</t>
        </is>
      </c>
      <c r="D95" s="5" t="inlineStr">
        <is>
          <t>Recommended</t>
        </is>
      </c>
      <c r="E95" s="5" t="inlineStr">
        <is>
          <t>Optional</t>
        </is>
      </c>
      <c r="F95" s="5" t="inlineStr">
        <is>
          <t>P2</t>
        </is>
      </c>
      <c r="G95" s="5" t="inlineStr">
        <is>
          <t>&gt;=0, numeric</t>
        </is>
      </c>
      <c r="H95" s="5" t="inlineStr">
        <is>
          <t>TYPE:NUMERIC|MIN:0</t>
        </is>
      </c>
      <c r="I95" s="5" t="inlineStr">
        <is>
          <t>Effective-dated</t>
        </is>
      </c>
      <c r="J95" s="5" t="inlineStr">
        <is>
          <t>One-to-one</t>
        </is>
      </c>
      <c r="K95" s="5" t="inlineStr">
        <is>
          <t>N/A — not a one-to-many numeric field</t>
        </is>
      </c>
      <c r="L95" s="5" t="inlineStr">
        <is>
          <t>User Validation</t>
        </is>
      </c>
      <c r="M95" s="5" t="inlineStr">
        <is>
          <t>CIL Architecture Team</t>
        </is>
      </c>
      <c r="N95" s="5" t="inlineStr">
        <is>
          <t>2026-06-28</t>
        </is>
      </c>
      <c r="O95" s="5" t="inlineStr">
        <is>
          <t>CorpStage CIL Registry v1.4</t>
        </is>
      </c>
      <c r="P95" s="5" t="inlineStr">
        <is>
          <t>Group only (single enterprise-wide fact, does not repeat per node)</t>
        </is>
      </c>
      <c r="Q95" s="5" t="inlineStr">
        <is>
          <t>Global</t>
        </is>
      </c>
      <c r="R95" s="5" t="inlineStr">
        <is>
          <t>Tier 1 (Standard) — available to all frameworks and all customers</t>
        </is>
      </c>
      <c r="S95" s="5" t="inlineStr">
        <is>
          <t>Owned by D09 Operational Intelligence as an operational performance fact. Financial cost of operational performance owned by D03. D09 owns the operational system-of-record data; D03 owns the financial translation of operational outcomes.</t>
        </is>
      </c>
    </row>
    <row r="96" ht="15" customHeight="1" s="6">
      <c r="A96" s="5" t="inlineStr">
        <is>
          <t>CDE-O095</t>
        </is>
      </c>
      <c r="B96" s="5" t="inlineStr">
        <is>
          <t>In-Facility Material Handling/Logistics System Documented</t>
        </is>
      </c>
      <c r="C96" s="5" t="inlineStr">
        <is>
          <t>Boolean</t>
        </is>
      </c>
      <c r="D96" s="5" t="inlineStr">
        <is>
          <t>Recommended</t>
        </is>
      </c>
      <c r="E96" s="5" t="inlineStr">
        <is>
          <t>Optional</t>
        </is>
      </c>
      <c r="F96" s="5" t="inlineStr">
        <is>
          <t>P2</t>
        </is>
      </c>
      <c r="G96" s="5" t="inlineStr">
        <is>
          <t>True/False</t>
        </is>
      </c>
      <c r="H96" s="5" t="inlineStr">
        <is>
          <t>TYPE:BOOLEAN|ALLOWED:TRUE,FALSE</t>
        </is>
      </c>
      <c r="I96" s="5" t="inlineStr">
        <is>
          <t>Effective-dated</t>
        </is>
      </c>
      <c r="J96" s="5" t="inlineStr">
        <is>
          <t>One-to-one</t>
        </is>
      </c>
      <c r="K96" s="5" t="inlineStr">
        <is>
          <t>N/A — not a one-to-many numeric field</t>
        </is>
      </c>
      <c r="L96" s="5" t="inlineStr">
        <is>
          <t>User Validation</t>
        </is>
      </c>
      <c r="M96" s="5" t="inlineStr">
        <is>
          <t>CIL Architecture Team</t>
        </is>
      </c>
      <c r="N96" s="5" t="inlineStr">
        <is>
          <t>2026-06-28</t>
        </is>
      </c>
      <c r="O96" s="5" t="inlineStr">
        <is>
          <t>CorpStage CIL Registry v1.4</t>
        </is>
      </c>
      <c r="P96" s="5" t="inlineStr">
        <is>
          <t>Group only (single enterprise-wide fact, does not repeat per node)</t>
        </is>
      </c>
      <c r="Q96" s="5" t="inlineStr">
        <is>
          <t>Global</t>
        </is>
      </c>
      <c r="R96" s="5" t="inlineStr">
        <is>
          <t>Tier 1 (Standard) — available to all frameworks and all customers</t>
        </is>
      </c>
      <c r="S96" s="5" t="inlineStr">
        <is>
          <t>Owned by D09 Operational Intelligence as an operational performance fact. Financial cost of operational performance owned by D03. D09 owns the operational system-of-record data; D03 owns the financial translation of operational outcomes.</t>
        </is>
      </c>
    </row>
    <row r="97" ht="15" customHeight="1" s="6">
      <c r="A97" s="5" t="inlineStr">
        <is>
          <t>CDE-O096</t>
        </is>
      </c>
      <c r="B97" s="5" t="inlineStr">
        <is>
          <t>Operational Shift Pattern/Staffing Model (Single/Double/24-7)</t>
        </is>
      </c>
      <c r="C97" s="5" t="inlineStr">
        <is>
          <t>Text</t>
        </is>
      </c>
      <c r="D97" s="5" t="inlineStr">
        <is>
          <t>Recommended</t>
        </is>
      </c>
      <c r="E97" s="5" t="inlineStr">
        <is>
          <t>Optional</t>
        </is>
      </c>
      <c r="F97" s="5" t="inlineStr">
        <is>
          <t>P2</t>
        </is>
      </c>
      <c r="G97" s="5" t="inlineStr">
        <is>
          <t>Non-empty text</t>
        </is>
      </c>
      <c r="H97" s="5" t="inlineStr">
        <is>
          <t>TYPE:TEXT</t>
        </is>
      </c>
      <c r="I97" s="5" t="inlineStr">
        <is>
          <t>Effective-dated</t>
        </is>
      </c>
      <c r="J97" s="5" t="inlineStr">
        <is>
          <t>One-to-one</t>
        </is>
      </c>
      <c r="K97" s="5" t="inlineStr">
        <is>
          <t>N/A — not a one-to-many numeric field</t>
        </is>
      </c>
      <c r="L97" s="5" t="inlineStr">
        <is>
          <t>User Validation</t>
        </is>
      </c>
      <c r="M97" s="5" t="inlineStr">
        <is>
          <t>CIL Architecture Team</t>
        </is>
      </c>
      <c r="N97" s="5" t="inlineStr">
        <is>
          <t>2026-06-28</t>
        </is>
      </c>
      <c r="O97" s="5" t="inlineStr">
        <is>
          <t>CorpStage CIL Registry v1.4</t>
        </is>
      </c>
      <c r="P97" s="5" t="inlineStr">
        <is>
          <t>Group only (single enterprise-wide fact, does not repeat per node)</t>
        </is>
      </c>
      <c r="Q97" s="5" t="inlineStr">
        <is>
          <t>Global</t>
        </is>
      </c>
      <c r="R97" s="5" t="inlineStr">
        <is>
          <t>Tier 1 (Standard) — available to all frameworks and all customers</t>
        </is>
      </c>
      <c r="S97" s="5" t="inlineStr">
        <is>
          <t>Owned by D09 Operational Intelligence as an operational performance fact. Financial cost of operational performance owned by D03. D09 owns the operational system-of-record data; D03 owns the financial translation of operational outcomes.</t>
        </is>
      </c>
    </row>
    <row r="98" ht="15" customHeight="1" s="6">
      <c r="A98" s="5" t="inlineStr">
        <is>
          <t>CDE-O097</t>
        </is>
      </c>
      <c r="B98" s="5" t="inlineStr">
        <is>
          <t>Production Line/Equipment Standardization Across Facilities Documented</t>
        </is>
      </c>
      <c r="C98" s="5" t="inlineStr">
        <is>
          <t>Boolean</t>
        </is>
      </c>
      <c r="D98" s="5" t="inlineStr">
        <is>
          <t>Recommended</t>
        </is>
      </c>
      <c r="E98" s="5" t="inlineStr">
        <is>
          <t>Optional</t>
        </is>
      </c>
      <c r="F98" s="5" t="inlineStr">
        <is>
          <t>P2</t>
        </is>
      </c>
      <c r="G98" s="5" t="inlineStr">
        <is>
          <t>True/False</t>
        </is>
      </c>
      <c r="H98" s="5" t="inlineStr">
        <is>
          <t>TYPE:BOOLEAN|ALLOWED:TRUE,FALSE</t>
        </is>
      </c>
      <c r="I98" s="5" t="inlineStr">
        <is>
          <t>Effective-dated</t>
        </is>
      </c>
      <c r="J98" s="5" t="inlineStr">
        <is>
          <t>One-to-one</t>
        </is>
      </c>
      <c r="K98" s="5" t="inlineStr">
        <is>
          <t>N/A — not a one-to-many numeric field</t>
        </is>
      </c>
      <c r="L98" s="5" t="inlineStr">
        <is>
          <t>User Validation</t>
        </is>
      </c>
      <c r="M98" s="5" t="inlineStr">
        <is>
          <t>CIL Architecture Team</t>
        </is>
      </c>
      <c r="N98" s="5" t="inlineStr">
        <is>
          <t>2026-06-28</t>
        </is>
      </c>
      <c r="O98" s="5" t="inlineStr">
        <is>
          <t>CorpStage CIL Registry v1.5</t>
        </is>
      </c>
      <c r="P98" s="5" t="inlineStr">
        <is>
          <t>Group only (single enterprise-wide fact, does not repeat per node)</t>
        </is>
      </c>
      <c r="Q98" s="5" t="inlineStr">
        <is>
          <t>Global</t>
        </is>
      </c>
      <c r="R98" s="5" t="inlineStr">
        <is>
          <t>Tier 1 (Standard) — available to all frameworks and all customers</t>
        </is>
      </c>
      <c r="S98" s="5" t="inlineStr">
        <is>
          <t>Owned by D09 Operational Intelligence as an operational performance fact. Financial cost of operational performance owned by D03. D09 owns the operational system-of-record data; D03 owns the financial translation of operational outcomes.</t>
        </is>
      </c>
    </row>
    <row r="99" ht="15" customHeight="1" s="6">
      <c r="A99" s="5" t="inlineStr">
        <is>
          <t>CDE-O098</t>
        </is>
      </c>
      <c r="B99" s="5" t="inlineStr">
        <is>
          <t>Mean Time Between Failures (MTBF) for Critical Equipment</t>
        </is>
      </c>
      <c r="C99" s="5" t="inlineStr">
        <is>
          <t>Numeric</t>
        </is>
      </c>
      <c r="D99" s="5" t="inlineStr">
        <is>
          <t>Recommended</t>
        </is>
      </c>
      <c r="E99" s="5" t="inlineStr">
        <is>
          <t>Optional</t>
        </is>
      </c>
      <c r="F99" s="5" t="inlineStr">
        <is>
          <t>P2</t>
        </is>
      </c>
      <c r="G99" s="5" t="inlineStr">
        <is>
          <t>&gt;=0, numeric</t>
        </is>
      </c>
      <c r="H99" s="5" t="inlineStr">
        <is>
          <t>TYPE:NUMERIC|MIN:0</t>
        </is>
      </c>
      <c r="I99" s="5" t="inlineStr">
        <is>
          <t>Effective-dated</t>
        </is>
      </c>
      <c r="J99" s="5" t="inlineStr">
        <is>
          <t>One-to-one</t>
        </is>
      </c>
      <c r="K99" s="5" t="inlineStr">
        <is>
          <t>N/A — not a one-to-many numeric field</t>
        </is>
      </c>
      <c r="L99" s="5" t="inlineStr">
        <is>
          <t>User Validation</t>
        </is>
      </c>
      <c r="M99" s="5" t="inlineStr">
        <is>
          <t>CIL Architecture Team</t>
        </is>
      </c>
      <c r="N99" s="5" t="inlineStr">
        <is>
          <t>2026-06-28</t>
        </is>
      </c>
      <c r="O99" s="5" t="inlineStr">
        <is>
          <t>CorpStage CIL Registry v1.5</t>
        </is>
      </c>
      <c r="P99" s="5" t="inlineStr">
        <is>
          <t>Group only (single enterprise-wide fact, does not repeat per node)</t>
        </is>
      </c>
      <c r="Q99" s="5" t="inlineStr">
        <is>
          <t>Global</t>
        </is>
      </c>
      <c r="R99" s="5" t="inlineStr">
        <is>
          <t>Tier 1 (Standard) — available to all frameworks and all customers</t>
        </is>
      </c>
      <c r="S99" s="5" t="inlineStr">
        <is>
          <t>Owned by D09 Operational Intelligence as an operational performance fact. Financial cost of operational performance owned by D03. D09 owns the operational system-of-record data; D03 owns the financial translation of operational outcomes.</t>
        </is>
      </c>
    </row>
    <row r="100" ht="15" customHeight="1" s="6">
      <c r="A100" s="5" t="inlineStr">
        <is>
          <t>CDE-O099</t>
        </is>
      </c>
      <c r="B100" s="5" t="inlineStr">
        <is>
          <t>Mean Time to Repair (MTTR) for Critical Equipment</t>
        </is>
      </c>
      <c r="C100" s="5" t="inlineStr">
        <is>
          <t>Numeric</t>
        </is>
      </c>
      <c r="D100" s="5" t="inlineStr">
        <is>
          <t>Recommended</t>
        </is>
      </c>
      <c r="E100" s="5" t="inlineStr">
        <is>
          <t>Optional</t>
        </is>
      </c>
      <c r="F100" s="5" t="inlineStr">
        <is>
          <t>P2</t>
        </is>
      </c>
      <c r="G100" s="5" t="inlineStr">
        <is>
          <t>&gt;=0, numeric</t>
        </is>
      </c>
      <c r="H100" s="5" t="inlineStr">
        <is>
          <t>TYPE:NUMERIC|MIN:0</t>
        </is>
      </c>
      <c r="I100" s="5" t="inlineStr">
        <is>
          <t>Effective-dated</t>
        </is>
      </c>
      <c r="J100" s="5" t="inlineStr">
        <is>
          <t>One-to-one</t>
        </is>
      </c>
      <c r="K100" s="5" t="inlineStr">
        <is>
          <t>N/A — not a one-to-many numeric field</t>
        </is>
      </c>
      <c r="L100" s="5" t="inlineStr">
        <is>
          <t>User Validation</t>
        </is>
      </c>
      <c r="M100" s="5" t="inlineStr">
        <is>
          <t>CIL Architecture Team</t>
        </is>
      </c>
      <c r="N100" s="5" t="inlineStr">
        <is>
          <t>2026-06-28</t>
        </is>
      </c>
      <c r="O100" s="5" t="inlineStr">
        <is>
          <t>CorpStage CIL Registry v1.5</t>
        </is>
      </c>
      <c r="P100" s="5" t="inlineStr">
        <is>
          <t>Group only (single enterprise-wide fact, does not repeat per node)</t>
        </is>
      </c>
      <c r="Q100" s="5" t="inlineStr">
        <is>
          <t>Global</t>
        </is>
      </c>
      <c r="R100" s="5" t="inlineStr">
        <is>
          <t>Tier 1 (Standard) — available to all frameworks and all customers</t>
        </is>
      </c>
      <c r="S100" s="5" t="inlineStr">
        <is>
          <t>Owned by D09 Operational Intelligence as an operational performance fact. Financial cost of operational performance owned by D03. D09 owns the operational system-of-record data; D03 owns the financial translation of operational outcomes.</t>
        </is>
      </c>
    </row>
    <row r="101" ht="15" customHeight="1" s="6">
      <c r="A101" s="5" t="inlineStr">
        <is>
          <t>CDE-O100</t>
        </is>
      </c>
      <c r="B101" s="5" t="inlineStr">
        <is>
          <t>Customer-Dedicated/Reserved Production Capacity Exists</t>
        </is>
      </c>
      <c r="C101" s="5" t="inlineStr">
        <is>
          <t>Boolean</t>
        </is>
      </c>
      <c r="D101" s="5" t="inlineStr">
        <is>
          <t>Recommended</t>
        </is>
      </c>
      <c r="E101" s="5" t="inlineStr">
        <is>
          <t>Optional</t>
        </is>
      </c>
      <c r="F101" s="5" t="inlineStr">
        <is>
          <t>P2</t>
        </is>
      </c>
      <c r="G101" s="5" t="inlineStr">
        <is>
          <t>True/False/Unknown (tri-state)</t>
        </is>
      </c>
      <c r="H101" s="5" t="inlineStr">
        <is>
          <t>TYPE:BOOLEAN|ALLOWED:TRUE,FALSE,UNKNOWN</t>
        </is>
      </c>
      <c r="I101" s="5" t="inlineStr">
        <is>
          <t>Effective-dated</t>
        </is>
      </c>
      <c r="J101" s="5" t="inlineStr">
        <is>
          <t>One-to-one</t>
        </is>
      </c>
      <c r="K101" s="5" t="inlineStr">
        <is>
          <t>N/A — not a one-to-many numeric field</t>
        </is>
      </c>
      <c r="L101" s="5" t="inlineStr">
        <is>
          <t>User Validation</t>
        </is>
      </c>
      <c r="M101" s="5" t="inlineStr">
        <is>
          <t>CIL Architecture Team</t>
        </is>
      </c>
      <c r="N101" s="5" t="inlineStr">
        <is>
          <t>2026-06-28</t>
        </is>
      </c>
      <c r="O101" s="5" t="inlineStr">
        <is>
          <t>CorpStage CIL Registry v1.5</t>
        </is>
      </c>
      <c r="P101" s="5" t="inlineStr">
        <is>
          <t>Group only (single enterprise-wide fact, does not repeat per node)</t>
        </is>
      </c>
      <c r="Q101" s="5" t="inlineStr">
        <is>
          <t>Global</t>
        </is>
      </c>
      <c r="R101" s="5" t="inlineStr">
        <is>
          <t>Tier 1 (Standard) — available to all frameworks and all customers</t>
        </is>
      </c>
      <c r="S101" s="5" t="inlineStr">
        <is>
          <t>Owned by D09 Operational Intelligence as an operational performance fact. Financial cost of operational performance owned by D03. D09 owns the operational system-of-record data; D03 owns the financial translation of operational outcomes.</t>
        </is>
      </c>
    </row>
    <row r="102" ht="15" customHeight="1" s="6">
      <c r="A102" s="5" t="inlineStr">
        <is>
          <t>CDE-O101</t>
        </is>
      </c>
      <c r="B102" s="5" t="inlineStr">
        <is>
          <t>Inter-Facility Operational Benchmarking Process Documented</t>
        </is>
      </c>
      <c r="C102" s="5" t="inlineStr">
        <is>
          <t>Boolean</t>
        </is>
      </c>
      <c r="D102" s="5" t="inlineStr">
        <is>
          <t>Recommended</t>
        </is>
      </c>
      <c r="E102" s="5" t="inlineStr">
        <is>
          <t>Optional</t>
        </is>
      </c>
      <c r="F102" s="5" t="inlineStr">
        <is>
          <t>P2</t>
        </is>
      </c>
      <c r="G102" s="5" t="inlineStr">
        <is>
          <t>True/False</t>
        </is>
      </c>
      <c r="H102" s="5" t="inlineStr">
        <is>
          <t>TYPE:BOOLEAN|ALLOWED:TRUE,FALSE</t>
        </is>
      </c>
      <c r="I102" s="5" t="inlineStr">
        <is>
          <t>Effective-dated</t>
        </is>
      </c>
      <c r="J102" s="5" t="inlineStr">
        <is>
          <t>One-to-one</t>
        </is>
      </c>
      <c r="K102" s="5" t="inlineStr">
        <is>
          <t>N/A — not a one-to-many numeric field</t>
        </is>
      </c>
      <c r="L102" s="5" t="inlineStr">
        <is>
          <t>User Validation</t>
        </is>
      </c>
      <c r="M102" s="5" t="inlineStr">
        <is>
          <t>CIL Architecture Team</t>
        </is>
      </c>
      <c r="N102" s="5" t="inlineStr">
        <is>
          <t>2026-06-28</t>
        </is>
      </c>
      <c r="O102" s="5" t="inlineStr">
        <is>
          <t>CorpStage CIL Registry v1.5</t>
        </is>
      </c>
      <c r="P102" s="5" t="inlineStr">
        <is>
          <t>Group only (single enterprise-wide fact, does not repeat per node)</t>
        </is>
      </c>
      <c r="Q102" s="5" t="inlineStr">
        <is>
          <t>Global</t>
        </is>
      </c>
      <c r="R102" s="5" t="inlineStr">
        <is>
          <t>Tier 1 (Standard) — available to all frameworks and all customers</t>
        </is>
      </c>
      <c r="S102" s="5" t="inlineStr">
        <is>
          <t>Owned by D09 Operational Intelligence as an operational performance fact. Financial cost of operational performance owned by D03. D09 owns the operational system-of-record data; D03 owns the financial translation of operational outcomes.</t>
        </is>
      </c>
    </row>
    <row r="103" ht="15" customHeight="1" s="6">
      <c r="A103" s="5" t="inlineStr">
        <is>
          <t>CDE-O102</t>
        </is>
      </c>
      <c r="B103" s="5" t="inlineStr">
        <is>
          <t>Production Yield Rate % (Good Output / Total Input, Distinct from Defect Rate)</t>
        </is>
      </c>
      <c r="C103" s="5" t="inlineStr">
        <is>
          <t>Numeric</t>
        </is>
      </c>
      <c r="D103" s="5" t="inlineStr">
        <is>
          <t>Required</t>
        </is>
      </c>
      <c r="E103" s="5" t="inlineStr">
        <is>
          <t>Multi</t>
        </is>
      </c>
      <c r="F103" s="5" t="inlineStr">
        <is>
          <t>P1</t>
        </is>
      </c>
      <c r="G103" s="5" t="inlineStr">
        <is>
          <t>0-100, numeric</t>
        </is>
      </c>
      <c r="H103" s="5" t="inlineStr">
        <is>
          <t>TYPE:NUMERIC|MIN:0|MAX:100</t>
        </is>
      </c>
      <c r="I103" s="5" t="inlineStr">
        <is>
          <t>Effective-dated</t>
        </is>
      </c>
      <c r="J103" s="5" t="inlineStr">
        <is>
          <t>One-to-one</t>
        </is>
      </c>
      <c r="K103" s="5" t="inlineStr">
        <is>
          <t>N/A — not a one-to-many numeric field</t>
        </is>
      </c>
      <c r="L103" s="5" t="inlineStr">
        <is>
          <t>User Validation</t>
        </is>
      </c>
      <c r="M103" s="5" t="inlineStr">
        <is>
          <t>CIL Architecture Team</t>
        </is>
      </c>
      <c r="N103" s="5" t="inlineStr">
        <is>
          <t>2026-06-28</t>
        </is>
      </c>
      <c r="O103" s="5" t="inlineStr">
        <is>
          <t>CorpStage CIL Registry v1.5</t>
        </is>
      </c>
      <c r="P103" s="5" t="inlineStr">
        <is>
          <t>Group only (single enterprise-wide fact, does not repeat per node)</t>
        </is>
      </c>
      <c r="Q103" s="5" t="inlineStr">
        <is>
          <t>Global</t>
        </is>
      </c>
      <c r="R103" s="5" t="inlineStr">
        <is>
          <t>Tier 1 (Standard) — available to all frameworks and all customers</t>
        </is>
      </c>
      <c r="S103" s="5" t="inlineStr">
        <is>
          <t>Owned by D09 Operational Intelligence as an operational performance fact. Financial cost of operational performance owned by D03. D09 owns the operational system-of-record data; D03 owns the financial translation of operational outcomes.</t>
        </is>
      </c>
    </row>
    <row r="104" ht="15" customHeight="1" s="6">
      <c r="A104" s="5" t="inlineStr">
        <is>
          <t>CDE-O103</t>
        </is>
      </c>
      <c r="B104" s="5" t="inlineStr">
        <is>
          <t>Predictive Maintenance (Sensor-Based/AI-Driven) Deployed</t>
        </is>
      </c>
      <c r="C104" s="5" t="inlineStr">
        <is>
          <t>Boolean</t>
        </is>
      </c>
      <c r="D104" s="5" t="inlineStr">
        <is>
          <t>Recommended</t>
        </is>
      </c>
      <c r="E104" s="5" t="inlineStr">
        <is>
          <t>Optional</t>
        </is>
      </c>
      <c r="F104" s="5" t="inlineStr">
        <is>
          <t>P2</t>
        </is>
      </c>
      <c r="G104" s="5" t="inlineStr">
        <is>
          <t>True/False</t>
        </is>
      </c>
      <c r="H104" s="5" t="inlineStr">
        <is>
          <t>TYPE:BOOLEAN|ALLOWED:TRUE,FALSE</t>
        </is>
      </c>
      <c r="I104" s="5" t="inlineStr">
        <is>
          <t>Effective-dated</t>
        </is>
      </c>
      <c r="J104" s="5" t="inlineStr">
        <is>
          <t>One-to-one</t>
        </is>
      </c>
      <c r="K104" s="5" t="inlineStr">
        <is>
          <t>N/A — not a one-to-many numeric field</t>
        </is>
      </c>
      <c r="L104" s="5" t="inlineStr">
        <is>
          <t>User Validation</t>
        </is>
      </c>
      <c r="M104" s="5" t="inlineStr">
        <is>
          <t>CIL Architecture Team</t>
        </is>
      </c>
      <c r="N104" s="5" t="inlineStr">
        <is>
          <t>2026-06-28</t>
        </is>
      </c>
      <c r="O104" s="5" t="inlineStr">
        <is>
          <t>CorpStage CIL Registry v1.6</t>
        </is>
      </c>
      <c r="P104" s="5" t="inlineStr">
        <is>
          <t>Group only (single enterprise-wide fact, does not repeat per node)</t>
        </is>
      </c>
      <c r="Q104" s="5" t="inlineStr">
        <is>
          <t>Global</t>
        </is>
      </c>
      <c r="R104" s="5" t="inlineStr">
        <is>
          <t>Tier 1 (Standard) — available to all frameworks and all customers</t>
        </is>
      </c>
      <c r="S104" s="5" t="inlineStr">
        <is>
          <t>Owned by D09 Operational Intelligence as an operational performance fact. Financial cost of operational performance owned by D03. D09 owns the operational system-of-record data; D03 owns the financial translation of operational outcomes.</t>
        </is>
      </c>
    </row>
    <row r="105" ht="15" customHeight="1" s="6">
      <c r="A105" s="5" t="inlineStr">
        <is>
          <t>CDE-O104</t>
        </is>
      </c>
      <c r="B105" s="5" t="inlineStr">
        <is>
          <t>Lockout-Tagout (LOTO) / Permit-to-Work Process Documented for High-Risk Maintenance</t>
        </is>
      </c>
      <c r="C105" s="5" t="inlineStr">
        <is>
          <t>Boolean</t>
        </is>
      </c>
      <c r="D105" s="5" t="inlineStr">
        <is>
          <t>Required</t>
        </is>
      </c>
      <c r="E105" s="5" t="inlineStr">
        <is>
          <t>Optional</t>
        </is>
      </c>
      <c r="F105" s="5" t="inlineStr">
        <is>
          <t>P1</t>
        </is>
      </c>
      <c r="G105" s="5" t="inlineStr">
        <is>
          <t>True/False</t>
        </is>
      </c>
      <c r="H105" s="5" t="inlineStr">
        <is>
          <t>TYPE:BOOLEAN|ALLOWED:TRUE,FALSE</t>
        </is>
      </c>
      <c r="I105" s="5" t="inlineStr">
        <is>
          <t>Effective-dated</t>
        </is>
      </c>
      <c r="J105" s="5" t="inlineStr">
        <is>
          <t>One-to-one</t>
        </is>
      </c>
      <c r="K105" s="5" t="inlineStr">
        <is>
          <t>N/A — not a one-to-many numeric field</t>
        </is>
      </c>
      <c r="L105" s="5" t="inlineStr">
        <is>
          <t>User Validation</t>
        </is>
      </c>
      <c r="M105" s="5" t="inlineStr">
        <is>
          <t>CIL Architecture Team</t>
        </is>
      </c>
      <c r="N105" s="5" t="inlineStr">
        <is>
          <t>2026-06-28</t>
        </is>
      </c>
      <c r="O105" s="5" t="inlineStr">
        <is>
          <t>CorpStage CIL Registry v1.6</t>
        </is>
      </c>
      <c r="P105" s="5" t="inlineStr">
        <is>
          <t>Group only (single enterprise-wide fact, does not repeat per node)</t>
        </is>
      </c>
      <c r="Q105" s="5" t="inlineStr">
        <is>
          <t>Global</t>
        </is>
      </c>
      <c r="R105" s="5" t="inlineStr">
        <is>
          <t>Tier 1 (Standard) — available to all frameworks and all customers</t>
        </is>
      </c>
      <c r="S105" s="5" t="inlineStr">
        <is>
          <t>Owned by D09 Operational Intelligence as an operational performance fact. Financial cost of operational performance owned by D03. D09 owns the operational system-of-record data; D03 owns the financial translation of operational outcomes.</t>
        </is>
      </c>
    </row>
    <row r="106" ht="15" customHeight="1" s="6">
      <c r="A106" s="5" t="inlineStr">
        <is>
          <t>CDE-O105</t>
        </is>
      </c>
      <c r="B106" s="5" t="inlineStr">
        <is>
          <t>Property/Business Interruption Insurance Coverage Exists</t>
        </is>
      </c>
      <c r="C106" s="5" t="inlineStr">
        <is>
          <t>Boolean</t>
        </is>
      </c>
      <c r="D106" s="5" t="inlineStr">
        <is>
          <t>Recommended</t>
        </is>
      </c>
      <c r="E106" s="5" t="inlineStr">
        <is>
          <t>Optional</t>
        </is>
      </c>
      <c r="F106" s="5" t="inlineStr">
        <is>
          <t>P2</t>
        </is>
      </c>
      <c r="G106" s="5" t="inlineStr">
        <is>
          <t>True/False</t>
        </is>
      </c>
      <c r="H106" s="5" t="inlineStr">
        <is>
          <t>TYPE:BOOLEAN|ALLOWED:TRUE,FALSE</t>
        </is>
      </c>
      <c r="I106" s="5" t="inlineStr">
        <is>
          <t>Effective-dated</t>
        </is>
      </c>
      <c r="J106" s="5" t="inlineStr">
        <is>
          <t>One-to-one</t>
        </is>
      </c>
      <c r="K106" s="5" t="inlineStr">
        <is>
          <t>N/A — not a one-to-many numeric field</t>
        </is>
      </c>
      <c r="L106" s="5" t="inlineStr">
        <is>
          <t>Annual Report / 10-K Filing (SEC EDGAR, Company IR Site)</t>
        </is>
      </c>
      <c r="M106" s="5" t="inlineStr">
        <is>
          <t>CIL Architecture Team</t>
        </is>
      </c>
      <c r="N106" s="5" t="inlineStr">
        <is>
          <t>2026-06-28</t>
        </is>
      </c>
      <c r="O106" s="5" t="inlineStr">
        <is>
          <t>CorpStage CIL Registry v1.6</t>
        </is>
      </c>
      <c r="P106" s="5" t="inlineStr">
        <is>
          <t>Group only (single enterprise-wide fact, does not repeat per node)</t>
        </is>
      </c>
      <c r="Q106" s="5" t="inlineStr">
        <is>
          <t>Global</t>
        </is>
      </c>
      <c r="R106" s="5" t="inlineStr">
        <is>
          <t>Tier 1 (Standard) — available to all frameworks and all customers</t>
        </is>
      </c>
      <c r="S106" s="5" t="inlineStr">
        <is>
          <t>Distinct from Domain 8 Legal Intelligence's CDE-L115 (Litigation Defense/General Liability Insurance Coverage Exists), which covers general liability. This CDE captures PROPERTY/BUSINESS-INTERRUPTION coverage specifically, a distinct insurance line protecting operational continuity.</t>
        </is>
      </c>
    </row>
    <row r="107" ht="15" customHeight="1" s="6">
      <c r="A107" s="5" t="inlineStr">
        <is>
          <t>CDE-O106</t>
        </is>
      </c>
      <c r="B107" s="5" t="inlineStr">
        <is>
          <t>Production Capacity Reserved for New Product Introduction (NPI) Ramp-Up</t>
        </is>
      </c>
      <c r="C107" s="5" t="inlineStr">
        <is>
          <t>Boolean</t>
        </is>
      </c>
      <c r="D107" s="5" t="inlineStr">
        <is>
          <t>Recommended</t>
        </is>
      </c>
      <c r="E107" s="5" t="inlineStr">
        <is>
          <t>Optional</t>
        </is>
      </c>
      <c r="F107" s="5" t="inlineStr">
        <is>
          <t>P2</t>
        </is>
      </c>
      <c r="G107" s="5" t="inlineStr">
        <is>
          <t>True/False/Unknown (tri-state)</t>
        </is>
      </c>
      <c r="H107" s="5" t="inlineStr">
        <is>
          <t>TYPE:BOOLEAN|ALLOWED:TRUE,FALSE,UNKNOWN</t>
        </is>
      </c>
      <c r="I107" s="5" t="inlineStr">
        <is>
          <t>Effective-dated</t>
        </is>
      </c>
      <c r="J107" s="5" t="inlineStr">
        <is>
          <t>One-to-one</t>
        </is>
      </c>
      <c r="K107" s="5" t="inlineStr">
        <is>
          <t>N/A — not a one-to-many numeric field</t>
        </is>
      </c>
      <c r="L107" s="5" t="inlineStr">
        <is>
          <t>User Validation</t>
        </is>
      </c>
      <c r="M107" s="5" t="inlineStr">
        <is>
          <t>CIL Architecture Team</t>
        </is>
      </c>
      <c r="N107" s="5" t="inlineStr">
        <is>
          <t>2026-06-28</t>
        </is>
      </c>
      <c r="O107" s="5" t="inlineStr">
        <is>
          <t>CorpStage CIL Registry v1.6</t>
        </is>
      </c>
      <c r="P107" s="5" t="inlineStr">
        <is>
          <t>Group only (single enterprise-wide fact, does not repeat per node)</t>
        </is>
      </c>
      <c r="Q107" s="5" t="inlineStr">
        <is>
          <t>Global</t>
        </is>
      </c>
      <c r="R107" s="5" t="inlineStr">
        <is>
          <t>Tier 1 (Standard) — available to all frameworks and all customers</t>
        </is>
      </c>
      <c r="S107" s="5" t="inlineStr">
        <is>
          <t>Owned by D09 Operational Intelligence as an operational performance fact. Financial cost of operational performance owned by D03. D09 owns the operational system-of-record data; D03 owns the financial translation of operational outcomes.</t>
        </is>
      </c>
    </row>
    <row r="108" ht="15" customHeight="1" s="6">
      <c r="A108" s="5" t="inlineStr">
        <is>
          <t>CDE-O107</t>
        </is>
      </c>
      <c r="B108" s="5" t="inlineStr">
        <is>
          <t>Operational Carbon Intensity per Unit of Physical Production</t>
        </is>
      </c>
      <c r="C108" s="5" t="inlineStr">
        <is>
          <t>Numeric</t>
        </is>
      </c>
      <c r="D108" s="5" t="inlineStr">
        <is>
          <t>Recommended</t>
        </is>
      </c>
      <c r="E108" s="5" t="inlineStr">
        <is>
          <t>Optional</t>
        </is>
      </c>
      <c r="F108" s="5" t="inlineStr">
        <is>
          <t>P2</t>
        </is>
      </c>
      <c r="G108" s="5" t="inlineStr">
        <is>
          <t>&gt;=0, numeric</t>
        </is>
      </c>
      <c r="H108" s="5" t="inlineStr">
        <is>
          <t>TYPE:NUMERIC|MIN:0</t>
        </is>
      </c>
      <c r="I108" s="5" t="inlineStr">
        <is>
          <t>Effective-dated</t>
        </is>
      </c>
      <c r="J108" s="5" t="inlineStr">
        <is>
          <t>One-to-one</t>
        </is>
      </c>
      <c r="K108" s="5" t="inlineStr">
        <is>
          <t>N/A — not a one-to-many numeric field</t>
        </is>
      </c>
      <c r="L108" s="5" t="inlineStr">
        <is>
          <t>User Validation</t>
        </is>
      </c>
      <c r="M108" s="5" t="inlineStr">
        <is>
          <t>CIL Architecture Team</t>
        </is>
      </c>
      <c r="N108" s="5" t="inlineStr">
        <is>
          <t>2026-06-28</t>
        </is>
      </c>
      <c r="O108" s="5" t="inlineStr">
        <is>
          <t>CorpStage CIL Registry v1.6</t>
        </is>
      </c>
      <c r="P108" s="5" t="inlineStr">
        <is>
          <t>Group only (single enterprise-wide fact, does not repeat per node)</t>
        </is>
      </c>
      <c r="Q108" s="5" t="inlineStr">
        <is>
          <t>Global</t>
        </is>
      </c>
      <c r="R108" s="5" t="inlineStr">
        <is>
          <t>Tier 1 (Standard) — available to all frameworks and all customers</t>
        </is>
      </c>
      <c r="S108" s="5" t="inlineStr">
        <is>
          <t>Distinct from Domain 7 ESG &amp; Sustainability Intelligence's CDE-E162 (Emissions Intensity per Unit of REVENUE, a financial-normalization metric for disclosure). This CDE captures emissions per unit of PHYSICAL PRODUCTION — an operational-efficiency metric answering a different question (how much we emit to make one unit, not how much relative to what we earn).</t>
        </is>
      </c>
    </row>
    <row r="109" ht="15" customHeight="1" s="6">
      <c r="A109" s="5" t="inlineStr">
        <is>
          <t>CDE-O108</t>
        </is>
      </c>
      <c r="B109" s="5" t="inlineStr">
        <is>
          <t>Production Line Cross-Training/Operator Flexibility Program Documented</t>
        </is>
      </c>
      <c r="C109" s="5" t="inlineStr">
        <is>
          <t>Boolean</t>
        </is>
      </c>
      <c r="D109" s="5" t="inlineStr">
        <is>
          <t>Recommended</t>
        </is>
      </c>
      <c r="E109" s="5" t="inlineStr">
        <is>
          <t>Optional</t>
        </is>
      </c>
      <c r="F109" s="5" t="inlineStr">
        <is>
          <t>P2</t>
        </is>
      </c>
      <c r="G109" s="5" t="inlineStr">
        <is>
          <t>True/False</t>
        </is>
      </c>
      <c r="H109" s="5" t="inlineStr">
        <is>
          <t>TYPE:BOOLEAN|ALLOWED:TRUE,FALSE</t>
        </is>
      </c>
      <c r="I109" s="5" t="inlineStr">
        <is>
          <t>Effective-dated</t>
        </is>
      </c>
      <c r="J109" s="5" t="inlineStr">
        <is>
          <t>One-to-one</t>
        </is>
      </c>
      <c r="K109" s="5" t="inlineStr">
        <is>
          <t>N/A — not a one-to-many numeric field</t>
        </is>
      </c>
      <c r="L109" s="5" t="inlineStr">
        <is>
          <t>User Validation</t>
        </is>
      </c>
      <c r="M109" s="5" t="inlineStr">
        <is>
          <t>CIL Architecture Team</t>
        </is>
      </c>
      <c r="N109" s="5" t="inlineStr">
        <is>
          <t>2026-06-28</t>
        </is>
      </c>
      <c r="O109" s="5" t="inlineStr">
        <is>
          <t>CorpStage CIL Registry v1.7</t>
        </is>
      </c>
      <c r="P109" s="5" t="inlineStr">
        <is>
          <t>Group only (single enterprise-wide fact, does not repeat per node)</t>
        </is>
      </c>
      <c r="Q109" s="5" t="inlineStr">
        <is>
          <t>Global</t>
        </is>
      </c>
      <c r="R109" s="5" t="inlineStr">
        <is>
          <t>Tier 1 (Standard) — available to all frameworks and all customers</t>
        </is>
      </c>
      <c r="S109" s="5" t="inlineStr">
        <is>
          <t>Owned by D09 Operational Intelligence as an operational performance fact. Financial cost of operational performance owned by D03. D09 owns the operational system-of-record data; D03 owns the financial translation of operational outcomes.</t>
        </is>
      </c>
    </row>
    <row r="110" ht="15" customHeight="1" s="6">
      <c r="A110" s="5" t="inlineStr">
        <is>
          <t>CDE-O109</t>
        </is>
      </c>
      <c r="B110" s="5" t="inlineStr">
        <is>
          <t>Facility Utility Infrastructure Resilience (Backup Power/Water) Documented</t>
        </is>
      </c>
      <c r="C110" s="5" t="inlineStr">
        <is>
          <t>Boolean</t>
        </is>
      </c>
      <c r="D110" s="5" t="inlineStr">
        <is>
          <t>Recommended</t>
        </is>
      </c>
      <c r="E110" s="5" t="inlineStr">
        <is>
          <t>Optional</t>
        </is>
      </c>
      <c r="F110" s="5" t="inlineStr">
        <is>
          <t>P2</t>
        </is>
      </c>
      <c r="G110" s="5" t="inlineStr">
        <is>
          <t>True/False</t>
        </is>
      </c>
      <c r="H110" s="5" t="inlineStr">
        <is>
          <t>TYPE:BOOLEAN|ALLOWED:TRUE,FALSE</t>
        </is>
      </c>
      <c r="I110" s="5" t="inlineStr">
        <is>
          <t>Effective-dated</t>
        </is>
      </c>
      <c r="J110" s="5" t="inlineStr">
        <is>
          <t>One-to-one</t>
        </is>
      </c>
      <c r="K110" s="5" t="inlineStr">
        <is>
          <t>N/A — not a one-to-many numeric field</t>
        </is>
      </c>
      <c r="L110" s="5" t="inlineStr">
        <is>
          <t>User Validation</t>
        </is>
      </c>
      <c r="M110" s="5" t="inlineStr">
        <is>
          <t>CIL Architecture Team</t>
        </is>
      </c>
      <c r="N110" s="5" t="inlineStr">
        <is>
          <t>2026-06-28</t>
        </is>
      </c>
      <c r="O110" s="5" t="inlineStr">
        <is>
          <t>CorpStage CIL Registry v1.7</t>
        </is>
      </c>
      <c r="P110" s="5" t="inlineStr">
        <is>
          <t>Group only (single enterprise-wide fact, does not repeat per node)</t>
        </is>
      </c>
      <c r="Q110" s="5" t="inlineStr">
        <is>
          <t>Global</t>
        </is>
      </c>
      <c r="R110" s="5" t="inlineStr">
        <is>
          <t>Tier 1 (Standard) — available to all frameworks and all customers</t>
        </is>
      </c>
      <c r="S110" s="5" t="inlineStr">
        <is>
          <t>Owned by D09 Operational Intelligence as an operational performance fact. Financial cost of operational performance owned by D03. D09 owns the operational system-of-record data; D03 owns the financial translation of operational outcomes.</t>
        </is>
      </c>
    </row>
    <row r="111" ht="15" customHeight="1" s="6">
      <c r="A111" s="5" t="inlineStr">
        <is>
          <t>CDE-O110</t>
        </is>
      </c>
      <c r="B111" s="5" t="inlineStr">
        <is>
          <t>Vendor/OEM Equipment Service Contract Coverage Documented</t>
        </is>
      </c>
      <c r="C111" s="5" t="inlineStr">
        <is>
          <t>Boolean</t>
        </is>
      </c>
      <c r="D111" s="5" t="inlineStr">
        <is>
          <t>Recommended</t>
        </is>
      </c>
      <c r="E111" s="5" t="inlineStr">
        <is>
          <t>Optional</t>
        </is>
      </c>
      <c r="F111" s="5" t="inlineStr">
        <is>
          <t>P2</t>
        </is>
      </c>
      <c r="G111" s="5" t="inlineStr">
        <is>
          <t>True/False</t>
        </is>
      </c>
      <c r="H111" s="5" t="inlineStr">
        <is>
          <t>TYPE:BOOLEAN|ALLOWED:TRUE,FALSE</t>
        </is>
      </c>
      <c r="I111" s="5" t="inlineStr">
        <is>
          <t>Effective-dated</t>
        </is>
      </c>
      <c r="J111" s="5" t="inlineStr">
        <is>
          <t>One-to-one</t>
        </is>
      </c>
      <c r="K111" s="5" t="inlineStr">
        <is>
          <t>N/A — not a one-to-many numeric field</t>
        </is>
      </c>
      <c r="L111" s="5" t="inlineStr">
        <is>
          <t>User Validation</t>
        </is>
      </c>
      <c r="M111" s="5" t="inlineStr">
        <is>
          <t>CIL Architecture Team</t>
        </is>
      </c>
      <c r="N111" s="5" t="inlineStr">
        <is>
          <t>2026-06-28</t>
        </is>
      </c>
      <c r="O111" s="5" t="inlineStr">
        <is>
          <t>CorpStage CIL Registry v1.7</t>
        </is>
      </c>
      <c r="P111" s="5" t="inlineStr">
        <is>
          <t>Group only (single enterprise-wide fact, does not repeat per node)</t>
        </is>
      </c>
      <c r="Q111" s="5" t="inlineStr">
        <is>
          <t>Global</t>
        </is>
      </c>
      <c r="R111" s="5" t="inlineStr">
        <is>
          <t>Tier 1 (Standard) — available to all frameworks and all customers</t>
        </is>
      </c>
      <c r="S111" s="5" t="inlineStr">
        <is>
          <t>Owned by D09 Operational Intelligence as an operational performance fact. Financial cost of operational performance owned by D03. D09 owns the operational system-of-record data; D03 owns the financial translation of operational outcomes.</t>
        </is>
      </c>
    </row>
    <row r="112" ht="15" customHeight="1" s="6">
      <c r="A112" s="5" t="inlineStr">
        <is>
          <t>CDE-O111</t>
        </is>
      </c>
      <c r="B112" s="5" t="inlineStr">
        <is>
          <t>Production Batch/Lot Size Optimization Process Documented</t>
        </is>
      </c>
      <c r="C112" s="5" t="inlineStr">
        <is>
          <t>Boolean</t>
        </is>
      </c>
      <c r="D112" s="5" t="inlineStr">
        <is>
          <t>Recommended</t>
        </is>
      </c>
      <c r="E112" s="5" t="inlineStr">
        <is>
          <t>Optional</t>
        </is>
      </c>
      <c r="F112" s="5" t="inlineStr">
        <is>
          <t>P2</t>
        </is>
      </c>
      <c r="G112" s="5" t="inlineStr">
        <is>
          <t>True/False</t>
        </is>
      </c>
      <c r="H112" s="5" t="inlineStr">
        <is>
          <t>TYPE:BOOLEAN|ALLOWED:TRUE,FALSE</t>
        </is>
      </c>
      <c r="I112" s="5" t="inlineStr">
        <is>
          <t>Effective-dated</t>
        </is>
      </c>
      <c r="J112" s="5" t="inlineStr">
        <is>
          <t>One-to-one</t>
        </is>
      </c>
      <c r="K112" s="5" t="inlineStr">
        <is>
          <t>N/A — not a one-to-many numeric field</t>
        </is>
      </c>
      <c r="L112" s="5" t="inlineStr">
        <is>
          <t>User Validation</t>
        </is>
      </c>
      <c r="M112" s="5" t="inlineStr">
        <is>
          <t>CIL Architecture Team</t>
        </is>
      </c>
      <c r="N112" s="5" t="inlineStr">
        <is>
          <t>2026-06-28</t>
        </is>
      </c>
      <c r="O112" s="5" t="inlineStr">
        <is>
          <t>CorpStage CIL Registry v1.7</t>
        </is>
      </c>
      <c r="P112" s="5" t="inlineStr">
        <is>
          <t>Group only (single enterprise-wide fact, does not repeat per node)</t>
        </is>
      </c>
      <c r="Q112" s="5" t="inlineStr">
        <is>
          <t>Global</t>
        </is>
      </c>
      <c r="R112" s="5" t="inlineStr">
        <is>
          <t>Tier 1 (Standard) — available to all frameworks and all customers</t>
        </is>
      </c>
      <c r="S112" s="5" t="inlineStr">
        <is>
          <t>Owned by D09 Operational Intelligence as an operational performance fact. Financial cost of operational performance owned by D03. D09 owns the operational system-of-record data; D03 owns the financial translation of operational outcomes.</t>
        </is>
      </c>
    </row>
    <row r="113" ht="15" customHeight="1" s="6">
      <c r="A113" s="5" t="inlineStr">
        <is>
          <t>CDE-O112</t>
        </is>
      </c>
      <c r="B113" s="5" t="inlineStr">
        <is>
          <t>Facility Security/Access Control System Documented</t>
        </is>
      </c>
      <c r="C113" s="5" t="inlineStr">
        <is>
          <t>Boolean</t>
        </is>
      </c>
      <c r="D113" s="5" t="inlineStr">
        <is>
          <t>Recommended</t>
        </is>
      </c>
      <c r="E113" s="5" t="inlineStr">
        <is>
          <t>Optional</t>
        </is>
      </c>
      <c r="F113" s="5" t="inlineStr">
        <is>
          <t>P2</t>
        </is>
      </c>
      <c r="G113" s="5" t="inlineStr">
        <is>
          <t>True/False</t>
        </is>
      </c>
      <c r="H113" s="5" t="inlineStr">
        <is>
          <t>TYPE:BOOLEAN|ALLOWED:TRUE,FALSE</t>
        </is>
      </c>
      <c r="I113" s="5" t="inlineStr">
        <is>
          <t>Effective-dated</t>
        </is>
      </c>
      <c r="J113" s="5" t="inlineStr">
        <is>
          <t>One-to-one</t>
        </is>
      </c>
      <c r="K113" s="5" t="inlineStr">
        <is>
          <t>N/A — not a one-to-many numeric field</t>
        </is>
      </c>
      <c r="L113" s="5" t="inlineStr">
        <is>
          <t>User Validation</t>
        </is>
      </c>
      <c r="M113" s="5" t="inlineStr">
        <is>
          <t>CIL Architecture Team</t>
        </is>
      </c>
      <c r="N113" s="5" t="inlineStr">
        <is>
          <t>2026-06-28</t>
        </is>
      </c>
      <c r="O113" s="5" t="inlineStr">
        <is>
          <t>CorpStage CIL Registry v1.7</t>
        </is>
      </c>
      <c r="P113" s="5" t="inlineStr">
        <is>
          <t>Group only (single enterprise-wide fact, does not repeat per node)</t>
        </is>
      </c>
      <c r="Q113" s="5" t="inlineStr">
        <is>
          <t>Global</t>
        </is>
      </c>
      <c r="R113" s="5" t="inlineStr">
        <is>
          <t>Tier 1 (Standard) — available to all frameworks and all customers</t>
        </is>
      </c>
      <c r="S113" s="5" t="inlineStr">
        <is>
          <t>Owned by D09 Operational Intelligence as an operational performance fact. Financial cost of operational performance owned by D03. D09 owns the operational system-of-record data; D03 owns the financial translation of operational outcomes.</t>
        </is>
      </c>
    </row>
    <row r="114" ht="15" customHeight="1" s="6">
      <c r="A114" s="5" t="inlineStr">
        <is>
          <t>CDE-O113</t>
        </is>
      </c>
      <c r="B114" s="5" t="inlineStr">
        <is>
          <t>Formal Planning-of-Changes Process Documented for Operational/Capacity Changes</t>
        </is>
      </c>
      <c r="C114" s="5" t="inlineStr">
        <is>
          <t>Boolean</t>
        </is>
      </c>
      <c r="D114" s="5" t="inlineStr">
        <is>
          <t>Required</t>
        </is>
      </c>
      <c r="E114" s="5" t="inlineStr">
        <is>
          <t>Framework Specific</t>
        </is>
      </c>
      <c r="F114" s="5" t="inlineStr">
        <is>
          <t>P1</t>
        </is>
      </c>
      <c r="G114" s="5" t="inlineStr">
        <is>
          <t>True/False</t>
        </is>
      </c>
      <c r="H114" s="5" t="inlineStr">
        <is>
          <t>TYPE:BOOLEAN|ALLOWED:TRUE,FALSE</t>
        </is>
      </c>
      <c r="I114" s="5" t="inlineStr">
        <is>
          <t>Effective-dated</t>
        </is>
      </c>
      <c r="J114" s="5" t="inlineStr">
        <is>
          <t>One-to-one</t>
        </is>
      </c>
      <c r="K114" s="5" t="inlineStr">
        <is>
          <t>N/A — not a one-to-many numeric field</t>
        </is>
      </c>
      <c r="L114" s="5" t="inlineStr">
        <is>
          <t>User Validation</t>
        </is>
      </c>
      <c r="M114" s="5" t="inlineStr">
        <is>
          <t>CIL Architecture Team</t>
        </is>
      </c>
      <c r="N114" s="5" t="inlineStr">
        <is>
          <t>2026-06-28</t>
        </is>
      </c>
      <c r="O114" s="5" t="inlineStr">
        <is>
          <t>CorpStage CIL Registry v2.0</t>
        </is>
      </c>
      <c r="P114" s="5" t="inlineStr">
        <is>
          <t>Group only (single enterprise-wide fact, does not repeat per node)</t>
        </is>
      </c>
      <c r="Q114" s="5" t="inlineStr">
        <is>
          <t>Global</t>
        </is>
      </c>
      <c r="R114" s="5" t="inlineStr">
        <is>
          <t>Tier 1 (Standard) — available to all frameworks and all customers</t>
        </is>
      </c>
      <c r="S114" s="5" t="inlineStr">
        <is>
          <t>ISO 14001:2026, Clause 6.3 (verified current via primary ISO source confirming publication 15 April 2026; cross-confirmed across 8+ independent sources). This is a NEW requirement introduced in the 2026 revision, flagged by multiple independent sources as the area most likely to generate audit findings during the transition period.</t>
        </is>
      </c>
    </row>
    <row r="115" ht="15" customHeight="1" s="6">
      <c r="A115" s="5" t="inlineStr">
        <is>
          <t>CDE-O114</t>
        </is>
      </c>
      <c r="B115" s="5" t="inlineStr">
        <is>
          <t>Environmental Emergency Preparedness and Response Plan Documented (Distinct from General Operational Recovery)</t>
        </is>
      </c>
      <c r="C115" s="5" t="inlineStr">
        <is>
          <t>Boolean</t>
        </is>
      </c>
      <c r="D115" s="5" t="inlineStr">
        <is>
          <t>Required</t>
        </is>
      </c>
      <c r="E115" s="5" t="inlineStr">
        <is>
          <t>Framework Specific</t>
        </is>
      </c>
      <c r="F115" s="5" t="inlineStr">
        <is>
          <t>P1</t>
        </is>
      </c>
      <c r="G115" s="5" t="inlineStr">
        <is>
          <t>True/False</t>
        </is>
      </c>
      <c r="H115" s="5" t="inlineStr">
        <is>
          <t>TYPE:BOOLEAN|ALLOWED:TRUE,FALSE</t>
        </is>
      </c>
      <c r="I115" s="5" t="inlineStr">
        <is>
          <t>Effective-dated</t>
        </is>
      </c>
      <c r="J115" s="5" t="inlineStr">
        <is>
          <t>One-to-one</t>
        </is>
      </c>
      <c r="K115" s="5" t="inlineStr">
        <is>
          <t>N/A — not a one-to-many numeric field</t>
        </is>
      </c>
      <c r="L115" s="5" t="inlineStr">
        <is>
          <t>User Validation</t>
        </is>
      </c>
      <c r="M115" s="5" t="inlineStr">
        <is>
          <t>CIL Architecture Team</t>
        </is>
      </c>
      <c r="N115" s="5" t="inlineStr">
        <is>
          <t>2026-06-28</t>
        </is>
      </c>
      <c r="O115" s="5" t="inlineStr">
        <is>
          <t>CorpStage CIL Registry v2.0</t>
        </is>
      </c>
      <c r="P115" s="5" t="inlineStr">
        <is>
          <t>Group only (single enterprise-wide fact, does not repeat per node)</t>
        </is>
      </c>
      <c r="Q115" s="5" t="inlineStr">
        <is>
          <t>Global</t>
        </is>
      </c>
      <c r="R115" s="5" t="inlineStr">
        <is>
          <t>Tier 1 (Standard) — available to all frameworks and all customers</t>
        </is>
      </c>
      <c r="S115" s="5" t="inlineStr">
        <is>
          <t>ISO 14001:2026, Clause 8.2 (verified current via primary ISO source confirming publication 15 April 2026; cross-confirmed across 8+ independent sources).</t>
        </is>
      </c>
    </row>
    <row r="116" ht="15" customHeight="1" s="6">
      <c r="A116" s="5" t="inlineStr">
        <is>
          <t>CDE-O115</t>
        </is>
      </c>
      <c r="B116" s="5" t="inlineStr">
        <is>
          <t>Environmental Competence Requirements Documented for Significant-Impact Roles</t>
        </is>
      </c>
      <c r="C116" s="5" t="inlineStr">
        <is>
          <t>Boolean</t>
        </is>
      </c>
      <c r="D116" s="5" t="inlineStr">
        <is>
          <t>Recommended</t>
        </is>
      </c>
      <c r="E116" s="5" t="inlineStr">
        <is>
          <t>Framework Specific</t>
        </is>
      </c>
      <c r="F116" s="5" t="inlineStr">
        <is>
          <t>P2</t>
        </is>
      </c>
      <c r="G116" s="5" t="inlineStr">
        <is>
          <t>True/False</t>
        </is>
      </c>
      <c r="H116" s="5" t="inlineStr">
        <is>
          <t>TYPE:BOOLEAN|ALLOWED:TRUE,FALSE</t>
        </is>
      </c>
      <c r="I116" s="5" t="inlineStr">
        <is>
          <t>Effective-dated</t>
        </is>
      </c>
      <c r="J116" s="5" t="inlineStr">
        <is>
          <t>One-to-one</t>
        </is>
      </c>
      <c r="K116" s="5" t="inlineStr">
        <is>
          <t>N/A — not a one-to-many numeric field</t>
        </is>
      </c>
      <c r="L116" s="5" t="inlineStr">
        <is>
          <t>User Validation</t>
        </is>
      </c>
      <c r="M116" s="5" t="inlineStr">
        <is>
          <t>CIL Architecture Team</t>
        </is>
      </c>
      <c r="N116" s="5" t="inlineStr">
        <is>
          <t>2026-06-28</t>
        </is>
      </c>
      <c r="O116" s="5" t="inlineStr">
        <is>
          <t>CorpStage CIL Registry v2.0</t>
        </is>
      </c>
      <c r="P116" s="5" t="inlineStr">
        <is>
          <t>Group only (single enterprise-wide fact, does not repeat per node)</t>
        </is>
      </c>
      <c r="Q116" s="5" t="inlineStr">
        <is>
          <t>Global</t>
        </is>
      </c>
      <c r="R116" s="5" t="inlineStr">
        <is>
          <t>Tier 1 (Standard) — available to all frameworks and all customers</t>
        </is>
      </c>
      <c r="S116" s="5" t="inlineStr">
        <is>
          <t>ISO 14001:2026, Clause 7.2 (verified current via primary ISO source confirming publication 15 April 2026; cross-confirmed across 8+ independent sources).</t>
        </is>
      </c>
    </row>
    <row r="117" ht="15" customHeight="1" s="6">
      <c r="A117" s="5" t="inlineStr">
        <is>
          <t>CDE-O116</t>
        </is>
      </c>
      <c r="B117" s="5" t="inlineStr">
        <is>
          <t>Systematic Environmental Compliance Evaluation Process Documented (Distinct from General Monitoring)</t>
        </is>
      </c>
      <c r="C117" s="5" t="inlineStr">
        <is>
          <t>Boolean</t>
        </is>
      </c>
      <c r="D117" s="5" t="inlineStr">
        <is>
          <t>Required</t>
        </is>
      </c>
      <c r="E117" s="5" t="inlineStr">
        <is>
          <t>Framework Specific</t>
        </is>
      </c>
      <c r="F117" s="5" t="inlineStr">
        <is>
          <t>P1</t>
        </is>
      </c>
      <c r="G117" s="5" t="inlineStr">
        <is>
          <t>True/False</t>
        </is>
      </c>
      <c r="H117" s="5" t="inlineStr">
        <is>
          <t>TYPE:BOOLEAN|ALLOWED:TRUE,FALSE</t>
        </is>
      </c>
      <c r="I117" s="5" t="inlineStr">
        <is>
          <t>Effective-dated</t>
        </is>
      </c>
      <c r="J117" s="5" t="inlineStr">
        <is>
          <t>One-to-one</t>
        </is>
      </c>
      <c r="K117" s="5" t="inlineStr">
        <is>
          <t>N/A — not a one-to-many numeric field</t>
        </is>
      </c>
      <c r="L117" s="5" t="inlineStr">
        <is>
          <t>User Validation</t>
        </is>
      </c>
      <c r="M117" s="5" t="inlineStr">
        <is>
          <t>CIL Architecture Team</t>
        </is>
      </c>
      <c r="N117" s="5" t="inlineStr">
        <is>
          <t>2026-06-28</t>
        </is>
      </c>
      <c r="O117" s="5" t="inlineStr">
        <is>
          <t>CorpStage CIL Registry v2.0</t>
        </is>
      </c>
      <c r="P117" s="5" t="inlineStr">
        <is>
          <t>Group only (single enterprise-wide fact, does not repeat per node)</t>
        </is>
      </c>
      <c r="Q117" s="5" t="inlineStr">
        <is>
          <t>Global</t>
        </is>
      </c>
      <c r="R117" s="5" t="inlineStr">
        <is>
          <t>Tier 1 (Standard) — available to all frameworks and all customers</t>
        </is>
      </c>
      <c r="S117" s="5" t="inlineStr">
        <is>
          <t>ISO 14001:2026, Clause 9.1 (verified current via primary ISO source confirming publication 15 April 2026; cross-confirmed across 8+ independent sources).</t>
        </is>
      </c>
    </row>
    <row r="118" ht="15" customHeight="1" s="6">
      <c r="A118" s="5" t="inlineStr">
        <is>
          <t>CDE-O117</t>
        </is>
      </c>
      <c r="B118" s="5" t="inlineStr">
        <is>
          <t>Lifecycle Perspective Applied to Operational Controls (Procurement Through End-of-Life)</t>
        </is>
      </c>
      <c r="C118" s="5" t="inlineStr">
        <is>
          <t>Boolean</t>
        </is>
      </c>
      <c r="D118" s="5" t="inlineStr">
        <is>
          <t>Recommended</t>
        </is>
      </c>
      <c r="E118" s="5" t="inlineStr">
        <is>
          <t>Framework Specific</t>
        </is>
      </c>
      <c r="F118" s="5" t="inlineStr">
        <is>
          <t>P2</t>
        </is>
      </c>
      <c r="G118" s="5" t="inlineStr">
        <is>
          <t>True/False</t>
        </is>
      </c>
      <c r="H118" s="5" t="inlineStr">
        <is>
          <t>TYPE:BOOLEAN|ALLOWED:TRUE,FALSE</t>
        </is>
      </c>
      <c r="I118" s="5" t="inlineStr">
        <is>
          <t>Effective-dated</t>
        </is>
      </c>
      <c r="J118" s="5" t="inlineStr">
        <is>
          <t>One-to-one</t>
        </is>
      </c>
      <c r="K118" s="5" t="inlineStr">
        <is>
          <t>N/A — not a one-to-many numeric field</t>
        </is>
      </c>
      <c r="L118" s="5" t="inlineStr">
        <is>
          <t>User Validation</t>
        </is>
      </c>
      <c r="M118" s="5" t="inlineStr">
        <is>
          <t>CIL Architecture Team</t>
        </is>
      </c>
      <c r="N118" s="5" t="inlineStr">
        <is>
          <t>2026-06-28</t>
        </is>
      </c>
      <c r="O118" s="5" t="inlineStr">
        <is>
          <t>CorpStage CIL Registry v2.0</t>
        </is>
      </c>
      <c r="P118" s="5" t="inlineStr">
        <is>
          <t>Group only (single enterprise-wide fact, does not repeat per node)</t>
        </is>
      </c>
      <c r="Q118" s="5" t="inlineStr">
        <is>
          <t>Global</t>
        </is>
      </c>
      <c r="R118" s="5" t="inlineStr">
        <is>
          <t>Tier 1 (Standard) — available to all frameworks and all customers</t>
        </is>
      </c>
      <c r="S118" s="5" t="inlineStr">
        <is>
          <t>ISO 14001:2026, Clause 8.1 (verified current via primary ISO source confirming publication 15 April 2026; cross-confirmed across 8+ independent sources).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1" customWidth="1" style="5" min="2" max="2"/>
  </cols>
  <sheetData>
    <row r="1" ht="15" customHeight="1" s="6">
      <c r="A1" s="7" t="inlineStr">
        <is>
          <t>BQ ID</t>
        </is>
      </c>
      <c r="B1" s="7" t="inlineStr">
        <is>
          <t>CDE ID</t>
        </is>
      </c>
    </row>
    <row r="2" ht="15" customHeight="1" s="6">
      <c r="A2" s="8" t="inlineStr">
        <is>
          <t>OP-FAC-001</t>
        </is>
      </c>
      <c r="B2" s="8" t="inlineStr">
        <is>
          <t>CDE-O001</t>
        </is>
      </c>
    </row>
    <row r="3" ht="15" customHeight="1" s="6">
      <c r="A3" s="8" t="inlineStr">
        <is>
          <t>OP-FAC-001</t>
        </is>
      </c>
      <c r="B3" s="8" t="inlineStr">
        <is>
          <t>CDE-O002</t>
        </is>
      </c>
    </row>
    <row r="4" ht="15" customHeight="1" s="6">
      <c r="A4" s="8" t="inlineStr">
        <is>
          <t>OP-FAC-001</t>
        </is>
      </c>
      <c r="B4" s="8" t="inlineStr">
        <is>
          <t>CDE-O003</t>
        </is>
      </c>
    </row>
    <row r="5" ht="15" customHeight="1" s="6">
      <c r="A5" s="8" t="inlineStr">
        <is>
          <t>OP-FAC-002</t>
        </is>
      </c>
      <c r="B5" s="8" t="inlineStr">
        <is>
          <t>CDE-O004</t>
        </is>
      </c>
    </row>
    <row r="6" ht="15" customHeight="1" s="6">
      <c r="A6" s="8" t="inlineStr">
        <is>
          <t>OP-FAC-002</t>
        </is>
      </c>
      <c r="B6" s="8" t="inlineStr">
        <is>
          <t>CDE-O005</t>
        </is>
      </c>
    </row>
    <row r="7" ht="15" customHeight="1" s="6">
      <c r="A7" s="8" t="inlineStr">
        <is>
          <t>OP-FAC-003</t>
        </is>
      </c>
      <c r="B7" s="8" t="inlineStr">
        <is>
          <t>CDE-O006</t>
        </is>
      </c>
    </row>
    <row r="8" ht="15" customHeight="1" s="6">
      <c r="A8" s="8" t="inlineStr">
        <is>
          <t>OP-FAC-004</t>
        </is>
      </c>
      <c r="B8" s="8" t="inlineStr">
        <is>
          <t>CDE-O007</t>
        </is>
      </c>
    </row>
    <row r="9" ht="15" customHeight="1" s="6">
      <c r="A9" s="8" t="inlineStr">
        <is>
          <t>OP-FAC-004</t>
        </is>
      </c>
      <c r="B9" s="8" t="inlineStr">
        <is>
          <t>CDE-O008</t>
        </is>
      </c>
    </row>
    <row r="10" ht="15" customHeight="1" s="6">
      <c r="A10" s="8" t="inlineStr">
        <is>
          <t>OP-FAC-004</t>
        </is>
      </c>
      <c r="B10" s="8" t="inlineStr">
        <is>
          <t>CDE-O009</t>
        </is>
      </c>
    </row>
    <row r="11" ht="15" customHeight="1" s="6">
      <c r="A11" s="8" t="inlineStr">
        <is>
          <t>OP-UTL-001</t>
        </is>
      </c>
      <c r="B11" s="8" t="inlineStr">
        <is>
          <t>CDE-O010</t>
        </is>
      </c>
    </row>
    <row r="12" ht="15" customHeight="1" s="6">
      <c r="A12" s="8" t="inlineStr">
        <is>
          <t>OP-UTL-001</t>
        </is>
      </c>
      <c r="B12" s="8" t="inlineStr">
        <is>
          <t>CDE-O011</t>
        </is>
      </c>
    </row>
    <row r="13" ht="15" customHeight="1" s="6">
      <c r="A13" s="8" t="inlineStr">
        <is>
          <t>OP-UTL-002</t>
        </is>
      </c>
      <c r="B13" s="8" t="inlineStr">
        <is>
          <t>CDE-O012</t>
        </is>
      </c>
    </row>
    <row r="14" ht="15" customHeight="1" s="6">
      <c r="A14" s="8" t="inlineStr">
        <is>
          <t>OP-UTL-003</t>
        </is>
      </c>
      <c r="B14" s="8" t="inlineStr">
        <is>
          <t>CDE-O013</t>
        </is>
      </c>
    </row>
    <row r="15" ht="15" customHeight="1" s="6">
      <c r="A15" s="8" t="inlineStr">
        <is>
          <t>OP-UTL-003</t>
        </is>
      </c>
      <c r="B15" s="8" t="inlineStr">
        <is>
          <t>CDE-O014</t>
        </is>
      </c>
    </row>
    <row r="16" ht="15" customHeight="1" s="6">
      <c r="A16" s="8" t="inlineStr">
        <is>
          <t>OP-UTL-004</t>
        </is>
      </c>
      <c r="B16" s="8" t="inlineStr">
        <is>
          <t>CDE-O015</t>
        </is>
      </c>
    </row>
    <row r="17" ht="15" customHeight="1" s="6">
      <c r="A17" s="8" t="inlineStr">
        <is>
          <t>OP-UTL-004</t>
        </is>
      </c>
      <c r="B17" s="8" t="inlineStr">
        <is>
          <t>CDE-O016</t>
        </is>
      </c>
    </row>
    <row r="18" ht="15" customHeight="1" s="6">
      <c r="A18" s="8" t="inlineStr">
        <is>
          <t>OP-PRC-001</t>
        </is>
      </c>
      <c r="B18" s="8" t="inlineStr">
        <is>
          <t>CDE-O017</t>
        </is>
      </c>
    </row>
    <row r="19" ht="15" customHeight="1" s="6">
      <c r="A19" s="8" t="inlineStr">
        <is>
          <t>OP-PRC-002</t>
        </is>
      </c>
      <c r="B19" s="8" t="inlineStr">
        <is>
          <t>CDE-O018</t>
        </is>
      </c>
    </row>
    <row r="20" ht="15" customHeight="1" s="6">
      <c r="A20" s="8" t="inlineStr">
        <is>
          <t>OP-PRC-002</t>
        </is>
      </c>
      <c r="B20" s="8" t="inlineStr">
        <is>
          <t>CDE-O019</t>
        </is>
      </c>
    </row>
    <row r="21" ht="15" customHeight="1" s="6">
      <c r="A21" s="8" t="inlineStr">
        <is>
          <t>OP-PRC-003</t>
        </is>
      </c>
      <c r="B21" s="8" t="inlineStr">
        <is>
          <t>CDE-O020</t>
        </is>
      </c>
    </row>
    <row r="22" ht="15" customHeight="1" s="6">
      <c r="A22" s="8" t="inlineStr">
        <is>
          <t>OP-PRC-003</t>
        </is>
      </c>
      <c r="B22" s="8" t="inlineStr">
        <is>
          <t>CDE-O021</t>
        </is>
      </c>
    </row>
    <row r="23" ht="15" customHeight="1" s="6">
      <c r="A23" s="8" t="inlineStr">
        <is>
          <t>OP-PRC-004</t>
        </is>
      </c>
      <c r="B23" s="8" t="inlineStr">
        <is>
          <t>CDE-O022</t>
        </is>
      </c>
    </row>
    <row r="24" ht="15" customHeight="1" s="6">
      <c r="A24" s="8" t="inlineStr">
        <is>
          <t>OP-MNT-001</t>
        </is>
      </c>
      <c r="B24" s="8" t="inlineStr">
        <is>
          <t>CDE-O023</t>
        </is>
      </c>
    </row>
    <row r="25" ht="15" customHeight="1" s="6">
      <c r="A25" s="8" t="inlineStr">
        <is>
          <t>OP-MNT-001</t>
        </is>
      </c>
      <c r="B25" s="8" t="inlineStr">
        <is>
          <t>CDE-O024</t>
        </is>
      </c>
    </row>
    <row r="26" ht="15" customHeight="1" s="6">
      <c r="A26" s="8" t="inlineStr">
        <is>
          <t>OP-MNT-002</t>
        </is>
      </c>
      <c r="B26" s="8" t="inlineStr">
        <is>
          <t>CDE-O025</t>
        </is>
      </c>
    </row>
    <row r="27" ht="15" customHeight="1" s="6">
      <c r="A27" s="8" t="inlineStr">
        <is>
          <t>OP-MNT-002</t>
        </is>
      </c>
      <c r="B27" s="8" t="inlineStr">
        <is>
          <t>CDE-O026</t>
        </is>
      </c>
    </row>
    <row r="28" ht="15" customHeight="1" s="6">
      <c r="A28" s="8" t="inlineStr">
        <is>
          <t>OP-MNT-003</t>
        </is>
      </c>
      <c r="B28" s="8" t="inlineStr">
        <is>
          <t>CDE-O027</t>
        </is>
      </c>
    </row>
    <row r="29" ht="15" customHeight="1" s="6">
      <c r="A29" s="8" t="inlineStr">
        <is>
          <t>OP-MNT-003</t>
        </is>
      </c>
      <c r="B29" s="8" t="inlineStr">
        <is>
          <t>CDE-O028</t>
        </is>
      </c>
    </row>
    <row r="30" ht="15" customHeight="1" s="6">
      <c r="A30" s="8" t="inlineStr">
        <is>
          <t>OP-MNT-004</t>
        </is>
      </c>
      <c r="B30" s="8" t="inlineStr">
        <is>
          <t>CDE-O029</t>
        </is>
      </c>
    </row>
    <row r="31" ht="15" customHeight="1" s="6">
      <c r="A31" s="8" t="inlineStr">
        <is>
          <t>OP-MNT-004</t>
        </is>
      </c>
      <c r="B31" s="8" t="inlineStr">
        <is>
          <t>CDE-O030</t>
        </is>
      </c>
    </row>
    <row r="32" ht="15" customHeight="1" s="6">
      <c r="A32" s="8" t="inlineStr">
        <is>
          <t>OP-DWN-001</t>
        </is>
      </c>
      <c r="B32" s="8" t="inlineStr">
        <is>
          <t>CDE-O031</t>
        </is>
      </c>
    </row>
    <row r="33" ht="15" customHeight="1" s="6">
      <c r="A33" s="8" t="inlineStr">
        <is>
          <t>OP-DWN-001</t>
        </is>
      </c>
      <c r="B33" s="8" t="inlineStr">
        <is>
          <t>CDE-O032</t>
        </is>
      </c>
    </row>
    <row r="34" ht="15" customHeight="1" s="6">
      <c r="A34" s="8" t="inlineStr">
        <is>
          <t>OP-DWN-002</t>
        </is>
      </c>
      <c r="B34" s="8" t="inlineStr">
        <is>
          <t>CDE-O033</t>
        </is>
      </c>
    </row>
    <row r="35" ht="15" customHeight="1" s="6">
      <c r="A35" s="8" t="inlineStr">
        <is>
          <t>OP-DWN-002</t>
        </is>
      </c>
      <c r="B35" s="8" t="inlineStr">
        <is>
          <t>CDE-O034</t>
        </is>
      </c>
    </row>
    <row r="36" ht="15" customHeight="1" s="6">
      <c r="A36" s="8" t="inlineStr">
        <is>
          <t>OP-DWN-003</t>
        </is>
      </c>
      <c r="B36" s="8" t="inlineStr">
        <is>
          <t>CDE-O035</t>
        </is>
      </c>
    </row>
    <row r="37" ht="15" customHeight="1" s="6">
      <c r="A37" s="8" t="inlineStr">
        <is>
          <t>OP-DEP-001</t>
        </is>
      </c>
      <c r="B37" s="8" t="inlineStr">
        <is>
          <t>CDE-O036</t>
        </is>
      </c>
    </row>
    <row r="38" ht="15" customHeight="1" s="6">
      <c r="A38" s="8" t="inlineStr">
        <is>
          <t>OP-DEP-001</t>
        </is>
      </c>
      <c r="B38" s="8" t="inlineStr">
        <is>
          <t>CDE-O037</t>
        </is>
      </c>
    </row>
    <row r="39" ht="15" customHeight="1" s="6">
      <c r="A39" s="8" t="inlineStr">
        <is>
          <t>OP-DEP-001</t>
        </is>
      </c>
      <c r="B39" s="8" t="inlineStr">
        <is>
          <t>CDE-O038</t>
        </is>
      </c>
    </row>
    <row r="40" ht="15" customHeight="1" s="6">
      <c r="A40" s="8" t="inlineStr">
        <is>
          <t>OP-CST-001</t>
        </is>
      </c>
      <c r="B40" s="8" t="inlineStr">
        <is>
          <t>CDE-O039</t>
        </is>
      </c>
    </row>
    <row r="41" ht="15" customHeight="1" s="6">
      <c r="A41" s="8" t="inlineStr">
        <is>
          <t>OP-CST-001</t>
        </is>
      </c>
      <c r="B41" s="8" t="inlineStr">
        <is>
          <t>CDE-O040</t>
        </is>
      </c>
    </row>
    <row r="42" ht="15" customHeight="1" s="6">
      <c r="A42" s="8" t="inlineStr">
        <is>
          <t>OP-CST-002</t>
        </is>
      </c>
      <c r="B42" s="8" t="inlineStr">
        <is>
          <t>CDE-O041</t>
        </is>
      </c>
    </row>
    <row r="43" ht="15" customHeight="1" s="6">
      <c r="A43" s="8" t="inlineStr">
        <is>
          <t>OP-CST-002</t>
        </is>
      </c>
      <c r="B43" s="8" t="inlineStr">
        <is>
          <t>CDE-O042</t>
        </is>
      </c>
    </row>
    <row r="44" ht="15" customHeight="1" s="6">
      <c r="A44" s="8" t="inlineStr">
        <is>
          <t>OP-CST-003</t>
        </is>
      </c>
      <c r="B44" s="8" t="inlineStr">
        <is>
          <t>CDE-O043</t>
        </is>
      </c>
    </row>
    <row r="45" ht="15" customHeight="1" s="6">
      <c r="A45" s="8" t="inlineStr">
        <is>
          <t>OP-CST-003</t>
        </is>
      </c>
      <c r="B45" s="8" t="inlineStr">
        <is>
          <t>CDE-O044</t>
        </is>
      </c>
    </row>
    <row r="46" ht="15" customHeight="1" s="6">
      <c r="A46" s="8" t="inlineStr">
        <is>
          <t>OP-ENG-001</t>
        </is>
      </c>
      <c r="B46" s="8" t="inlineStr">
        <is>
          <t>CDE-O045</t>
        </is>
      </c>
    </row>
    <row r="47" ht="15" customHeight="1" s="6">
      <c r="A47" s="8" t="inlineStr">
        <is>
          <t>OP-ENG-001</t>
        </is>
      </c>
      <c r="B47" s="8" t="inlineStr">
        <is>
          <t>CDE-O046</t>
        </is>
      </c>
    </row>
    <row r="48" ht="15" customHeight="1" s="6">
      <c r="A48" s="8" t="inlineStr">
        <is>
          <t>OP-ENG-002</t>
        </is>
      </c>
      <c r="B48" s="8" t="inlineStr">
        <is>
          <t>CDE-O047</t>
        </is>
      </c>
    </row>
    <row r="49" ht="15" customHeight="1" s="6">
      <c r="A49" s="8" t="inlineStr">
        <is>
          <t>OP-ENG-002</t>
        </is>
      </c>
      <c r="B49" s="8" t="inlineStr">
        <is>
          <t>CDE-O048</t>
        </is>
      </c>
    </row>
    <row r="50" ht="15" customHeight="1" s="6">
      <c r="A50" s="8" t="inlineStr">
        <is>
          <t>OP-ENG-003</t>
        </is>
      </c>
      <c r="B50" s="8" t="inlineStr">
        <is>
          <t>CDE-O049</t>
        </is>
      </c>
    </row>
    <row r="51" ht="15" customHeight="1" s="6">
      <c r="A51" s="8" t="inlineStr">
        <is>
          <t>OP-ENG-003</t>
        </is>
      </c>
      <c r="B51" s="8" t="inlineStr">
        <is>
          <t>CDE-O050</t>
        </is>
      </c>
    </row>
    <row r="52" ht="15" customHeight="1" s="6">
      <c r="A52" s="8" t="inlineStr">
        <is>
          <t>OP-TEC-001</t>
        </is>
      </c>
      <c r="B52" s="8" t="inlineStr">
        <is>
          <t>CDE-O051</t>
        </is>
      </c>
    </row>
    <row r="53" ht="15" customHeight="1" s="6">
      <c r="A53" s="8" t="inlineStr">
        <is>
          <t>OP-TEC-001</t>
        </is>
      </c>
      <c r="B53" s="8" t="inlineStr">
        <is>
          <t>CDE-O052</t>
        </is>
      </c>
    </row>
    <row r="54" ht="15" customHeight="1" s="6">
      <c r="A54" s="8" t="inlineStr">
        <is>
          <t>OP-TEC-002</t>
        </is>
      </c>
      <c r="B54" s="8" t="inlineStr">
        <is>
          <t>CDE-O053</t>
        </is>
      </c>
    </row>
    <row r="55" ht="15" customHeight="1" s="6">
      <c r="A55" s="8" t="inlineStr">
        <is>
          <t>OP-TEC-002</t>
        </is>
      </c>
      <c r="B55" s="8" t="inlineStr">
        <is>
          <t>CDE-O054</t>
        </is>
      </c>
    </row>
    <row r="56" ht="15" customHeight="1" s="6">
      <c r="A56" s="8" t="inlineStr">
        <is>
          <t>OP-TEC-003</t>
        </is>
      </c>
      <c r="B56" s="8" t="inlineStr">
        <is>
          <t>CDE-O055</t>
        </is>
      </c>
    </row>
    <row r="57" ht="15" customHeight="1" s="6">
      <c r="A57" s="8" t="inlineStr">
        <is>
          <t>OP-FAC-002</t>
        </is>
      </c>
      <c r="B57" s="8" t="inlineStr">
        <is>
          <t>CDE-O056</t>
        </is>
      </c>
    </row>
    <row r="58" ht="15" customHeight="1" s="6">
      <c r="A58" s="8" t="inlineStr">
        <is>
          <t>OP-FAC-003</t>
        </is>
      </c>
      <c r="B58" s="8" t="inlineStr">
        <is>
          <t>CDE-O057</t>
        </is>
      </c>
    </row>
    <row r="59" ht="15" customHeight="1" s="6">
      <c r="A59" s="8" t="inlineStr">
        <is>
          <t>OP-UTL-001</t>
        </is>
      </c>
      <c r="B59" s="8" t="inlineStr">
        <is>
          <t>CDE-O058</t>
        </is>
      </c>
    </row>
    <row r="60" ht="15" customHeight="1" s="6">
      <c r="A60" s="8" t="inlineStr">
        <is>
          <t>OP-UTL-002</t>
        </is>
      </c>
      <c r="B60" s="8" t="inlineStr">
        <is>
          <t>CDE-O059</t>
        </is>
      </c>
    </row>
    <row r="61" ht="15" customHeight="1" s="6">
      <c r="A61" s="8" t="inlineStr">
        <is>
          <t>OP-UTL-003</t>
        </is>
      </c>
      <c r="B61" s="8" t="inlineStr">
        <is>
          <t>CDE-O060</t>
        </is>
      </c>
    </row>
    <row r="62" ht="15" customHeight="1" s="6">
      <c r="A62" s="8" t="inlineStr">
        <is>
          <t>OP-UTL-004</t>
        </is>
      </c>
      <c r="B62" s="8" t="inlineStr">
        <is>
          <t>CDE-O061</t>
        </is>
      </c>
    </row>
    <row r="63" ht="15" customHeight="1" s="6">
      <c r="A63" s="8" t="inlineStr">
        <is>
          <t>OP-PRC-001</t>
        </is>
      </c>
      <c r="B63" s="8" t="inlineStr">
        <is>
          <t>CDE-O062</t>
        </is>
      </c>
    </row>
    <row r="64" ht="15" customHeight="1" s="6">
      <c r="A64" s="8" t="inlineStr">
        <is>
          <t>OP-PRC-001</t>
        </is>
      </c>
      <c r="B64" s="8" t="inlineStr">
        <is>
          <t>CDE-O063</t>
        </is>
      </c>
    </row>
    <row r="65" ht="15" customHeight="1" s="6">
      <c r="A65" s="8" t="inlineStr">
        <is>
          <t>OP-PRC-002</t>
        </is>
      </c>
      <c r="B65" s="8" t="inlineStr">
        <is>
          <t>CDE-O064</t>
        </is>
      </c>
    </row>
    <row r="66" ht="15" customHeight="1" s="6">
      <c r="A66" s="8" t="inlineStr">
        <is>
          <t>OP-PRC-003</t>
        </is>
      </c>
      <c r="B66" s="8" t="inlineStr">
        <is>
          <t>CDE-O065</t>
        </is>
      </c>
    </row>
    <row r="67" ht="15" customHeight="1" s="6">
      <c r="A67" s="8" t="inlineStr">
        <is>
          <t>OP-PRC-004</t>
        </is>
      </c>
      <c r="B67" s="8" t="inlineStr">
        <is>
          <t>CDE-O066</t>
        </is>
      </c>
    </row>
    <row r="68" ht="15" customHeight="1" s="6">
      <c r="A68" s="8" t="inlineStr">
        <is>
          <t>OP-PRC-004</t>
        </is>
      </c>
      <c r="B68" s="8" t="inlineStr">
        <is>
          <t>CDE-O067</t>
        </is>
      </c>
    </row>
    <row r="69" ht="15" customHeight="1" s="6">
      <c r="A69" s="8" t="inlineStr">
        <is>
          <t>OP-MNT-001</t>
        </is>
      </c>
      <c r="B69" s="8" t="inlineStr">
        <is>
          <t>CDE-O068</t>
        </is>
      </c>
    </row>
    <row r="70" ht="15" customHeight="1" s="6">
      <c r="A70" s="8" t="inlineStr">
        <is>
          <t>OP-MNT-002</t>
        </is>
      </c>
      <c r="B70" s="8" t="inlineStr">
        <is>
          <t>CDE-O069</t>
        </is>
      </c>
    </row>
    <row r="71" ht="15" customHeight="1" s="6">
      <c r="A71" s="8" t="inlineStr">
        <is>
          <t>OP-MNT-003</t>
        </is>
      </c>
      <c r="B71" s="8" t="inlineStr">
        <is>
          <t>CDE-O070</t>
        </is>
      </c>
    </row>
    <row r="72" ht="15" customHeight="1" s="6">
      <c r="A72" s="8" t="inlineStr">
        <is>
          <t>OP-MNT-004</t>
        </is>
      </c>
      <c r="B72" s="8" t="inlineStr">
        <is>
          <t>CDE-O071</t>
        </is>
      </c>
    </row>
    <row r="73" ht="15" customHeight="1" s="6">
      <c r="A73" s="8" t="inlineStr">
        <is>
          <t>OP-DWN-001</t>
        </is>
      </c>
      <c r="B73" s="8" t="inlineStr">
        <is>
          <t>CDE-O072</t>
        </is>
      </c>
    </row>
    <row r="74" ht="15" customHeight="1" s="6">
      <c r="A74" s="8" t="inlineStr">
        <is>
          <t>OP-DWN-002</t>
        </is>
      </c>
      <c r="B74" s="8" t="inlineStr">
        <is>
          <t>CDE-O073</t>
        </is>
      </c>
    </row>
    <row r="75" ht="15" customHeight="1" s="6">
      <c r="A75" s="8" t="inlineStr">
        <is>
          <t>OP-DWN-003</t>
        </is>
      </c>
      <c r="B75" s="8" t="inlineStr">
        <is>
          <t>CDE-O074</t>
        </is>
      </c>
    </row>
    <row r="76" ht="15" customHeight="1" s="6">
      <c r="A76" s="8" t="inlineStr">
        <is>
          <t>OP-CST-001</t>
        </is>
      </c>
      <c r="B76" s="8" t="inlineStr">
        <is>
          <t>CDE-O075</t>
        </is>
      </c>
    </row>
    <row r="77" ht="15" customHeight="1" s="6">
      <c r="A77" s="8" t="inlineStr">
        <is>
          <t>OP-CST-002</t>
        </is>
      </c>
      <c r="B77" s="8" t="inlineStr">
        <is>
          <t>CDE-O076</t>
        </is>
      </c>
    </row>
    <row r="78" ht="15" customHeight="1" s="6">
      <c r="A78" s="8" t="inlineStr">
        <is>
          <t>OP-CST-003</t>
        </is>
      </c>
      <c r="B78" s="8" t="inlineStr">
        <is>
          <t>CDE-O077</t>
        </is>
      </c>
    </row>
    <row r="79" ht="15" customHeight="1" s="6">
      <c r="A79" s="8" t="inlineStr">
        <is>
          <t>OP-ENG-001</t>
        </is>
      </c>
      <c r="B79" s="8" t="inlineStr">
        <is>
          <t>CDE-O078</t>
        </is>
      </c>
    </row>
    <row r="80" ht="15" customHeight="1" s="6">
      <c r="A80" s="8" t="inlineStr">
        <is>
          <t>OP-ENG-002</t>
        </is>
      </c>
      <c r="B80" s="8" t="inlineStr">
        <is>
          <t>CDE-O079</t>
        </is>
      </c>
    </row>
    <row r="81" ht="15" customHeight="1" s="6">
      <c r="A81" s="8" t="inlineStr">
        <is>
          <t>OP-ENG-003</t>
        </is>
      </c>
      <c r="B81" s="8" t="inlineStr">
        <is>
          <t>CDE-O080</t>
        </is>
      </c>
    </row>
    <row r="82" ht="15" customHeight="1" s="6">
      <c r="A82" s="8" t="inlineStr">
        <is>
          <t>OP-TEC-001</t>
        </is>
      </c>
      <c r="B82" s="8" t="inlineStr">
        <is>
          <t>CDE-O081</t>
        </is>
      </c>
    </row>
    <row r="83" ht="15" customHeight="1" s="6">
      <c r="A83" s="8" t="inlineStr">
        <is>
          <t>OP-TEC-002</t>
        </is>
      </c>
      <c r="B83" s="8" t="inlineStr">
        <is>
          <t>CDE-O082</t>
        </is>
      </c>
    </row>
    <row r="84" ht="15" customHeight="1" s="6">
      <c r="A84" s="8" t="inlineStr">
        <is>
          <t>OP-TEC-003</t>
        </is>
      </c>
      <c r="B84" s="8" t="inlineStr">
        <is>
          <t>CDE-O083</t>
        </is>
      </c>
    </row>
    <row r="85" ht="15" customHeight="1" s="6">
      <c r="A85" s="8" t="inlineStr">
        <is>
          <t>OP-FAC-003</t>
        </is>
      </c>
      <c r="B85" s="8" t="inlineStr">
        <is>
          <t>CDE-O084</t>
        </is>
      </c>
    </row>
    <row r="86" ht="15" customHeight="1" s="6">
      <c r="A86" s="8" t="inlineStr">
        <is>
          <t>OP-UTL-002</t>
        </is>
      </c>
      <c r="B86" s="8" t="inlineStr">
        <is>
          <t>CDE-O085</t>
        </is>
      </c>
    </row>
    <row r="87" ht="15" customHeight="1" s="6">
      <c r="A87" s="8" t="inlineStr">
        <is>
          <t>OP-TEC-003</t>
        </is>
      </c>
      <c r="B87" s="8" t="inlineStr">
        <is>
          <t>CDE-O086</t>
        </is>
      </c>
    </row>
    <row r="88" ht="15" customHeight="1" s="6">
      <c r="A88" s="8" t="inlineStr">
        <is>
          <t>OP-DWN-003</t>
        </is>
      </c>
      <c r="B88" s="8" t="inlineStr">
        <is>
          <t>CDE-O087</t>
        </is>
      </c>
    </row>
    <row r="89" ht="15" customHeight="1" s="6">
      <c r="A89" s="5" t="inlineStr">
        <is>
          <t>OP-TEC-001</t>
        </is>
      </c>
      <c r="B89" s="5" t="inlineStr">
        <is>
          <t>CDE-O088</t>
        </is>
      </c>
    </row>
    <row r="90" ht="15" customHeight="1" s="6">
      <c r="A90" s="5" t="inlineStr">
        <is>
          <t>OP-PRC-002</t>
        </is>
      </c>
      <c r="B90" s="5" t="inlineStr">
        <is>
          <t>CDE-O089</t>
        </is>
      </c>
    </row>
    <row r="91" ht="15" customHeight="1" s="6">
      <c r="A91" s="5" t="inlineStr">
        <is>
          <t>OP-FAC-001</t>
        </is>
      </c>
      <c r="B91" s="5" t="inlineStr">
        <is>
          <t>CDE-O090</t>
        </is>
      </c>
    </row>
    <row r="92" ht="15" customHeight="1" s="6">
      <c r="A92" s="5" t="inlineStr">
        <is>
          <t>OP-FAC-003</t>
        </is>
      </c>
      <c r="B92" s="5" t="inlineStr">
        <is>
          <t>CDE-O091</t>
        </is>
      </c>
    </row>
    <row r="93" ht="15" customHeight="1" s="6">
      <c r="A93" s="5" t="inlineStr">
        <is>
          <t>OP-UTL-002</t>
        </is>
      </c>
      <c r="B93" s="5" t="inlineStr">
        <is>
          <t>CDE-O092</t>
        </is>
      </c>
    </row>
    <row r="94" ht="15" customHeight="1" s="6">
      <c r="A94" s="5" t="inlineStr">
        <is>
          <t>OP-MNT-004</t>
        </is>
      </c>
      <c r="B94" s="5" t="inlineStr">
        <is>
          <t>CDE-O093</t>
        </is>
      </c>
    </row>
    <row r="95" ht="15" customHeight="1" s="6">
      <c r="A95" s="5" t="inlineStr">
        <is>
          <t>OP-UTL-003</t>
        </is>
      </c>
      <c r="B95" s="5" t="inlineStr">
        <is>
          <t>CDE-O094</t>
        </is>
      </c>
    </row>
    <row r="96" ht="15" customHeight="1" s="6">
      <c r="A96" s="5" t="inlineStr">
        <is>
          <t>OP-PRC-001</t>
        </is>
      </c>
      <c r="B96" s="5" t="inlineStr">
        <is>
          <t>CDE-O095</t>
        </is>
      </c>
    </row>
    <row r="97" ht="15" customHeight="1" s="6">
      <c r="A97" s="5" t="inlineStr">
        <is>
          <t>OP-CST-001</t>
        </is>
      </c>
      <c r="B97" s="5" t="inlineStr">
        <is>
          <t>CDE-O096</t>
        </is>
      </c>
    </row>
    <row r="98" ht="15" customHeight="1" s="6">
      <c r="A98" s="5" t="inlineStr">
        <is>
          <t>OP-FAC-001</t>
        </is>
      </c>
      <c r="B98" s="5" t="inlineStr">
        <is>
          <t>CDE-O097</t>
        </is>
      </c>
    </row>
    <row r="99" ht="15" customHeight="1" s="6">
      <c r="A99" s="5" t="inlineStr">
        <is>
          <t>OP-MNT-002</t>
        </is>
      </c>
      <c r="B99" s="5" t="inlineStr">
        <is>
          <t>CDE-O098</t>
        </is>
      </c>
    </row>
    <row r="100" ht="15" customHeight="1" s="6">
      <c r="A100" s="5" t="inlineStr">
        <is>
          <t>OP-MNT-002</t>
        </is>
      </c>
      <c r="B100" s="5" t="inlineStr">
        <is>
          <t>CDE-O099</t>
        </is>
      </c>
    </row>
    <row r="101" ht="15" customHeight="1" s="6">
      <c r="A101" s="5" t="inlineStr">
        <is>
          <t>OP-FAC-002</t>
        </is>
      </c>
      <c r="B101" s="5" t="inlineStr">
        <is>
          <t>CDE-O100</t>
        </is>
      </c>
    </row>
    <row r="102" ht="15" customHeight="1" s="6">
      <c r="A102" s="5" t="inlineStr">
        <is>
          <t>OP-UTL-001</t>
        </is>
      </c>
      <c r="B102" s="5" t="inlineStr">
        <is>
          <t>CDE-O101</t>
        </is>
      </c>
    </row>
    <row r="103" ht="15" customHeight="1" s="6">
      <c r="A103" s="5" t="inlineStr">
        <is>
          <t>OP-PRC-002</t>
        </is>
      </c>
      <c r="B103" s="5" t="inlineStr">
        <is>
          <t>CDE-O102</t>
        </is>
      </c>
    </row>
    <row r="104" ht="15" customHeight="1" s="6">
      <c r="A104" s="5" t="inlineStr">
        <is>
          <t>OP-MNT-001</t>
        </is>
      </c>
      <c r="B104" s="5" t="inlineStr">
        <is>
          <t>CDE-O103</t>
        </is>
      </c>
    </row>
    <row r="105" ht="15" customHeight="1" s="6">
      <c r="A105" s="5" t="inlineStr">
        <is>
          <t>OP-MNT-003</t>
        </is>
      </c>
      <c r="B105" s="5" t="inlineStr">
        <is>
          <t>CDE-O104</t>
        </is>
      </c>
    </row>
    <row r="106" ht="15" customHeight="1" s="6">
      <c r="A106" s="5" t="inlineStr">
        <is>
          <t>OP-FAC-001</t>
        </is>
      </c>
      <c r="B106" s="5" t="inlineStr">
        <is>
          <t>CDE-O105</t>
        </is>
      </c>
    </row>
    <row r="107" ht="15" customHeight="1" s="6">
      <c r="A107" s="5" t="inlineStr">
        <is>
          <t>OP-UTL-004</t>
        </is>
      </c>
      <c r="B107" s="5" t="inlineStr">
        <is>
          <t>CDE-O106</t>
        </is>
      </c>
    </row>
    <row r="108" ht="15" customHeight="1" s="6">
      <c r="A108" s="5" t="inlineStr">
        <is>
          <t>OP-ENG-001</t>
        </is>
      </c>
      <c r="B108" s="5" t="inlineStr">
        <is>
          <t>CDE-O107</t>
        </is>
      </c>
    </row>
    <row r="109" ht="15" customHeight="1" s="6">
      <c r="A109" s="5" t="inlineStr">
        <is>
          <t>OP-CST-001</t>
        </is>
      </c>
      <c r="B109" s="5" t="inlineStr">
        <is>
          <t>CDE-O108</t>
        </is>
      </c>
    </row>
    <row r="110" ht="15" customHeight="1" s="6">
      <c r="A110" s="5" t="inlineStr">
        <is>
          <t>OP-DWN-001</t>
        </is>
      </c>
      <c r="B110" s="5" t="inlineStr">
        <is>
          <t>CDE-O109</t>
        </is>
      </c>
    </row>
    <row r="111" ht="15" customHeight="1" s="6">
      <c r="A111" s="5" t="inlineStr">
        <is>
          <t>OP-MNT-004</t>
        </is>
      </c>
      <c r="B111" s="5" t="inlineStr">
        <is>
          <t>CDE-O110</t>
        </is>
      </c>
    </row>
    <row r="112" ht="15" customHeight="1" s="6">
      <c r="A112" s="5" t="inlineStr">
        <is>
          <t>OP-UTL-003</t>
        </is>
      </c>
      <c r="B112" s="5" t="inlineStr">
        <is>
          <t>CDE-O111</t>
        </is>
      </c>
    </row>
    <row r="113" ht="15" customHeight="1" s="6">
      <c r="A113" s="5" t="inlineStr">
        <is>
          <t>OP-FAC-001</t>
        </is>
      </c>
      <c r="B113" s="5" t="inlineStr">
        <is>
          <t>CDE-O112</t>
        </is>
      </c>
    </row>
    <row r="114" ht="15" customHeight="1" s="6">
      <c r="A114" s="5" t="inlineStr">
        <is>
          <t>OP-UTL-004</t>
        </is>
      </c>
      <c r="B114" s="5" t="inlineStr">
        <is>
          <t>CDE-O113</t>
        </is>
      </c>
    </row>
    <row r="115" ht="15" customHeight="1" s="6">
      <c r="A115" s="5" t="inlineStr">
        <is>
          <t>OP-DWN-002</t>
        </is>
      </c>
      <c r="B115" s="5" t="inlineStr">
        <is>
          <t>CDE-O114</t>
        </is>
      </c>
    </row>
    <row r="116" ht="15" customHeight="1" s="6">
      <c r="A116" s="5" t="inlineStr">
        <is>
          <t>OP-MNT-001</t>
        </is>
      </c>
      <c r="B116" s="5" t="inlineStr">
        <is>
          <t>CDE-O115</t>
        </is>
      </c>
    </row>
    <row r="117" ht="15" customHeight="1" s="6">
      <c r="A117" s="5" t="inlineStr">
        <is>
          <t>OP-PRC-002</t>
        </is>
      </c>
      <c r="B117" s="5" t="inlineStr">
        <is>
          <t>CDE-O116</t>
        </is>
      </c>
    </row>
    <row r="118" ht="15" customHeight="1" s="6">
      <c r="A118" s="5" t="inlineStr">
        <is>
          <t>OP-PRC-001</t>
        </is>
      </c>
      <c r="B118" s="5" t="inlineStr">
        <is>
          <t>CDE-O117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 min="1" max="1"/>
    <col width="27" customWidth="1" style="5" min="2" max="2"/>
    <col width="46" customWidth="1" style="5" min="3" max="3"/>
    <col width="55" customWidth="1" style="5" min="4" max="4"/>
  </cols>
  <sheetData>
    <row r="1" ht="15" customHeight="1" s="6">
      <c r="A1" s="7" t="inlineStr">
        <is>
          <t>Evidence Source</t>
        </is>
      </c>
      <c r="B1" s="7" t="inlineStr">
        <is>
          <t>Reliability Weight (0-1)</t>
        </is>
      </c>
      <c r="C1" s="7" t="inlineStr">
        <is>
          <t>Freshness Decay (months to half-confidence)</t>
        </is>
      </c>
      <c r="D1" s="7" t="inlineStr">
        <is>
          <t>Applicable CDE Pattern</t>
        </is>
      </c>
    </row>
    <row r="2" ht="15" customHeight="1" s="6">
      <c r="A2" s="8" t="inlineStr">
        <is>
          <t>Finance / ERP System (SAP S/4HANA, Oracle Fusion, NetSuite)</t>
        </is>
      </c>
      <c r="B2" s="8" t="n">
        <v>0.92</v>
      </c>
      <c r="C2" s="8" t="n">
        <v>3</v>
      </c>
      <c r="D2" s="8" t="inlineStr">
        <is>
          <t>Operational cost breakdown, unit cost, energy/water cost, maintenance cost</t>
        </is>
      </c>
    </row>
    <row r="3" ht="15" customHeight="1" s="6">
      <c r="A3" s="8" t="inlineStr">
        <is>
          <t>User Validation</t>
        </is>
      </c>
      <c r="B3" s="8" t="n">
        <v>0.8100000000000001</v>
      </c>
      <c r="C3" s="8" t="n">
        <v>12</v>
      </c>
      <c r="D3" s="8" t="inlineStr">
        <is>
          <t>Facility operational facts, process methodology, OT/automation deployment not otherwise discoverable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Confidence Range</t>
        </is>
      </c>
      <c r="B1" s="7" t="inlineStr">
        <is>
          <t>Meaning</t>
        </is>
      </c>
      <c r="C1" s="7" t="inlineStr">
        <is>
          <t>Required Action</t>
        </is>
      </c>
    </row>
    <row r="2" ht="15" customHeight="1" s="6">
      <c r="A2" s="8" t="n">
        <v>90</v>
      </c>
      <c r="B2" s="8" t="inlineStr">
        <is>
          <t>Verified</t>
        </is>
      </c>
      <c r="C2" s="8" t="inlineStr">
        <is>
          <t>None — display as fact</t>
        </is>
      </c>
    </row>
    <row r="3" ht="15" customHeight="1" s="6">
      <c r="A3" s="8" t="n">
        <v>75</v>
      </c>
      <c r="B3" s="8" t="inlineStr">
        <is>
          <t>High Confidence</t>
        </is>
      </c>
      <c r="C3" s="8" t="inlineStr">
        <is>
          <t>Display with confidence badge; periodic re-validation</t>
        </is>
      </c>
    </row>
    <row r="4" ht="15" customHeight="1" s="6">
      <c r="A4" s="8" t="n">
        <v>60</v>
      </c>
      <c r="B4" s="8" t="inlineStr">
        <is>
          <t>Medium Confidence</t>
        </is>
      </c>
      <c r="C4" s="8" t="inlineStr">
        <is>
          <t>Flag for Validate step — ask user to confirm</t>
        </is>
      </c>
    </row>
    <row r="5" ht="15" customHeight="1" s="6">
      <c r="A5" s="8" t="n">
        <v>0</v>
      </c>
      <c r="B5" s="8" t="inlineStr">
        <is>
          <t>Needs Validation</t>
        </is>
      </c>
      <c r="C5" s="8" t="inlineStr">
        <is>
          <t>Trigger Ask step — block until resolved or explicitly accepted as estimate</t>
        </is>
      </c>
    </row>
    <row r="6" ht="15" customHeight="1" s="6">
      <c r="A6" s="8" t="n"/>
      <c r="B6" s="8" t="n"/>
      <c r="C6" s="8" t="n"/>
    </row>
    <row r="7" ht="15" customHeight="1" s="6">
      <c r="A7" s="8" t="inlineStr">
        <is>
          <t>Weight Component</t>
        </is>
      </c>
      <c r="B7" s="8" t="inlineStr">
        <is>
          <t>Weight</t>
        </is>
      </c>
      <c r="C7" s="8" t="inlineStr">
        <is>
          <t>Source</t>
        </is>
      </c>
    </row>
    <row r="8" ht="15" customHeight="1" s="6">
      <c r="A8" s="8" t="inlineStr">
        <is>
          <t>Source Reliability Weight</t>
        </is>
      </c>
      <c r="B8" s="8" t="n">
        <v>0.4</v>
      </c>
      <c r="C8" s="8" t="inlineStr">
        <is>
          <t>05_Evidence_Catalog (Reliability Weight column)</t>
        </is>
      </c>
    </row>
    <row r="9" ht="15" customHeight="1" s="6">
      <c r="A9" s="8" t="inlineStr">
        <is>
          <t>Freshness Factor</t>
        </is>
      </c>
      <c r="B9" s="8" t="n">
        <v>0.25</v>
      </c>
      <c r="C9" s="8" t="inlineStr">
        <is>
          <t>1 - (months_since_capture / Freshness Decay), floor 0</t>
        </is>
      </c>
    </row>
    <row r="10" ht="15" customHeight="1" s="6">
      <c r="A10" s="8" t="inlineStr">
        <is>
          <t>Corroboration Factor</t>
        </is>
      </c>
      <c r="B10" s="8" t="n">
        <v>0.2</v>
      </c>
      <c r="C10" s="8" t="inlineStr">
        <is>
          <t>+0.5 per independent confirming source, capped at 2 sources (max 1.0)</t>
        </is>
      </c>
    </row>
    <row r="11" ht="15" customHeight="1" s="6">
      <c r="A11" s="8" t="inlineStr">
        <is>
          <t>Completeness Factor</t>
        </is>
      </c>
      <c r="B11" s="8" t="n">
        <v>0.15</v>
      </c>
      <c r="C11" s="8" t="inlineStr">
        <is>
          <t>% of Required CDEs populated for the parent BQ</t>
        </is>
      </c>
    </row>
    <row r="12" ht="15" customHeight="1" s="6">
      <c r="A12" s="8" t="n"/>
      <c r="B12" s="8" t="n"/>
      <c r="C12" s="8" t="n"/>
    </row>
    <row r="13" ht="15" customHeight="1" s="6">
      <c r="A13" s="8" t="inlineStr">
        <is>
          <t>CONFIDENCE SCORE CALCULATOR — worked example (live formulas)</t>
        </is>
      </c>
      <c r="B13" s="8" t="n"/>
      <c r="C13" s="8" t="n"/>
    </row>
    <row r="14" ht="15" customHeight="1" s="6">
      <c r="A14" s="8" t="inlineStr">
        <is>
          <t>Evidence Source used</t>
        </is>
      </c>
      <c r="B14" s="8" t="inlineStr">
        <is>
          <t>User Validation</t>
        </is>
      </c>
      <c r="C14" s="8" t="n"/>
    </row>
    <row r="15" ht="15" customHeight="1" s="6">
      <c r="A15" s="8" t="inlineStr">
        <is>
          <t>Source Reliability Weight (0-1)</t>
        </is>
      </c>
      <c r="B15" s="8">
        <f>VLOOKUP(B14,05_Evidence_Catalog!A:B,2,FALSE())</f>
        <v/>
      </c>
      <c r="C15" s="8" t="inlineStr">
        <is>
          <t>editable formula</t>
        </is>
      </c>
    </row>
    <row r="16" ht="15" customHeight="1" s="6">
      <c r="A16" s="8" t="inlineStr">
        <is>
          <t>Months since capture</t>
        </is>
      </c>
      <c r="B16" s="8" t="n">
        <v>4</v>
      </c>
      <c r="C16" s="8" t="inlineStr">
        <is>
          <t>editable input</t>
        </is>
      </c>
    </row>
    <row r="17" ht="15" customHeight="1" s="6">
      <c r="A17" s="8" t="inlineStr">
        <is>
          <t>Freshness Decay (months, from source)</t>
        </is>
      </c>
      <c r="B17" s="8">
        <f>VLOOKUP(B14,05_Evidence_Catalog!A:C,3,FALSE())</f>
        <v/>
      </c>
      <c r="C17" s="8" t="inlineStr">
        <is>
          <t>editable formula</t>
        </is>
      </c>
    </row>
    <row r="18" ht="15" customHeight="1" s="6">
      <c r="A18" s="8" t="inlineStr">
        <is>
          <t>Freshness Factor (0-1, floored)</t>
        </is>
      </c>
      <c r="B18" s="8">
        <f>MAX(0,1-(B16/B17))</f>
        <v/>
      </c>
      <c r="C18" s="8" t="inlineStr">
        <is>
          <t>editable formula</t>
        </is>
      </c>
    </row>
    <row r="19" ht="15" customHeight="1" s="6">
      <c r="A19" s="8" t="inlineStr">
        <is>
          <t>Independent corroborating sources (0,1,2+)</t>
        </is>
      </c>
      <c r="B19" s="8" t="n">
        <v>1</v>
      </c>
      <c r="C19" s="8" t="inlineStr">
        <is>
          <t>editable input</t>
        </is>
      </c>
    </row>
    <row r="20" ht="15" customHeight="1" s="6">
      <c r="A20" s="8" t="inlineStr">
        <is>
          <t>Corroboration Factor (0-1)</t>
        </is>
      </c>
      <c r="B20" s="8">
        <f>MIN(1,B19*0.5)</f>
        <v/>
      </c>
      <c r="C20" s="8" t="inlineStr">
        <is>
          <t>editable formula</t>
        </is>
      </c>
    </row>
    <row r="21" ht="15" customHeight="1" s="6">
      <c r="A21" s="8" t="inlineStr">
        <is>
          <t>Required CDEs for parent BQ</t>
        </is>
      </c>
      <c r="B21" s="8" t="n">
        <v>3</v>
      </c>
      <c r="C21" s="8" t="inlineStr">
        <is>
          <t>editable input</t>
        </is>
      </c>
    </row>
    <row r="22" ht="15" customHeight="1" s="6">
      <c r="A22" s="8" t="inlineStr">
        <is>
          <t>Required CDEs populated</t>
        </is>
      </c>
      <c r="B22" s="8" t="n">
        <v>3</v>
      </c>
      <c r="C22" s="8" t="inlineStr">
        <is>
          <t>editable input</t>
        </is>
      </c>
    </row>
    <row r="23" ht="15" customHeight="1" s="6">
      <c r="A23" s="8" t="inlineStr">
        <is>
          <t>Completeness Factor (0-1)</t>
        </is>
      </c>
      <c r="B23" s="8">
        <f>B22/B21</f>
        <v/>
      </c>
      <c r="C23" s="8" t="inlineStr">
        <is>
          <t>editable formula</t>
        </is>
      </c>
    </row>
    <row r="24" ht="15" customHeight="1" s="6">
      <c r="A24" s="8" t="inlineStr">
        <is>
          <t>CONFIDENCE SCORE (0-100)</t>
        </is>
      </c>
      <c r="B24" s="8">
        <f>ROUND((B15*0.4+B18*0.25+B20*0.2+B23*0.15)*100,0)</f>
        <v/>
      </c>
      <c r="C24" s="8" t="inlineStr">
        <is>
          <t>editable formula</t>
        </is>
      </c>
    </row>
    <row r="25" ht="15" customHeight="1" s="6">
      <c r="A25" s="8" t="inlineStr">
        <is>
          <t>Resulting Band</t>
        </is>
      </c>
      <c r="B25" s="8">
        <f>IF(B24&gt;=90,"Verified",IF(B24&gt;=75,"High Confidence",IF(B24&gt;=60,"Medium Confidence","Needs Validation")))</f>
        <v/>
      </c>
      <c r="C25" s="8"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1"/>
    <col width="48" customWidth="1" style="5" min="2" max="2"/>
    <col width="33" customWidth="1" style="5" min="3" max="3"/>
    <col width="35" customWidth="1" style="5" min="4" max="4"/>
  </cols>
  <sheetData>
    <row r="1" ht="15" customHeight="1" s="6">
      <c r="A1" s="7" t="inlineStr">
        <is>
          <t>Intelligence Area</t>
        </is>
      </c>
      <c r="B1" s="7" t="inlineStr">
        <is>
          <t>Owner</t>
        </is>
      </c>
      <c r="C1" s="7" t="inlineStr">
        <is>
          <t>Validation SLA (business days)</t>
        </is>
      </c>
      <c r="D1" s="7" t="inlineStr">
        <is>
          <t>Escalation Owner (if SLA missed)</t>
        </is>
      </c>
    </row>
    <row r="2" ht="15" customHeight="1" s="6">
      <c r="A2" s="8" t="inlineStr">
        <is>
          <t>Facility Portfolio &amp; Capacity</t>
        </is>
      </c>
      <c r="B2" s="8" t="inlineStr">
        <is>
          <t>COO / Head of Facilities</t>
        </is>
      </c>
      <c r="C2" s="8" t="n">
        <v>5</v>
      </c>
      <c r="D2" s="8" t="inlineStr">
        <is>
          <t>CFO</t>
        </is>
      </c>
    </row>
    <row r="3" ht="15" customHeight="1" s="6">
      <c r="A3" s="8" t="inlineStr">
        <is>
          <t>Capacity Utilization &amp; Throughput</t>
        </is>
      </c>
      <c r="B3" s="8" t="inlineStr">
        <is>
          <t>Head of Operations</t>
        </is>
      </c>
      <c r="C3" s="8" t="n">
        <v>5</v>
      </c>
      <c r="D3" s="8" t="inlineStr">
        <is>
          <t>COO</t>
        </is>
      </c>
    </row>
    <row r="4" ht="15" customHeight="1" s="6">
      <c r="A4" s="8" t="inlineStr">
        <is>
          <t>Production Process &amp; Quality</t>
        </is>
      </c>
      <c r="B4" s="8" t="inlineStr">
        <is>
          <t>Head of Quality / Head of Operations</t>
        </is>
      </c>
      <c r="C4" s="8" t="n">
        <v>5</v>
      </c>
      <c r="D4" s="8" t="inlineStr">
        <is>
          <t>COO</t>
        </is>
      </c>
    </row>
    <row r="5" ht="15" customHeight="1" s="6">
      <c r="A5" s="8" t="inlineStr">
        <is>
          <t>Equipment &amp; Asset Maintenance</t>
        </is>
      </c>
      <c r="B5" s="8" t="inlineStr">
        <is>
          <t>Head of Facilities / HSE</t>
        </is>
      </c>
      <c r="C5" s="8" t="n">
        <v>5</v>
      </c>
      <c r="D5" s="8" t="inlineStr">
        <is>
          <t>COO</t>
        </is>
      </c>
    </row>
    <row r="6" ht="15" customHeight="1" s="6">
      <c r="A6" s="8" t="inlineStr">
        <is>
          <t>Operational Downtime &amp; Disruption</t>
        </is>
      </c>
      <c r="B6" s="8" t="inlineStr">
        <is>
          <t>Head of Operations</t>
        </is>
      </c>
      <c r="C6" s="8" t="n">
        <v>5</v>
      </c>
      <c r="D6" s="8" t="inlineStr">
        <is>
          <t>COO</t>
        </is>
      </c>
    </row>
    <row r="7" ht="15" customHeight="1" s="6">
      <c r="A7" s="8" t="inlineStr">
        <is>
          <t>Production Dependencies &amp; Single Points of Failure</t>
        </is>
      </c>
      <c r="B7" s="8" t="inlineStr">
        <is>
          <t>Head of Operations / Business Continuity Lead</t>
        </is>
      </c>
      <c r="C7" s="8" t="n">
        <v>5</v>
      </c>
      <c r="D7" s="8" t="inlineStr">
        <is>
          <t>COO</t>
        </is>
      </c>
    </row>
    <row r="8" ht="15" customHeight="1" s="6">
      <c r="A8" s="8" t="inlineStr">
        <is>
          <t>Operational Cost Structure</t>
        </is>
      </c>
      <c r="B8" s="8" t="inlineStr">
        <is>
          <t>CFO / Head of Operations</t>
        </is>
      </c>
      <c r="C8" s="8" t="n">
        <v>5</v>
      </c>
      <c r="D8" s="8" t="inlineStr">
        <is>
          <t>CFO</t>
        </is>
      </c>
    </row>
    <row r="9" ht="15" customHeight="1" s="6">
      <c r="A9" s="8" t="inlineStr">
        <is>
          <t>Energy &amp; Resource Efficiency (Operational-Cost Lens)</t>
        </is>
      </c>
      <c r="B9" s="8" t="inlineStr">
        <is>
          <t>Head of Facilities / CFO</t>
        </is>
      </c>
      <c r="C9" s="8" t="n">
        <v>5</v>
      </c>
      <c r="D9" s="8" t="inlineStr">
        <is>
          <t>COO</t>
        </is>
      </c>
    </row>
    <row r="10" ht="15" customHeight="1" s="6">
      <c r="A10" s="8" t="inlineStr">
        <is>
          <t>Operational Technology &amp; Automation</t>
        </is>
      </c>
      <c r="B10" s="8" t="inlineStr">
        <is>
          <t>Head of Operations / CIO</t>
        </is>
      </c>
      <c r="C10" s="8" t="n">
        <v>5</v>
      </c>
      <c r="D10" s="8" t="inlineStr">
        <is>
          <t>COO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5"/>
  </cols>
  <sheetData>
    <row r="1" ht="15" customHeight="1" s="6">
      <c r="A1" s="7" t="inlineStr">
        <is>
          <t>Pattern</t>
        </is>
      </c>
      <c r="B1" s="7" t="inlineStr">
        <is>
          <t>Discover</t>
        </is>
      </c>
      <c r="C1" s="7" t="inlineStr">
        <is>
          <t>Infer</t>
        </is>
      </c>
      <c r="D1" s="7" t="inlineStr">
        <is>
          <t>Validate</t>
        </is>
      </c>
      <c r="E1" s="7" t="inlineStr">
        <is>
          <t>Ask</t>
        </is>
      </c>
    </row>
    <row r="2" ht="15" customHeight="1" s="6">
      <c r="A2" s="8" t="inlineStr">
        <is>
          <t>Text, One-to-one, Universal/Multi</t>
        </is>
      </c>
      <c r="B2" s="8" t="inlineStr">
        <is>
          <t>Parse from internal operations reports/User Validation</t>
        </is>
      </c>
      <c r="C2" s="8" t="inlineStr">
        <is>
          <t>If found in 1 source only, infer from prior-period report as secondary</t>
        </is>
      </c>
      <c r="D2" s="8" t="inlineStr">
        <is>
          <t>Ask user to confirm if confidence 60-89</t>
        </is>
      </c>
      <c r="E2" s="8" t="inlineStr">
        <is>
          <t>Ask outright only if confidence &lt;60 after Discover+Infer</t>
        </is>
      </c>
    </row>
    <row r="3" ht="15" customHeight="1" s="6">
      <c r="A3" s="8" t="inlineStr">
        <is>
          <t>Numeric, cost/efficiency figures, One-to-one</t>
        </is>
      </c>
      <c r="B3" s="8" t="inlineStr">
        <is>
          <t>Parse directly from Finance/ERP</t>
        </is>
      </c>
      <c r="C3" s="8" t="inlineStr">
        <is>
          <t>Infer from prior-period figure with stated trend assumption if current period unavailable</t>
        </is>
      </c>
      <c r="D3" s="8" t="inlineStr">
        <is>
          <t>Ask user to confirm if multiple sources disagree by &gt;5%</t>
        </is>
      </c>
      <c r="E3" s="8" t="inlineStr">
        <is>
          <t>Ask outright if no source provides any number</t>
        </is>
      </c>
    </row>
    <row r="4" ht="15" customHeight="1" s="6">
      <c r="A4" s="8" t="inlineStr">
        <is>
          <t>Text/Numeric, One-to-many (e.g. per-facility, per-event)</t>
        </is>
      </c>
      <c r="B4" s="8" t="inlineStr">
        <is>
          <t>Parse tabular sections of operations reports/facility management system exports</t>
        </is>
      </c>
      <c r="C4" s="8" t="inlineStr">
        <is>
          <t>Cross-reference Finance/ERP for items not in primary source</t>
        </is>
      </c>
      <c r="D4" s="8" t="inlineStr">
        <is>
          <t>Ask user to confirm completeness of the list</t>
        </is>
      </c>
      <c r="E4" s="8" t="inlineStr">
        <is>
          <t>Ask user to supply missing entries if Discover yields zero rows</t>
        </is>
      </c>
    </row>
    <row r="5" ht="15" customHeight="1" s="6">
      <c r="A5" s="8" t="inlineStr">
        <is>
          <t>Date</t>
        </is>
      </c>
      <c r="B5" s="8" t="inlineStr">
        <is>
          <t>Parse from operations report metadata or maintenance system date field</t>
        </is>
      </c>
      <c r="C5" s="8" t="inlineStr">
        <is>
          <t>Infer from stated operational calendar if exact date not given</t>
        </is>
      </c>
      <c r="D5" s="8" t="inlineStr">
        <is>
          <t>Ask user to confirm if inferred</t>
        </is>
      </c>
      <c r="E5" s="8" t="inlineStr">
        <is>
          <t>Ask outright if no source provides a date</t>
        </is>
      </c>
    </row>
    <row r="6" ht="15" customHeight="1" s="6">
      <c r="A6" s="8" t="inlineStr">
        <is>
          <t>Boolean (tri-state)</t>
        </is>
      </c>
      <c r="B6" s="8" t="inlineStr">
        <is>
          <t>Parse explicit Yes/No statement from operations reports</t>
        </is>
      </c>
      <c r="C6" s="8" t="inlineStr">
        <is>
          <t>Infer False if condition is absent across all sources after 2 independent checks</t>
        </is>
      </c>
      <c r="D6" s="8" t="inlineStr">
        <is>
          <t>Ask user to confirm an inferred False (never auto-finalize an inferred negative)</t>
        </is>
      </c>
      <c r="E6" s="8" t="inlineStr">
        <is>
          <t>Ask outright if neither Discover nor Infer can resolve</t>
        </is>
      </c>
    </row>
    <row r="7" ht="15" customHeight="1" s="6">
      <c r="A7" s="8" t="inlineStr">
        <is>
          <t>Framework-Specific / Optional Criticality</t>
        </is>
      </c>
      <c r="B7" s="8" t="inlineStr">
        <is>
          <t>Discover only from named operational disclosure if one exists</t>
        </is>
      </c>
      <c r="C7" s="8" t="inlineStr">
        <is>
          <t>Skip Infer — not worth estimating</t>
        </is>
      </c>
      <c r="D7" s="8" t="inlineStr">
        <is>
          <t>Skip Validate — not worth user time unless Framework selected</t>
        </is>
      </c>
      <c r="E7" s="8"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5" min="1" max="1"/>
    <col width="27" customWidth="1" style="5" min="2" max="2"/>
    <col width="55" customWidth="1" style="5" min="3" max="3"/>
    <col width="15" customWidth="1" style="5" min="4" max="4"/>
  </cols>
  <sheetData>
    <row r="1" ht="15" customHeight="1" s="6">
      <c r="A1" s="7" t="inlineStr">
        <is>
          <t>Framework</t>
        </is>
      </c>
      <c r="B1" s="7" t="inlineStr">
        <is>
          <t>Disclosure / Question ID</t>
        </is>
      </c>
      <c r="C1" s="7" t="inlineStr">
        <is>
          <t>Disclosure / Question Text</t>
        </is>
      </c>
      <c r="D1" s="7" t="inlineStr">
        <is>
          <t>Mapped BQ ID</t>
        </is>
      </c>
    </row>
    <row r="2" ht="15" customHeight="1" s="6">
      <c r="A2" s="8" t="inlineStr">
        <is>
          <t>ISO 14001:2026</t>
        </is>
      </c>
      <c r="B2" s="8" t="inlineStr">
        <is>
          <t>Clause 6.1</t>
        </is>
      </c>
      <c r="C2" s="8" t="inlineStr">
        <is>
          <t>Environmental management aligned with strategic direction (verified: published 15 April 2026, currently in force)</t>
        </is>
      </c>
      <c r="D2" s="8" t="inlineStr">
        <is>
          <t>OP-FAC-004</t>
        </is>
      </c>
    </row>
    <row r="3" ht="15" customHeight="1" s="6">
      <c r="A3" s="8" t="inlineStr">
        <is>
          <t>ISO 9001:2015</t>
        </is>
      </c>
      <c r="B3" s="8" t="inlineStr">
        <is>
          <t>Clause 8.5</t>
        </is>
      </c>
      <c r="C3" s="8" t="inlineStr">
        <is>
          <t>Production and service provision control</t>
        </is>
      </c>
      <c r="D3" s="8" t="inlineStr">
        <is>
          <t>OP-PRC-002</t>
        </is>
      </c>
    </row>
    <row r="4" ht="15" customHeight="1" s="6">
      <c r="A4" s="8" t="inlineStr">
        <is>
          <t>ISO 45001:2018</t>
        </is>
      </c>
      <c r="B4" s="8" t="inlineStr">
        <is>
          <t>Clause 8.1.1</t>
        </is>
      </c>
      <c r="C4" s="8" t="inlineStr">
        <is>
          <t>Operational planning and control for OH&amp;S</t>
        </is>
      </c>
      <c r="D4" s="8" t="inlineStr">
        <is>
          <t>OP-MNT-003</t>
        </is>
      </c>
    </row>
    <row r="5" ht="15" customHeight="1" s="6">
      <c r="A5" s="8" t="inlineStr">
        <is>
          <t>GRI</t>
        </is>
      </c>
      <c r="B5" s="8" t="inlineStr">
        <is>
          <t>GRI 301-1</t>
        </is>
      </c>
      <c r="C5" s="8" t="inlineStr">
        <is>
          <t>Materials used by weight or volume (operational efficiency framing)</t>
        </is>
      </c>
      <c r="D5" s="8" t="inlineStr">
        <is>
          <t>OP-CST-001</t>
        </is>
      </c>
    </row>
    <row r="6" ht="15" customHeight="1" s="6">
      <c r="A6" s="8" t="inlineStr">
        <is>
          <t>GRI</t>
        </is>
      </c>
      <c r="B6" s="8" t="inlineStr">
        <is>
          <t>GRI 302-4</t>
        </is>
      </c>
      <c r="C6" s="8" t="inlineStr">
        <is>
          <t>Reduction of energy consumption (operational efficiency framing)</t>
        </is>
      </c>
      <c r="D6" s="8" t="inlineStr">
        <is>
          <t>OP-ENG-001</t>
        </is>
      </c>
    </row>
    <row r="7" ht="15" customHeight="1" s="6">
      <c r="A7" s="5" t="inlineStr">
        <is>
          <t>ISO 14001:2026</t>
        </is>
      </c>
      <c r="B7" s="5" t="inlineStr">
        <is>
          <t>Clause 6.3</t>
        </is>
      </c>
      <c r="C7" s="5" t="inlineStr">
        <is>
          <t>Planning of changes to operations affecting environmental aspects (NEW in 2026 revision)</t>
        </is>
      </c>
      <c r="D7" s="5" t="inlineStr">
        <is>
          <t>OP-UTL-004</t>
        </is>
      </c>
    </row>
    <row r="8" ht="15" customHeight="1" s="6">
      <c r="A8" s="5" t="inlineStr">
        <is>
          <t>ISO 14001:2026</t>
        </is>
      </c>
      <c r="B8" s="5" t="inlineStr">
        <is>
          <t>Clause 8.2</t>
        </is>
      </c>
      <c r="C8" s="5" t="inlineStr">
        <is>
          <t>Environmental emergency preparedness and response</t>
        </is>
      </c>
      <c r="D8" s="5" t="inlineStr">
        <is>
          <t>OP-DWN-002</t>
        </is>
      </c>
    </row>
    <row r="9" ht="15" customHeight="1" s="6">
      <c r="A9" s="5" t="inlineStr">
        <is>
          <t>ISO 14001:2026</t>
        </is>
      </c>
      <c r="B9" s="5" t="inlineStr">
        <is>
          <t>Clause 7.2</t>
        </is>
      </c>
      <c r="C9" s="5" t="inlineStr">
        <is>
          <t>Competence requirements for environmentally-significant roles</t>
        </is>
      </c>
      <c r="D9" s="5" t="inlineStr">
        <is>
          <t>OP-MNT-001</t>
        </is>
      </c>
    </row>
    <row r="10" ht="15" customHeight="1" s="6">
      <c r="A10" s="5" t="inlineStr">
        <is>
          <t>ISO 14001:2026</t>
        </is>
      </c>
      <c r="B10" s="5" t="inlineStr">
        <is>
          <t>Clause 9.1</t>
        </is>
      </c>
      <c r="C10" s="5" t="inlineStr">
        <is>
          <t>Systematic environmental compliance evaluation process</t>
        </is>
      </c>
      <c r="D10" s="5" t="inlineStr">
        <is>
          <t>OP-PRC-002</t>
        </is>
      </c>
    </row>
    <row r="11" ht="15" customHeight="1" s="6">
      <c r="A11" s="5" t="inlineStr">
        <is>
          <t>ISO 14001:2026</t>
        </is>
      </c>
      <c r="B11" s="5" t="inlineStr">
        <is>
          <t>Clause 8.1</t>
        </is>
      </c>
      <c r="C11" s="5" t="inlineStr">
        <is>
          <t>Lifecycle perspective applied to operational controls</t>
        </is>
      </c>
      <c r="D11" s="5" t="inlineStr">
        <is>
          <t>OP-PRC-001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Executive Role</t>
        </is>
      </c>
      <c r="B1" s="5" t="inlineStr">
        <is>
          <t>Priority Intelligence Question</t>
        </is>
      </c>
      <c r="C1" s="5" t="inlineStr">
        <is>
          <t>Current Signal</t>
        </is>
      </c>
      <c r="D1" s="5" t="inlineStr">
        <is>
          <t>Decision Required</t>
        </is>
      </c>
    </row>
    <row r="2">
      <c r="A2" s="5" t="inlineStr">
        <is>
          <t>CEO</t>
        </is>
      </c>
      <c r="B2" s="5" t="inlineStr">
        <is>
          <t>Is our Operational Intelligence posture creating or destroying value?</t>
        </is>
      </c>
      <c r="C2" s="5" t="inlineStr">
        <is>
          <t>29 BQs define the intelligence picture.</t>
        </is>
      </c>
      <c r="D2" s="5" t="inlineStr">
        <is>
          <t>Review top risks with domain owner and CFO.</t>
        </is>
      </c>
    </row>
    <row r="3">
      <c r="A3" s="5" t="inlineStr">
        <is>
          <t>CFO</t>
        </is>
      </c>
      <c r="B3" s="5" t="inlineStr">
        <is>
          <t>What is the financial consequence of gaps here?</t>
        </is>
      </c>
      <c r="C3" s="5" t="inlineStr">
        <is>
          <t>Cross-reference confidence rollup.</t>
        </is>
      </c>
      <c r="D3" s="5" t="inlineStr">
        <is>
          <t>Assign named remediation owners.</t>
        </is>
      </c>
    </row>
    <row r="4">
      <c r="A4" s="5" t="inlineStr">
        <is>
          <t>Board</t>
        </is>
      </c>
      <c r="B4" s="5" t="inlineStr">
        <is>
          <t>Are we governing Operational Intelligence at board-required standards?</t>
        </is>
      </c>
      <c r="C4" s="5" t="inlineStr">
        <is>
          <t>Review RED-rated Intelligence Areas.</t>
        </is>
      </c>
      <c r="D4" s="5" t="inlineStr">
        <is>
          <t>Require remediation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Gap Category</t>
        </is>
      </c>
      <c r="B1" s="5" t="inlineStr">
        <is>
          <t>Status</t>
        </is>
      </c>
      <c r="C1" s="5" t="inlineStr">
        <is>
          <t>Resolution</t>
        </is>
      </c>
      <c r="D1" s="5" t="inlineStr">
        <is>
          <t>Evidence</t>
        </is>
      </c>
    </row>
    <row r="2">
      <c r="A2" s="5" t="inlineStr">
        <is>
          <t>CDE Coverage</t>
        </is>
      </c>
      <c r="B2" s="5" t="inlineStr">
        <is>
          <t>CLOSED</t>
        </is>
      </c>
      <c r="C2" s="5" t="inlineStr">
        <is>
          <t>117 CDEs verified</t>
        </is>
      </c>
      <c r="D2" s="5" t="inlineStr">
        <is>
          <t>03_CDE_Registry</t>
        </is>
      </c>
    </row>
    <row r="3">
      <c r="A3" s="5" t="inlineStr">
        <is>
          <t>BQ Governance</t>
        </is>
      </c>
      <c r="B3" s="5" t="inlineStr">
        <is>
          <t>CLOSED</t>
        </is>
      </c>
      <c r="C3" s="5" t="inlineStr">
        <is>
          <t>29 MECE BQs</t>
        </is>
      </c>
      <c r="D3" s="5" t="inlineStr">
        <is>
          <t>02_BQ_Registry</t>
        </is>
      </c>
    </row>
    <row r="4">
      <c r="A4" s="5" t="inlineStr">
        <is>
          <t>Certification</t>
        </is>
      </c>
      <c r="B4" s="5" t="inlineStr">
        <is>
          <t>CLOSED</t>
        </is>
      </c>
      <c r="C4" s="5" t="inlineStr">
        <is>
          <t>Gold Standard locked</t>
        </is>
      </c>
      <c r="D4" s="5" t="inlineStr">
        <is>
          <t>00_Freeze_Status</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5" min="1" max="1"/>
    <col width="25" customWidth="1" style="5" min="2" max="2"/>
    <col width="15" customWidth="1" style="5" min="3" max="3"/>
    <col width="28" customWidth="1" style="5" min="4" max="4"/>
    <col width="55" customWidth="1" style="5" min="5" max="5"/>
  </cols>
  <sheetData>
    <row r="1" ht="15" customHeight="1" s="6">
      <c r="A1" s="7" t="inlineStr">
        <is>
          <t>Framework</t>
        </is>
      </c>
      <c r="B1" s="7" t="inlineStr">
        <is>
          <t>Disclosure/Question ID</t>
        </is>
      </c>
      <c r="C1" s="7" t="inlineStr">
        <is>
          <t>Mapped BQ ID</t>
        </is>
      </c>
      <c r="D1" s="7" t="inlineStr">
        <is>
          <t>Required CDE IDs (subset)</t>
        </is>
      </c>
      <c r="E1" s="7" t="inlineStr">
        <is>
          <t>CDEs Excluded</t>
        </is>
      </c>
    </row>
    <row r="2" ht="15" customHeight="1" s="6">
      <c r="A2" s="8" t="inlineStr">
        <is>
          <t>ISO 14001:2026</t>
        </is>
      </c>
      <c r="B2" s="8" t="inlineStr">
        <is>
          <t>Clause 6.1</t>
        </is>
      </c>
      <c r="C2" s="8" t="inlineStr">
        <is>
          <t>OP-FAC-004</t>
        </is>
      </c>
      <c r="D2" s="8" t="inlineStr">
        <is>
          <t>CDE-O008</t>
        </is>
      </c>
      <c r="E2" s="8" t="n"/>
    </row>
    <row r="3" ht="15" customHeight="1" s="6">
      <c r="A3" s="8" t="inlineStr">
        <is>
          <t>ISO 9001:2015</t>
        </is>
      </c>
      <c r="B3" s="8" t="inlineStr">
        <is>
          <t>Clause 8.5</t>
        </is>
      </c>
      <c r="C3" s="8" t="inlineStr">
        <is>
          <t>OP-PRC-002</t>
        </is>
      </c>
      <c r="D3" s="8" t="inlineStr">
        <is>
          <t>CDE-O018, CDE-O019</t>
        </is>
      </c>
      <c r="E3" s="8" t="n"/>
    </row>
    <row r="4" ht="15" customHeight="1" s="6">
      <c r="A4" s="8" t="inlineStr">
        <is>
          <t>ISO 45001:2018</t>
        </is>
      </c>
      <c r="B4" s="8" t="inlineStr">
        <is>
          <t>Clause 8.1.1</t>
        </is>
      </c>
      <c r="C4" s="8" t="inlineStr">
        <is>
          <t>OP-MNT-003</t>
        </is>
      </c>
      <c r="D4" s="8" t="inlineStr">
        <is>
          <t>CDE-O027, CDE-O028</t>
        </is>
      </c>
      <c r="E4" s="8" t="n"/>
    </row>
    <row r="5" ht="15" customHeight="1" s="6">
      <c r="A5" s="8" t="inlineStr">
        <is>
          <t>GRI</t>
        </is>
      </c>
      <c r="B5" s="8" t="inlineStr">
        <is>
          <t>GRI 301-1</t>
        </is>
      </c>
      <c r="C5" s="8" t="inlineStr">
        <is>
          <t>OP-CST-001</t>
        </is>
      </c>
      <c r="D5" s="8" t="inlineStr">
        <is>
          <t>CDE-O039</t>
        </is>
      </c>
      <c r="E5" s="8" t="inlineStr">
        <is>
          <t>GRI 301-1 (materials by weight/volume) is most directly represented via the operational cost-driver breakdown's materials component; this CIL does not yet have a standalone physical-weight materials CDE distinct from the cost framing — noted as a minor granularity gap, consistent with the cross-domain pattern already flagged in Domain 1</t>
        </is>
      </c>
    </row>
    <row r="6" ht="15" customHeight="1" s="6">
      <c r="A6" s="8" t="inlineStr">
        <is>
          <t>GRI</t>
        </is>
      </c>
      <c r="B6" s="8" t="inlineStr">
        <is>
          <t>GRI 302-4</t>
        </is>
      </c>
      <c r="C6" s="8" t="inlineStr">
        <is>
          <t>OP-ENG-001</t>
        </is>
      </c>
      <c r="D6" s="8" t="inlineStr">
        <is>
          <t>CDE-O045, CDE-O046</t>
        </is>
      </c>
      <c r="E6" s="8" t="n"/>
    </row>
    <row r="7" ht="15" customHeight="1" s="6">
      <c r="A7" s="5" t="inlineStr">
        <is>
          <t>ISO 14001:2026</t>
        </is>
      </c>
      <c r="B7" s="5" t="inlineStr">
        <is>
          <t>Clause 6.3</t>
        </is>
      </c>
      <c r="C7" s="5" t="inlineStr">
        <is>
          <t>OP-UTL-004</t>
        </is>
      </c>
      <c r="D7" s="5" t="inlineStr">
        <is>
          <t>CDE-O113</t>
        </is>
      </c>
    </row>
    <row r="8" ht="15" customHeight="1" s="6">
      <c r="A8" s="5" t="inlineStr">
        <is>
          <t>ISO 14001:2026</t>
        </is>
      </c>
      <c r="B8" s="5" t="inlineStr">
        <is>
          <t>Clause 8.2</t>
        </is>
      </c>
      <c r="C8" s="5" t="inlineStr">
        <is>
          <t>OP-DWN-002</t>
        </is>
      </c>
      <c r="D8" s="5" t="inlineStr">
        <is>
          <t>CDE-O114</t>
        </is>
      </c>
    </row>
    <row r="9" ht="15" customHeight="1" s="6">
      <c r="A9" s="5" t="inlineStr">
        <is>
          <t>ISO 14001:2026</t>
        </is>
      </c>
      <c r="B9" s="5" t="inlineStr">
        <is>
          <t>Clause 7.2</t>
        </is>
      </c>
      <c r="C9" s="5" t="inlineStr">
        <is>
          <t>OP-MNT-001</t>
        </is>
      </c>
      <c r="D9" s="5" t="inlineStr">
        <is>
          <t>CDE-O115</t>
        </is>
      </c>
    </row>
    <row r="10" ht="15" customHeight="1" s="6">
      <c r="A10" s="5" t="inlineStr">
        <is>
          <t>ISO 14001:2026</t>
        </is>
      </c>
      <c r="B10" s="5" t="inlineStr">
        <is>
          <t>Clause 9.1</t>
        </is>
      </c>
      <c r="C10" s="5" t="inlineStr">
        <is>
          <t>OP-PRC-002</t>
        </is>
      </c>
      <c r="D10" s="5" t="inlineStr">
        <is>
          <t>CDE-O116</t>
        </is>
      </c>
    </row>
    <row r="11" ht="15" customHeight="1" s="6">
      <c r="A11" s="5" t="inlineStr">
        <is>
          <t>ISO 14001:2026</t>
        </is>
      </c>
      <c r="B11" s="5" t="inlineStr">
        <is>
          <t>Clause 8.1</t>
        </is>
      </c>
      <c r="C11" s="5" t="inlineStr">
        <is>
          <t>OP-PRC-001</t>
        </is>
      </c>
      <c r="D11" s="5" t="inlineStr">
        <is>
          <t>CDE-O117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30" customWidth="1" style="5" min="2" max="2"/>
    <col width="36" customWidth="1" style="5" min="3" max="3"/>
  </cols>
  <sheetData>
    <row r="1" ht="15" customHeight="1" s="6">
      <c r="A1" s="7" t="inlineStr">
        <is>
          <t>BQ ID</t>
        </is>
      </c>
      <c r="B1" s="7" t="inlineStr">
        <is>
          <t>Executive Question (Q1-Q12)</t>
        </is>
      </c>
      <c r="C1" s="7" t="inlineStr">
        <is>
          <t>Sacred 12 Screen</t>
        </is>
      </c>
    </row>
    <row r="2" ht="15" customHeight="1" s="6">
      <c r="A2" s="8" t="inlineStr">
        <is>
          <t>OP-FAC-001</t>
        </is>
      </c>
      <c r="B2" s="8" t="inlineStr">
        <is>
          <t>Q4 - The Threat Map</t>
        </is>
      </c>
      <c r="C2" s="8" t="inlineStr">
        <is>
          <t>S4 Risk &amp; Opportunity Center</t>
        </is>
      </c>
    </row>
    <row r="3" ht="15" customHeight="1" s="6">
      <c r="A3" s="8" t="inlineStr">
        <is>
          <t>OP-FAC-002</t>
        </is>
      </c>
      <c r="B3" s="8" t="inlineStr">
        <is>
          <t>Q4 - The Threat Map</t>
        </is>
      </c>
      <c r="C3" s="8" t="inlineStr">
        <is>
          <t>S4 Risk &amp; Opportunity Center</t>
        </is>
      </c>
    </row>
    <row r="4" ht="15" customHeight="1" s="6">
      <c r="A4" s="8" t="inlineStr">
        <is>
          <t>OP-FAC-003</t>
        </is>
      </c>
      <c r="B4" s="8" t="inlineStr">
        <is>
          <t>Q4 - The Threat Map</t>
        </is>
      </c>
      <c r="C4" s="8" t="inlineStr">
        <is>
          <t>S4 Risk &amp; Opportunity Center</t>
        </is>
      </c>
    </row>
    <row r="5" ht="15" customHeight="1" s="6">
      <c r="A5" s="8" t="inlineStr">
        <is>
          <t>OP-FAC-004</t>
        </is>
      </c>
      <c r="B5" s="8" t="inlineStr">
        <is>
          <t>Q4 - The Threat Map</t>
        </is>
      </c>
      <c r="C5" s="8" t="inlineStr">
        <is>
          <t>S4 Risk &amp; Opportunity Center</t>
        </is>
      </c>
    </row>
    <row r="6" ht="15" customHeight="1" s="6">
      <c r="A6" s="8" t="inlineStr">
        <is>
          <t>OP-UTL-001</t>
        </is>
      </c>
      <c r="B6" s="8" t="inlineStr">
        <is>
          <t>Q3 - The Money Question</t>
        </is>
      </c>
      <c r="C6" s="8" t="inlineStr">
        <is>
          <t>S6 Financial Performance Center</t>
        </is>
      </c>
    </row>
    <row r="7" ht="15" customHeight="1" s="6">
      <c r="A7" s="8" t="inlineStr">
        <is>
          <t>OP-UTL-002</t>
        </is>
      </c>
      <c r="B7" s="8" t="inlineStr">
        <is>
          <t>Q3 - The Money Question</t>
        </is>
      </c>
      <c r="C7" s="8" t="inlineStr">
        <is>
          <t>S6 Financial Performance Center</t>
        </is>
      </c>
    </row>
    <row r="8" ht="15" customHeight="1" s="6">
      <c r="A8" s="8" t="inlineStr">
        <is>
          <t>OP-UTL-003</t>
        </is>
      </c>
      <c r="B8" s="8" t="inlineStr">
        <is>
          <t>Q3 - The Money Question</t>
        </is>
      </c>
      <c r="C8" s="8" t="inlineStr">
        <is>
          <t>S6 Financial Performance Center</t>
        </is>
      </c>
    </row>
    <row r="9" ht="15" customHeight="1" s="6">
      <c r="A9" s="8" t="inlineStr">
        <is>
          <t>OP-UTL-004</t>
        </is>
      </c>
      <c r="B9" s="8" t="inlineStr">
        <is>
          <t>Q3 - The Money Question</t>
        </is>
      </c>
      <c r="C9" s="8" t="inlineStr">
        <is>
          <t>S6 Financial Performance Center</t>
        </is>
      </c>
    </row>
    <row r="10" ht="15" customHeight="1" s="6">
      <c r="A10" s="8" t="inlineStr">
        <is>
          <t>OP-PRC-001</t>
        </is>
      </c>
      <c r="B10" s="8" t="inlineStr">
        <is>
          <t>Q3 - The Money Question</t>
        </is>
      </c>
      <c r="C10" s="8" t="inlineStr">
        <is>
          <t>S6 Financial Performance Center</t>
        </is>
      </c>
    </row>
    <row r="11" ht="15" customHeight="1" s="6">
      <c r="A11" s="8" t="inlineStr">
        <is>
          <t>OP-PRC-002</t>
        </is>
      </c>
      <c r="B11" s="8" t="inlineStr">
        <is>
          <t>Q3 - The Money Question</t>
        </is>
      </c>
      <c r="C11" s="8" t="inlineStr">
        <is>
          <t>S6 Financial Performance Center</t>
        </is>
      </c>
    </row>
    <row r="12" ht="15" customHeight="1" s="6">
      <c r="A12" s="8" t="inlineStr">
        <is>
          <t>OP-PRC-003</t>
        </is>
      </c>
      <c r="B12" s="8" t="inlineStr">
        <is>
          <t>Q3 - The Money Question</t>
        </is>
      </c>
      <c r="C12" s="8" t="inlineStr">
        <is>
          <t>S6 Financial Performance Center</t>
        </is>
      </c>
    </row>
    <row r="13" ht="15" customHeight="1" s="6">
      <c r="A13" s="8" t="inlineStr">
        <is>
          <t>OP-PRC-004</t>
        </is>
      </c>
      <c r="B13" s="8" t="inlineStr">
        <is>
          <t>Q3 - The Money Question</t>
        </is>
      </c>
      <c r="C13" s="8" t="inlineStr">
        <is>
          <t>S6 Financial Performance Center</t>
        </is>
      </c>
    </row>
    <row r="14" ht="15" customHeight="1" s="6">
      <c r="A14" s="8" t="inlineStr">
        <is>
          <t>OP-MNT-001</t>
        </is>
      </c>
      <c r="B14" s="8" t="inlineStr">
        <is>
          <t>Q4 - The Threat Map</t>
        </is>
      </c>
      <c r="C14" s="8" t="inlineStr">
        <is>
          <t>S4 Risk &amp; Opportunity Center</t>
        </is>
      </c>
    </row>
    <row r="15" ht="15" customHeight="1" s="6">
      <c r="A15" s="8" t="inlineStr">
        <is>
          <t>OP-MNT-002</t>
        </is>
      </c>
      <c r="B15" s="8" t="inlineStr">
        <is>
          <t>Q4 - The Threat Map</t>
        </is>
      </c>
      <c r="C15" s="8" t="inlineStr">
        <is>
          <t>S4 Risk &amp; Opportunity Center</t>
        </is>
      </c>
    </row>
    <row r="16" ht="15" customHeight="1" s="6">
      <c r="A16" s="8" t="inlineStr">
        <is>
          <t>OP-MNT-003</t>
        </is>
      </c>
      <c r="B16" s="8" t="inlineStr">
        <is>
          <t>Q4 - The Threat Map</t>
        </is>
      </c>
      <c r="C16" s="8" t="inlineStr">
        <is>
          <t>S4 Risk &amp; Opportunity Center</t>
        </is>
      </c>
    </row>
    <row r="17" ht="15" customHeight="1" s="6">
      <c r="A17" s="8" t="inlineStr">
        <is>
          <t>OP-MNT-004</t>
        </is>
      </c>
      <c r="B17" s="8" t="inlineStr">
        <is>
          <t>Q4 - The Threat Map</t>
        </is>
      </c>
      <c r="C17" s="8" t="inlineStr">
        <is>
          <t>S4 Risk &amp; Opportunity Center</t>
        </is>
      </c>
    </row>
    <row r="18" ht="15" customHeight="1" s="6">
      <c r="A18" s="8" t="inlineStr">
        <is>
          <t>OP-DWN-001</t>
        </is>
      </c>
      <c r="B18" s="8" t="inlineStr">
        <is>
          <t>Q4 - The Threat Map</t>
        </is>
      </c>
      <c r="C18" s="8" t="inlineStr">
        <is>
          <t>S4 Risk &amp; Opportunity Center</t>
        </is>
      </c>
    </row>
    <row r="19" ht="15" customHeight="1" s="6">
      <c r="A19" s="8" t="inlineStr">
        <is>
          <t>OP-DWN-002</t>
        </is>
      </c>
      <c r="B19" s="8" t="inlineStr">
        <is>
          <t>Q4 - The Threat Map</t>
        </is>
      </c>
      <c r="C19" s="8" t="inlineStr">
        <is>
          <t>S4 Risk &amp; Opportunity Center</t>
        </is>
      </c>
    </row>
    <row r="20" ht="15" customHeight="1" s="6">
      <c r="A20" s="8" t="inlineStr">
        <is>
          <t>OP-DWN-003</t>
        </is>
      </c>
      <c r="B20" s="8" t="inlineStr">
        <is>
          <t>Q4 - The Threat Map</t>
        </is>
      </c>
      <c r="C20" s="8" t="inlineStr">
        <is>
          <t>S4 Risk &amp; Opportunity Center</t>
        </is>
      </c>
    </row>
    <row r="21" ht="15" customHeight="1" s="6">
      <c r="A21" s="8" t="inlineStr">
        <is>
          <t>OP-CST-001</t>
        </is>
      </c>
      <c r="B21" s="8" t="inlineStr">
        <is>
          <t>Q3 - The Money Question</t>
        </is>
      </c>
      <c r="C21" s="8" t="inlineStr">
        <is>
          <t>S6 Financial Performance Center</t>
        </is>
      </c>
    </row>
    <row r="22" ht="15" customHeight="1" s="6">
      <c r="A22" s="8" t="inlineStr">
        <is>
          <t>OP-CST-002</t>
        </is>
      </c>
      <c r="B22" s="8" t="inlineStr">
        <is>
          <t>Q3 - The Money Question</t>
        </is>
      </c>
      <c r="C22" s="8" t="inlineStr">
        <is>
          <t>S6 Financial Performance Center</t>
        </is>
      </c>
    </row>
    <row r="23" ht="15" customHeight="1" s="6">
      <c r="A23" s="8" t="inlineStr">
        <is>
          <t>OP-CST-003</t>
        </is>
      </c>
      <c r="B23" s="8" t="inlineStr">
        <is>
          <t>Q3 - The Money Question</t>
        </is>
      </c>
      <c r="C23" s="8" t="inlineStr">
        <is>
          <t>S6 Financial Performance Center</t>
        </is>
      </c>
    </row>
    <row r="24" ht="15" customHeight="1" s="6">
      <c r="A24" s="8" t="inlineStr">
        <is>
          <t>OP-ENG-001</t>
        </is>
      </c>
      <c r="B24" s="8" t="inlineStr">
        <is>
          <t>Q6 - Regulatory Exposure</t>
        </is>
      </c>
      <c r="C24" s="8" t="inlineStr">
        <is>
          <t>S7 Regulatory &amp; Compliance Center</t>
        </is>
      </c>
    </row>
    <row r="25" ht="15" customHeight="1" s="6">
      <c r="A25" s="8" t="inlineStr">
        <is>
          <t>OP-ENG-002</t>
        </is>
      </c>
      <c r="B25" s="8" t="inlineStr">
        <is>
          <t>Q6 - Regulatory Exposure</t>
        </is>
      </c>
      <c r="C25" s="8" t="inlineStr">
        <is>
          <t>S7 Regulatory &amp; Compliance Center</t>
        </is>
      </c>
    </row>
    <row r="26" ht="15" customHeight="1" s="6">
      <c r="A26" s="8" t="inlineStr">
        <is>
          <t>OP-ENG-003</t>
        </is>
      </c>
      <c r="B26" s="8" t="inlineStr">
        <is>
          <t>Q6 - Regulatory Exposure</t>
        </is>
      </c>
      <c r="C26" s="8" t="inlineStr">
        <is>
          <t>S7 Regulatory &amp; Compliance Center</t>
        </is>
      </c>
    </row>
    <row r="27" ht="15" customHeight="1" s="6">
      <c r="A27" s="8" t="inlineStr">
        <is>
          <t>OP-TEC-001</t>
        </is>
      </c>
      <c r="B27" s="8" t="inlineStr">
        <is>
          <t>Q7 - What Matters Most</t>
        </is>
      </c>
      <c r="C27" s="8" t="inlineStr">
        <is>
          <t>S10 Materiality &amp; ESG Center</t>
        </is>
      </c>
    </row>
    <row r="28" ht="15" customHeight="1" s="6">
      <c r="A28" s="8" t="inlineStr">
        <is>
          <t>OP-TEC-002</t>
        </is>
      </c>
      <c r="B28" s="8" t="inlineStr">
        <is>
          <t>Q7 - What Matters Most</t>
        </is>
      </c>
      <c r="C28" s="8" t="inlineStr">
        <is>
          <t>S10 Materiality &amp; ESG Center</t>
        </is>
      </c>
    </row>
    <row r="29" ht="15" customHeight="1" s="6">
      <c r="A29" s="8" t="inlineStr">
        <is>
          <t>OP-TEC-003</t>
        </is>
      </c>
      <c r="B29" s="8" t="inlineStr">
        <is>
          <t>Q7 - What Matters Most</t>
        </is>
      </c>
      <c r="C29" s="8" t="inlineStr">
        <is>
          <t>S10 Materiality &amp; ESG Center</t>
        </is>
      </c>
    </row>
    <row r="30" ht="15" customHeight="1" s="6">
      <c r="A30" s="8" t="inlineStr">
        <is>
          <t>OP-DEP-001</t>
        </is>
      </c>
      <c r="B30" s="8" t="inlineStr">
        <is>
          <t>Q4 - The Threat Map</t>
        </is>
      </c>
      <c r="C30" s="8" t="inlineStr">
        <is>
          <t>S4 Risk &amp; Opportunity Center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5" t="inlineStr">
        <is>
          <t>Check</t>
        </is>
      </c>
      <c r="B1" s="5" t="inlineStr">
        <is>
          <t>Result</t>
        </is>
      </c>
    </row>
    <row r="2">
      <c r="A2" s="5" t="inlineStr">
        <is>
          <t>CDE count = 117</t>
        </is>
      </c>
      <c r="B2" s="5" t="inlineStr">
        <is>
          <t>PASS</t>
        </is>
      </c>
    </row>
    <row r="3">
      <c r="A3" s="5" t="inlineStr">
        <is>
          <t>BQ count = 29</t>
        </is>
      </c>
      <c r="B3" s="5" t="inlineStr">
        <is>
          <t>PASS</t>
        </is>
      </c>
    </row>
    <row r="4">
      <c r="A4" s="5" t="inlineStr">
        <is>
          <t>Gold Standard certification</t>
        </is>
      </c>
      <c r="B4" s="5" t="inlineStr">
        <is>
          <t>CERTIFIED</t>
        </is>
      </c>
    </row>
  </sheetData>
  <pageMargins left="0.75" right="0.75" top="1" bottom="1" header="0.5" footer="0.5"/>
</worksheet>
</file>

<file path=xl/worksheets/sheet16.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Roll-up Level</t>
        </is>
      </c>
      <c r="B1" s="7" t="inlineStr">
        <is>
          <t>Formula / Method</t>
        </is>
      </c>
      <c r="C1" s="7" t="inlineStr">
        <is>
          <t>Worked Example</t>
        </is>
      </c>
    </row>
    <row r="2" ht="15" customHeight="1" s="6">
      <c r="A2" s="8" t="inlineStr">
        <is>
          <t>CDE -&gt; BQ</t>
        </is>
      </c>
      <c r="B2" s="8" t="inlineStr">
        <is>
          <t>BQ Confidence = weighted average of all mapped CDE confidence scores, weighted by Executive Criticality (Required=1.0, Recommended=0.6, Supplemental=0.3)</t>
        </is>
      </c>
      <c r="C2" s="8" t="inlineStr">
        <is>
          <t>OP-FAC-001 has 3 CDEs: Required@85, Required@82, Recommended@70 -&gt; (85+82+70*0.6)/(1+1+0.6) = 209/2.6 = 80.4</t>
        </is>
      </c>
    </row>
    <row r="3" ht="15" customHeight="1" s="6">
      <c r="A3" s="8" t="inlineStr">
        <is>
          <t>BQ -&gt; BIR</t>
        </is>
      </c>
      <c r="B3" s="8" t="inlineStr">
        <is>
          <t>BIR Confidence = simple average of all BQ confidence scores nested under that BIR</t>
        </is>
      </c>
      <c r="C3" s="8" t="inlineStr">
        <is>
          <t>BIR-OP-01 has 4 BQs averaging to 78.6 -&gt; BIR-OP-01 Confidence = 78.6</t>
        </is>
      </c>
    </row>
    <row r="4" ht="15" customHeight="1" s="6">
      <c r="A4" s="8" t="inlineStr">
        <is>
          <t>BIR -&gt; Intelligence Area</t>
        </is>
      </c>
      <c r="B4" s="8" t="inlineStr">
        <is>
          <t>IA Confidence = simple average of all BIR confidence scores nested under that IA (most IAs have exactly 1 BIR, so this is usually 1:1 passthrough)</t>
        </is>
      </c>
      <c r="C4" s="8" t="inlineStr">
        <is>
          <t>Intelligence Area "Facility Portfolio &amp; Capacity" has 1 BIR (BIR-OP-01) at 78.6 -&gt; IA Confidence = 78.6</t>
        </is>
      </c>
    </row>
    <row r="5" ht="15" customHeight="1" s="6">
      <c r="A5" s="8" t="inlineStr">
        <is>
          <t>Intelligence Area -&gt; Domain</t>
        </is>
      </c>
      <c r="B5" s="8" t="inlineStr">
        <is>
          <t>Domain Confidence = weighted average of all IA confidence scores, weighted by number of Required CDEs in each IA</t>
        </is>
      </c>
      <c r="C5" s="8" t="inlineStr">
        <is>
          <t>See worked roll-up below for Operational Intelligence domain</t>
        </is>
      </c>
    </row>
    <row r="6" ht="15" customHeight="1" s="6">
      <c r="A6" s="8" t="n"/>
      <c r="B6" s="8" t="n"/>
      <c r="C6" s="8" t="n"/>
    </row>
    <row r="7" ht="15" customHeight="1" s="6">
      <c r="A7" s="9" t="inlineStr">
        <is>
          <t>⚠ REPLICATION NOTE: Rows below are a WORKED EXAMPLE for this domain only. When building another domain, replace the Intelligence Area names and illustrative values with that domain's own — do not leave this domain's labels in place. The FORMULA is domain-agnostic and structural; the ROWS ABOVE the formula are domain-specific content.</t>
        </is>
      </c>
      <c r="B7" s="8" t="n"/>
      <c r="C7" s="8" t="n"/>
    </row>
    <row r="8" ht="15" customHeight="1" s="6">
      <c r="A8" s="8" t="inlineStr">
        <is>
          <t>DOMAIN ROLL-UP WORKED EXAMPLE (Operational Intelligence)</t>
        </is>
      </c>
      <c r="B8" s="8" t="n"/>
      <c r="C8" s="8" t="n"/>
    </row>
    <row r="9" ht="15" customHeight="1" s="6">
      <c r="A9" s="8" t="inlineStr">
        <is>
          <t>Intelligence Area</t>
        </is>
      </c>
      <c r="B9" s="8" t="inlineStr">
        <is>
          <t>Illustrative IA Confidence (0-100)</t>
        </is>
      </c>
      <c r="C9" s="8" t="inlineStr">
        <is>
          <t>Required CDE Count (weight)</t>
        </is>
      </c>
    </row>
    <row r="10" ht="15" customHeight="1" s="6">
      <c r="A10" s="8" t="inlineStr">
        <is>
          <t>Facility Portfolio &amp; Capacity</t>
        </is>
      </c>
      <c r="B10" s="8" t="n">
        <v>79</v>
      </c>
      <c r="C10" s="8" t="n">
        <v>3</v>
      </c>
    </row>
    <row r="11" ht="15" customHeight="1" s="6">
      <c r="A11" s="8" t="inlineStr">
        <is>
          <t>Capacity Utilization &amp; Throughput</t>
        </is>
      </c>
      <c r="B11" s="8" t="n">
        <v>74</v>
      </c>
      <c r="C11" s="8" t="n">
        <v>1</v>
      </c>
    </row>
    <row r="12" ht="15" customHeight="1" s="6">
      <c r="A12" s="8" t="inlineStr">
        <is>
          <t>Production Process &amp; Quality</t>
        </is>
      </c>
      <c r="B12" s="8" t="n">
        <v>76</v>
      </c>
      <c r="C12" s="8" t="n">
        <v>2</v>
      </c>
    </row>
    <row r="13" ht="15" customHeight="1" s="6">
      <c r="A13" s="8" t="inlineStr">
        <is>
          <t>Equipment &amp; Asset Maintenance</t>
        </is>
      </c>
      <c r="B13" s="8" t="n">
        <v>77</v>
      </c>
      <c r="C13" s="8" t="n">
        <v>3</v>
      </c>
    </row>
    <row r="14" ht="15" customHeight="1" s="6">
      <c r="A14" s="8" t="inlineStr">
        <is>
          <t>Operational Downtime &amp; Disruption</t>
        </is>
      </c>
      <c r="B14" s="8" t="n">
        <v>73</v>
      </c>
      <c r="C14" s="8" t="n">
        <v>2</v>
      </c>
    </row>
    <row r="15" ht="15" customHeight="1" s="6">
      <c r="A15" s="8" t="inlineStr">
        <is>
          <t>Production Dependencies &amp; Single Points of Failure</t>
        </is>
      </c>
      <c r="B15" s="8" t="n">
        <v>75</v>
      </c>
      <c r="C15" s="8" t="n">
        <v>1</v>
      </c>
    </row>
    <row r="16" ht="15" customHeight="1" s="6">
      <c r="A16" s="8" t="inlineStr">
        <is>
          <t>Operational Cost Structure</t>
        </is>
      </c>
      <c r="B16" s="8" t="n">
        <v>80</v>
      </c>
      <c r="C16" s="8" t="n">
        <v>2</v>
      </c>
    </row>
    <row r="17" ht="15" customHeight="1" s="6">
      <c r="A17" s="8" t="inlineStr">
        <is>
          <t>Energy &amp; Resource Efficiency (Operational-Cost Lens)</t>
        </is>
      </c>
      <c r="B17" s="8" t="n">
        <v>78</v>
      </c>
      <c r="C17" s="8" t="n">
        <v>1</v>
      </c>
    </row>
    <row r="18" ht="15" customHeight="1" s="6">
      <c r="A18" s="8" t="inlineStr">
        <is>
          <t>Operational Technology &amp; Automation</t>
        </is>
      </c>
      <c r="B18" s="8" t="n">
        <v>71</v>
      </c>
      <c r="C18" s="8" t="n">
        <v>2</v>
      </c>
    </row>
    <row r="19" ht="15" customHeight="1" s="6">
      <c r="A19" s="8" t="n"/>
      <c r="B19" s="8" t="n"/>
      <c r="C19" s="8" t="n"/>
    </row>
    <row r="20" ht="15" customHeight="1" s="6">
      <c r="A20" s="8" t="inlineStr">
        <is>
          <t>DOMAIN CONFIDENCE (weighted avg)</t>
        </is>
      </c>
      <c r="B20" s="8" t="n"/>
      <c r="C20" s="8" t="n"/>
    </row>
    <row r="21" ht="15" customHeight="1" s="6">
      <c r="A21" s="8" t="inlineStr">
        <is>
          <t>Formula</t>
        </is>
      </c>
      <c r="B21" s="8">
        <f>SUMPRODUCT(B10:B18,C10:C18)/SUM(C10:C18)</f>
        <v/>
      </c>
      <c r="C21" s="8" t="n"/>
    </row>
    <row r="22" ht="15" customHeight="1" s="6">
      <c r="A22" s="8" t="inlineStr">
        <is>
          <t>Computed Domain Confidence</t>
        </is>
      </c>
      <c r="B22" s="8">
        <f>ROUND(B21,1)</f>
        <v/>
      </c>
      <c r="C22" s="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1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52" customWidth="1" style="5" min="3" max="3"/>
    <col width="55" customWidth="1" style="5" min="4" max="4"/>
    <col width="52" customWidth="1" style="5" min="5" max="5"/>
  </cols>
  <sheetData>
    <row r="1" ht="15" customHeight="1" s="6">
      <c r="A1" s="7" t="inlineStr">
        <is>
          <t>CDE ID</t>
        </is>
      </c>
      <c r="B1" s="7" t="inlineStr">
        <is>
          <t>CDE Name</t>
        </is>
      </c>
      <c r="C1" s="7" t="inlineStr">
        <is>
          <t>System of Record Category</t>
        </is>
      </c>
      <c r="D1" s="7" t="inlineStr">
        <is>
          <t>Specific System Examples</t>
        </is>
      </c>
      <c r="E1" s="7" t="inlineStr">
        <is>
          <t>Notes</t>
        </is>
      </c>
    </row>
    <row r="2" ht="15" customHeight="1" s="6">
      <c r="A2" s="8" t="inlineStr">
        <is>
          <t>CDE-O001</t>
        </is>
      </c>
      <c r="B2" s="8" t="inlineStr">
        <is>
          <t>Manufacturing/Service-Delivery Facility Inventory (Name/Location)</t>
        </is>
      </c>
      <c r="C2" s="8" t="inlineStr">
        <is>
          <t>Manufacturing Execution System (MES)</t>
        </is>
      </c>
      <c r="D2" s="8" t="inlineStr">
        <is>
          <t>SAP MES, Rockwell, Siemens Opcenter — production facility/capacity tracking</t>
        </is>
      </c>
      <c r="E2" s="8" t="inlineStr">
        <is>
          <t>Default Evidence Source declared: User Validation</t>
        </is>
      </c>
    </row>
    <row r="3" ht="15" customHeight="1" s="6">
      <c r="A3" s="8" t="inlineStr">
        <is>
          <t>CDE-O002</t>
        </is>
      </c>
      <c r="B3" s="8" t="inlineStr">
        <is>
          <t>Facility Type (Manufacturing/Distribution/Service/Office)</t>
        </is>
      </c>
      <c r="C3" s="8" t="inlineStr">
        <is>
          <t>Manufacturing Execution System (MES)</t>
        </is>
      </c>
      <c r="D3" s="8" t="inlineStr">
        <is>
          <t>SAP MES, Rockwell, Siemens Opcenter — production facility/capacity tracking</t>
        </is>
      </c>
      <c r="E3" s="8" t="inlineStr">
        <is>
          <t>Default Evidence Source declared: User Validation</t>
        </is>
      </c>
    </row>
    <row r="4" ht="15" customHeight="1" s="6">
      <c r="A4" s="8" t="inlineStr">
        <is>
          <t>CDE-O003</t>
        </is>
      </c>
      <c r="B4" s="8" t="inlineStr">
        <is>
          <t>Total Facility Count (Operational)</t>
        </is>
      </c>
      <c r="C4" s="8" t="inlineStr">
        <is>
          <t>Manufacturing Execution System (MES)</t>
        </is>
      </c>
      <c r="D4" s="8" t="inlineStr">
        <is>
          <t>SAP MES, Rockwell, Siemens Opcenter — production facility/capacity tracking</t>
        </is>
      </c>
      <c r="E4" s="8" t="inlineStr">
        <is>
          <t>Default Evidence Source declared: User Validation</t>
        </is>
      </c>
    </row>
    <row r="5" ht="15" customHeight="1" s="6">
      <c r="A5" s="8" t="inlineStr">
        <is>
          <t>CDE-O004</t>
        </is>
      </c>
      <c r="B5" s="8" t="inlineStr">
        <is>
          <t>Facility Rated Production Capacity (Units per Period)</t>
        </is>
      </c>
      <c r="C5" s="8" t="inlineStr">
        <is>
          <t>Manufacturing Execution System (MES)</t>
        </is>
      </c>
      <c r="D5" s="8" t="inlineStr">
        <is>
          <t>SAP MES, Rockwell, Siemens Opcenter — production facility/capacity tracking</t>
        </is>
      </c>
      <c r="E5" s="8" t="inlineStr">
        <is>
          <t>Default Evidence Source declared: User Validation</t>
        </is>
      </c>
    </row>
    <row r="6" ht="15" customHeight="1" s="6">
      <c r="A6" s="8" t="inlineStr">
        <is>
          <t>CDE-O005</t>
        </is>
      </c>
      <c r="B6" s="8" t="inlineStr">
        <is>
          <t>Capacity Measurement Unit (Units/Tonnes/Hours/Other)</t>
        </is>
      </c>
      <c r="C6" s="8" t="inlineStr">
        <is>
          <t>Manufacturing Execution System (MES)</t>
        </is>
      </c>
      <c r="D6" s="8" t="inlineStr">
        <is>
          <t>SAP MES, Rockwell, Siemens Opcenter — production facility/capacity tracking</t>
        </is>
      </c>
      <c r="E6" s="8" t="inlineStr">
        <is>
          <t>Default Evidence Source declared: User Validation</t>
        </is>
      </c>
    </row>
    <row r="7" ht="15" customHeight="1" s="6">
      <c r="A7" s="8" t="inlineStr">
        <is>
          <t>CDE-O006</t>
        </is>
      </c>
      <c r="B7" s="8" t="inlineStr">
        <is>
          <t>Facility Ownership Structure (Owned/Leased/Joint Venture)</t>
        </is>
      </c>
      <c r="C7" s="8" t="inlineStr">
        <is>
          <t>Manufacturing Execution System (MES)</t>
        </is>
      </c>
      <c r="D7" s="8" t="inlineStr">
        <is>
          <t>SAP MES, Rockwell, Siemens Opcenter — production facility/capacity tracking</t>
        </is>
      </c>
      <c r="E7" s="8" t="inlineStr">
        <is>
          <t>Default Evidence Source declared: User Validation</t>
        </is>
      </c>
    </row>
    <row r="8" ht="15" customHeight="1" s="6">
      <c r="A8" s="8" t="inlineStr">
        <is>
          <t>CDE-O007</t>
        </is>
      </c>
      <c r="B8" s="8" t="inlineStr">
        <is>
          <t>Facility ISO 9001 (Quality) Certification Held</t>
        </is>
      </c>
      <c r="C8" s="8" t="inlineStr">
        <is>
          <t>Manufacturing Execution System (MES)</t>
        </is>
      </c>
      <c r="D8" s="8" t="inlineStr">
        <is>
          <t>SAP MES, Rockwell, Siemens Opcenter — production facility/capacity tracking</t>
        </is>
      </c>
      <c r="E8" s="8" t="inlineStr">
        <is>
          <t>Default Evidence Source declared: User Validation</t>
        </is>
      </c>
    </row>
    <row r="9" ht="15" customHeight="1" s="6">
      <c r="A9" s="8" t="inlineStr">
        <is>
          <t>CDE-O008</t>
        </is>
      </c>
      <c r="B9" s="8" t="inlineStr">
        <is>
          <t>Facility ISO 14001 (Environmental) Certification Held</t>
        </is>
      </c>
      <c r="C9" s="8" t="inlineStr">
        <is>
          <t>Manufacturing Execution System (MES)</t>
        </is>
      </c>
      <c r="D9" s="8" t="inlineStr">
        <is>
          <t>SAP MES, Rockwell, Siemens Opcenter — production facility/capacity tracking</t>
        </is>
      </c>
      <c r="E9" s="8" t="inlineStr">
        <is>
          <t>Default Evidence Source declared: User Validation</t>
        </is>
      </c>
    </row>
    <row r="10" ht="15" customHeight="1" s="6">
      <c r="A10" s="8" t="inlineStr">
        <is>
          <t>CDE-O009</t>
        </is>
      </c>
      <c r="B10" s="8" t="inlineStr">
        <is>
          <t>Facility ISO 45001 (OH&amp;S) Certification Held</t>
        </is>
      </c>
      <c r="C10" s="8" t="inlineStr">
        <is>
          <t>Manufacturing Execution System (MES)</t>
        </is>
      </c>
      <c r="D10" s="8" t="inlineStr">
        <is>
          <t>SAP MES, Rockwell, Siemens Opcenter — production facility/capacity tracking</t>
        </is>
      </c>
      <c r="E10" s="8" t="inlineStr">
        <is>
          <t>Default Evidence Source declared: User Validation</t>
        </is>
      </c>
    </row>
    <row r="11" ht="15" customHeight="1" s="6">
      <c r="A11" s="8" t="inlineStr">
        <is>
          <t>CDE-O010</t>
        </is>
      </c>
      <c r="B11" s="8" t="inlineStr">
        <is>
          <t>Overall Capacity Utilization Rate %</t>
        </is>
      </c>
      <c r="C11" s="8" t="inlineStr">
        <is>
          <t>Manufacturing Execution System (MES)</t>
        </is>
      </c>
      <c r="D11" s="8" t="inlineStr">
        <is>
          <t>SAP MES, Rockwell, Siemens Opcenter — production facility/capacity tracking</t>
        </is>
      </c>
      <c r="E11" s="8" t="inlineStr">
        <is>
          <t>Default Evidence Source declared: User Validation</t>
        </is>
      </c>
    </row>
    <row r="12" ht="15" customHeight="1" s="6">
      <c r="A12" s="8" t="inlineStr">
        <is>
          <t>CDE-O011</t>
        </is>
      </c>
      <c r="B12" s="8" t="inlineStr">
        <is>
          <t>Capacity Utilization Rate by Facility %</t>
        </is>
      </c>
      <c r="C12" s="8" t="inlineStr">
        <is>
          <t>Manufacturing Execution System (MES)</t>
        </is>
      </c>
      <c r="D12" s="8" t="inlineStr">
        <is>
          <t>SAP MES, Rockwell, Siemens Opcenter — production facility/capacity tracking</t>
        </is>
      </c>
      <c r="E12" s="8" t="inlineStr">
        <is>
          <t>Default Evidence Source declared: User Validation</t>
        </is>
      </c>
    </row>
    <row r="13" ht="15" customHeight="1" s="6">
      <c r="A13" s="8" t="inlineStr">
        <is>
          <t>CDE-O012</t>
        </is>
      </c>
      <c r="B13" s="8" t="inlineStr">
        <is>
          <t>Production Throughput per Facility/Line (Units per Period)</t>
        </is>
      </c>
      <c r="C13" s="8" t="inlineStr">
        <is>
          <t>Manufacturing Execution System (MES)</t>
        </is>
      </c>
      <c r="D13" s="8" t="inlineStr">
        <is>
          <t>SAP MES, Rockwell, Siemens Opcenter — production facility/capacity tracking</t>
        </is>
      </c>
      <c r="E13" s="8" t="inlineStr">
        <is>
          <t>Default Evidence Source declared: User Validation</t>
        </is>
      </c>
    </row>
    <row r="14" ht="15" customHeight="1" s="6">
      <c r="A14" s="8" t="inlineStr">
        <is>
          <t>CDE-O013</t>
        </is>
      </c>
      <c r="B14" s="8" t="inlineStr">
        <is>
          <t>Overall Equipment Effectiveness (OEE) %</t>
        </is>
      </c>
      <c r="C14" s="8" t="inlineStr">
        <is>
          <t>Manufacturing Execution System (MES)</t>
        </is>
      </c>
      <c r="D14" s="8" t="inlineStr">
        <is>
          <t>SAP MES, Rockwell, Siemens Opcenter — production facility/capacity tracking</t>
        </is>
      </c>
      <c r="E14" s="8" t="inlineStr">
        <is>
          <t>Default Evidence Source declared: User Validation</t>
        </is>
      </c>
    </row>
    <row r="15" ht="15" customHeight="1" s="6">
      <c r="A15" s="8" t="inlineStr">
        <is>
          <t>CDE-O014</t>
        </is>
      </c>
      <c r="B15" s="8" t="inlineStr">
        <is>
          <t>OEE Tracking System/Methodology Used</t>
        </is>
      </c>
      <c r="C15" s="8" t="inlineStr">
        <is>
          <t>Manufacturing Execution System (MES)</t>
        </is>
      </c>
      <c r="D15" s="8" t="inlineStr">
        <is>
          <t>SAP MES, Rockwell, Siemens Opcenter — production facility/capacity tracking</t>
        </is>
      </c>
      <c r="E15" s="8" t="inlineStr">
        <is>
          <t>Default Evidence Source declared: User Validation</t>
        </is>
      </c>
    </row>
    <row r="16" ht="15" customHeight="1" s="6">
      <c r="A16" s="8" t="inlineStr">
        <is>
          <t>CDE-O015</t>
        </is>
      </c>
      <c r="B16" s="8" t="inlineStr">
        <is>
          <t>Capacity Expansion or Contraction Plan Underway</t>
        </is>
      </c>
      <c r="C16" s="8" t="inlineStr">
        <is>
          <t>Manufacturing Execution System (MES)</t>
        </is>
      </c>
      <c r="D16" s="8" t="inlineStr">
        <is>
          <t>SAP MES, Rockwell, Siemens Opcenter — production facility/capacity tracking</t>
        </is>
      </c>
      <c r="E16" s="8" t="inlineStr">
        <is>
          <t>Default Evidence Source declared: User Validation</t>
        </is>
      </c>
    </row>
    <row r="17" ht="15" customHeight="1" s="6">
      <c r="A17" s="8" t="inlineStr">
        <is>
          <t>CDE-O016</t>
        </is>
      </c>
      <c r="B17" s="8" t="inlineStr">
        <is>
          <t>Capacity Change Planned Magnitude %</t>
        </is>
      </c>
      <c r="C17" s="8" t="inlineStr">
        <is>
          <t>Manufacturing Execution System (MES)</t>
        </is>
      </c>
      <c r="D17" s="8" t="inlineStr">
        <is>
          <t>SAP MES, Rockwell, Siemens Opcenter — production facility/capacity tracking</t>
        </is>
      </c>
      <c r="E17" s="8" t="inlineStr">
        <is>
          <t>Default Evidence Source declared: User Validation</t>
        </is>
      </c>
    </row>
    <row r="18" ht="15" customHeight="1" s="6">
      <c r="A18" s="8" t="inlineStr">
        <is>
          <t>CDE-O017</t>
        </is>
      </c>
      <c r="B18" s="8" t="inlineStr">
        <is>
          <t>Core Production Process Methodology (Lean/Batch/Continuous/Job-Shop)</t>
        </is>
      </c>
      <c r="C18" s="8" t="inlineStr">
        <is>
          <t>Manufacturing Execution System (MES)</t>
        </is>
      </c>
      <c r="D18" s="8" t="inlineStr">
        <is>
          <t>SAP MES, Rockwell, Siemens Opcenter — production methodology configuration</t>
        </is>
      </c>
      <c r="E18" s="8" t="inlineStr">
        <is>
          <t>Default Evidence Source declared: User Validation</t>
        </is>
      </c>
    </row>
    <row r="19" ht="15" customHeight="1" s="6">
      <c r="A19" s="8" t="inlineStr">
        <is>
          <t>CDE-O018</t>
        </is>
      </c>
      <c r="B19" s="8" t="inlineStr">
        <is>
          <t>Quality Control Process Documented</t>
        </is>
      </c>
      <c r="C19" s="8" t="inlineStr">
        <is>
          <t>Quality Management System (QMS)</t>
        </is>
      </c>
      <c r="D19" s="8" t="inlineStr">
        <is>
          <t>MasterControl, ETQ, SAP QM — quality control tracking</t>
        </is>
      </c>
      <c r="E19" s="8" t="inlineStr">
        <is>
          <t>Default Evidence Source declared: User Validation</t>
        </is>
      </c>
    </row>
    <row r="20" ht="15" customHeight="1" s="6">
      <c r="A20" s="8" t="inlineStr">
        <is>
          <t>CDE-O019</t>
        </is>
      </c>
      <c r="B20" s="8" t="inlineStr">
        <is>
          <t>Defect Rate % (Current Period)</t>
        </is>
      </c>
      <c r="C20" s="8" t="inlineStr">
        <is>
          <t>Quality Management System (QMS)</t>
        </is>
      </c>
      <c r="D20" s="8" t="inlineStr">
        <is>
          <t>MasterControl, ETQ, SAP QM — quality control tracking</t>
        </is>
      </c>
      <c r="E20" s="8" t="inlineStr">
        <is>
          <t>Default Evidence Source declared: User Validation</t>
        </is>
      </c>
    </row>
    <row r="21" ht="15" customHeight="1" s="6">
      <c r="A21" s="8" t="inlineStr">
        <is>
          <t>CDE-O020</t>
        </is>
      </c>
      <c r="B21" s="8" t="inlineStr">
        <is>
          <t>Product/Service Rework Rate %</t>
        </is>
      </c>
      <c r="C21" s="8" t="inlineStr">
        <is>
          <t>Quality Management System (QMS)</t>
        </is>
      </c>
      <c r="D21" s="8" t="inlineStr">
        <is>
          <t>MasterControl, ETQ, SAP QM — quality control tracking</t>
        </is>
      </c>
      <c r="E21" s="8" t="inlineStr">
        <is>
          <t>Default Evidence Source declared: User Validation</t>
        </is>
      </c>
    </row>
    <row r="22" ht="15" customHeight="1" s="6">
      <c r="A22" s="8" t="inlineStr">
        <is>
          <t>CDE-O021</t>
        </is>
      </c>
      <c r="B22" s="8" t="inlineStr">
        <is>
          <t>Production Scrap Rate %</t>
        </is>
      </c>
      <c r="C22" s="8" t="inlineStr">
        <is>
          <t>Quality Management System (QMS)</t>
        </is>
      </c>
      <c r="D22" s="8" t="inlineStr">
        <is>
          <t>MasterControl, ETQ, SAP QM — quality control tracking</t>
        </is>
      </c>
      <c r="E22" s="8" t="inlineStr">
        <is>
          <t>Default Evidence Source declared: User Validation</t>
        </is>
      </c>
    </row>
    <row r="23" ht="15" customHeight="1" s="6">
      <c r="A23" s="8" t="inlineStr">
        <is>
          <t>CDE-O022</t>
        </is>
      </c>
      <c r="B23" s="8" t="inlineStr">
        <is>
          <t>Continuous Improvement Program Documented (e.g. Six Sigma/Kaizen)</t>
        </is>
      </c>
      <c r="C23" s="8" t="inlineStr">
        <is>
          <t>Quality Management System (QMS)</t>
        </is>
      </c>
      <c r="D23" s="8" t="inlineStr">
        <is>
          <t>MasterControl, ETQ — continuous improvement program tracking</t>
        </is>
      </c>
      <c r="E23" s="8" t="inlineStr">
        <is>
          <t>Default Evidence Source declared: User Validation</t>
        </is>
      </c>
    </row>
    <row r="24" ht="15" customHeight="1" s="6">
      <c r="A24" s="8" t="inlineStr">
        <is>
          <t>CDE-O023</t>
        </is>
      </c>
      <c r="B24" s="8" t="inlineStr">
        <is>
          <t>Preventive Maintenance Program Documented for Critical Equipment</t>
        </is>
      </c>
      <c r="C24" s="8" t="inlineStr">
        <is>
          <t>Computerized Maintenance Management System (CMMS)</t>
        </is>
      </c>
      <c r="D24" s="8" t="inlineStr">
        <is>
          <t>IBM Maximo, SAP PM, Fiix — equipment maintenance tracking</t>
        </is>
      </c>
      <c r="E24" s="8" t="inlineStr">
        <is>
          <t>Default Evidence Source declared: User Validation</t>
        </is>
      </c>
    </row>
    <row r="25" ht="15" customHeight="1" s="6">
      <c r="A25" s="8" t="inlineStr">
        <is>
          <t>CDE-O024</t>
        </is>
      </c>
      <c r="B25" s="8" t="inlineStr">
        <is>
          <t>Preventive Maintenance Schedule Adherence %</t>
        </is>
      </c>
      <c r="C25" s="8" t="inlineStr">
        <is>
          <t>Computerized Maintenance Management System (CMMS)</t>
        </is>
      </c>
      <c r="D25" s="8" t="inlineStr">
        <is>
          <t>IBM Maximo, SAP PM, Fiix — equipment maintenance tracking</t>
        </is>
      </c>
      <c r="E25" s="8" t="inlineStr">
        <is>
          <t>Default Evidence Source declared: User Validation</t>
        </is>
      </c>
    </row>
    <row r="26" ht="15" customHeight="1" s="6">
      <c r="A26" s="8" t="inlineStr">
        <is>
          <t>CDE-O025</t>
        </is>
      </c>
      <c r="B26" s="8" t="inlineStr">
        <is>
          <t>Average Equipment Age (Years)</t>
        </is>
      </c>
      <c r="C26" s="8" t="inlineStr">
        <is>
          <t>Computerized Maintenance Management System (CMMS)</t>
        </is>
      </c>
      <c r="D26" s="8" t="inlineStr">
        <is>
          <t>IBM Maximo, SAP PM, Fiix — equipment maintenance tracking</t>
        </is>
      </c>
      <c r="E26" s="8" t="inlineStr">
        <is>
          <t>Default Evidence Source declared: User Validation</t>
        </is>
      </c>
    </row>
    <row r="27" ht="15" customHeight="1" s="6">
      <c r="A27" s="8" t="inlineStr">
        <is>
          <t>CDE-O026</t>
        </is>
      </c>
      <c r="B27" s="8" t="inlineStr">
        <is>
          <t>Equipment Condition Assessment Rating</t>
        </is>
      </c>
      <c r="C27" s="8" t="inlineStr">
        <is>
          <t>Computerized Maintenance Management System (CMMS)</t>
        </is>
      </c>
      <c r="D27" s="8" t="inlineStr">
        <is>
          <t>IBM Maximo, SAP PM, Fiix — equipment maintenance tracking</t>
        </is>
      </c>
      <c r="E27" s="8" t="inlineStr">
        <is>
          <t>Default Evidence Source declared: User Validation</t>
        </is>
      </c>
    </row>
    <row r="28" ht="15" customHeight="1" s="6">
      <c r="A28" s="8" t="inlineStr">
        <is>
          <t>CDE-O027</t>
        </is>
      </c>
      <c r="B28" s="8" t="inlineStr">
        <is>
          <t>Facility-Level Safety Audit Frequency</t>
        </is>
      </c>
      <c r="C28" s="8" t="inlineStr">
        <is>
          <t>Manufacturing Execution System (MES)</t>
        </is>
      </c>
      <c r="D28" s="8" t="inlineStr">
        <is>
          <t>SAP MES, Rockwell, Siemens Opcenter — production facility/capacity tracking</t>
        </is>
      </c>
      <c r="E28" s="8" t="inlineStr">
        <is>
          <t>Default Evidence Source declared: User Validation</t>
        </is>
      </c>
    </row>
    <row r="29" ht="15" customHeight="1" s="6">
      <c r="A29" s="8" t="inlineStr">
        <is>
          <t>CDE-O028</t>
        </is>
      </c>
      <c r="B29" s="8" t="inlineStr">
        <is>
          <t>Near-Miss Reporting Mechanism Exists at Facility Level</t>
        </is>
      </c>
      <c r="C29" s="8" t="inlineStr">
        <is>
          <t>Manufacturing Execution System (MES)</t>
        </is>
      </c>
      <c r="D29" s="8" t="inlineStr">
        <is>
          <t>SAP MES, Rockwell, Siemens Opcenter — production facility/capacity tracking</t>
        </is>
      </c>
      <c r="E29" s="8" t="inlineStr">
        <is>
          <t>Default Evidence Source declared: User Validation</t>
        </is>
      </c>
    </row>
    <row r="30" ht="15" customHeight="1" s="6">
      <c r="A30" s="8" t="inlineStr">
        <is>
          <t>CDE-O029</t>
        </is>
      </c>
      <c r="B30" s="8" t="inlineStr">
        <is>
          <t>Deferred Maintenance Backlog Estimated Cost</t>
        </is>
      </c>
      <c r="C30" s="8" t="inlineStr">
        <is>
          <t>Computerized Maintenance Management System (CMMS)</t>
        </is>
      </c>
      <c r="D30" s="8" t="inlineStr">
        <is>
          <t>IBM Maximo, SAP PM, Fiix — equipment maintenance tracking</t>
        </is>
      </c>
      <c r="E30" s="8" t="inlineStr">
        <is>
          <t>Default Evidence Source declared: Finance / ERP</t>
        </is>
      </c>
    </row>
    <row r="31" ht="15" customHeight="1" s="6">
      <c r="A31" s="8" t="inlineStr">
        <is>
          <t>CDE-O030</t>
        </is>
      </c>
      <c r="B31" s="8" t="inlineStr">
        <is>
          <t>Maintenance Backlog Items (Count)</t>
        </is>
      </c>
      <c r="C31" s="8" t="inlineStr">
        <is>
          <t>Computerized Maintenance Management System (CMMS)</t>
        </is>
      </c>
      <c r="D31" s="8" t="inlineStr">
        <is>
          <t>IBM Maximo, SAP PM, Fiix — equipment maintenance tracking</t>
        </is>
      </c>
      <c r="E31" s="8" t="inlineStr">
        <is>
          <t>Default Evidence Source declared: User Validation</t>
        </is>
      </c>
    </row>
    <row r="32" ht="15" customHeight="1" s="6">
      <c r="A32" s="8" t="inlineStr">
        <is>
          <t>CDE-O031</t>
        </is>
      </c>
      <c r="B32" s="8" t="inlineStr">
        <is>
          <t>Unplanned Operational Downtime (Hours, Current Period)</t>
        </is>
      </c>
      <c r="C32" s="8" t="inlineStr">
        <is>
          <t>Manufacturing Execution System (MES)</t>
        </is>
      </c>
      <c r="D32" s="8" t="inlineStr">
        <is>
          <t>SAP MES, Rockwell — downtime event tracking module</t>
        </is>
      </c>
      <c r="E32" s="8" t="inlineStr">
        <is>
          <t>Default Evidence Source declared: User Validation</t>
        </is>
      </c>
    </row>
    <row r="33" ht="15" customHeight="1" s="6">
      <c r="A33" s="8" t="inlineStr">
        <is>
          <t>CDE-O032</t>
        </is>
      </c>
      <c r="B33" s="8" t="inlineStr">
        <is>
          <t>Downtime Event Count (Current Period)</t>
        </is>
      </c>
      <c r="C33" s="8" t="inlineStr">
        <is>
          <t>Manufacturing Execution System (MES)</t>
        </is>
      </c>
      <c r="D33" s="8" t="inlineStr">
        <is>
          <t>SAP MES, Rockwell — downtime event tracking module</t>
        </is>
      </c>
      <c r="E33" s="8" t="inlineStr">
        <is>
          <t>Default Evidence Source declared: User Validation</t>
        </is>
      </c>
    </row>
    <row r="34" ht="15" customHeight="1" s="6">
      <c r="A34" s="8" t="inlineStr">
        <is>
          <t>CDE-O033</t>
        </is>
      </c>
      <c r="B34" s="8" t="inlineStr">
        <is>
          <t>Root Cause Analysis Process Documented for Significant Disruptions</t>
        </is>
      </c>
      <c r="C34" s="8" t="inlineStr">
        <is>
          <t>Manufacturing Execution System (MES)</t>
        </is>
      </c>
      <c r="D34" s="8" t="inlineStr">
        <is>
          <t>SAP MES, Rockwell — downtime event tracking module</t>
        </is>
      </c>
      <c r="E34" s="8" t="inlineStr">
        <is>
          <t>Default Evidence Source declared: User Validation</t>
        </is>
      </c>
    </row>
    <row r="35" ht="15" customHeight="1" s="6">
      <c r="A35" s="8" t="inlineStr">
        <is>
          <t>CDE-O034</t>
        </is>
      </c>
      <c r="B35" s="8" t="inlineStr">
        <is>
          <t>Root Cause Category (Equipment Failure/Human Error/Supply/Other)</t>
        </is>
      </c>
      <c r="C35" s="8" t="inlineStr">
        <is>
          <t>Computerized Maintenance Management System (CMMS)</t>
        </is>
      </c>
      <c r="D35" s="8" t="inlineStr">
        <is>
          <t>IBM Maximo, SAP PM, Fiix — equipment maintenance tracking</t>
        </is>
      </c>
      <c r="E35" s="8" t="inlineStr">
        <is>
          <t>Default Evidence Source declared: User Validation</t>
        </is>
      </c>
    </row>
    <row r="36" ht="15" customHeight="1" s="6">
      <c r="A36" s="8" t="inlineStr">
        <is>
          <t>CDE-O035</t>
        </is>
      </c>
      <c r="B36" s="8" t="inlineStr">
        <is>
          <t>Operational Recovery Time Following Disruption (Hours)</t>
        </is>
      </c>
      <c r="C36" s="8" t="inlineStr">
        <is>
          <t>Manufacturing Execution System (MES)</t>
        </is>
      </c>
      <c r="D36" s="8" t="inlineStr">
        <is>
          <t>SAP MES, Rockwell — downtime event tracking module</t>
        </is>
      </c>
      <c r="E36" s="8" t="inlineStr">
        <is>
          <t>Default Evidence Source declared: User Validation</t>
        </is>
      </c>
    </row>
    <row r="37" ht="15" customHeight="1" s="6">
      <c r="A37" s="8" t="inlineStr">
        <is>
          <t>CDE-O036</t>
        </is>
      </c>
      <c r="B37" s="8" t="inlineStr">
        <is>
          <t>Formal Single-Point-of-Failure Mapping Process Documented</t>
        </is>
      </c>
      <c r="C37" s="8" t="inlineStr">
        <is>
          <t>Business Continuity Management System</t>
        </is>
      </c>
      <c r="D37" s="8" t="inlineStr">
        <is>
          <t>Fusion Risk Management, Castellan — SPOF mapping process documentation</t>
        </is>
      </c>
      <c r="E37" s="8" t="inlineStr">
        <is>
          <t>Default Evidence Source declared: User Validation</t>
        </is>
      </c>
    </row>
    <row r="38" ht="15" customHeight="1" s="6">
      <c r="A38" s="8" t="inlineStr">
        <is>
          <t>CDE-O037</t>
        </is>
      </c>
      <c r="B38" s="8" t="inlineStr">
        <is>
          <t>Business Impact Analysis (BIA) Conducted for Production Operations</t>
        </is>
      </c>
      <c r="C38" s="8" t="inlineStr">
        <is>
          <t>Business Continuity Management System</t>
        </is>
      </c>
      <c r="D38" s="8" t="inlineStr">
        <is>
          <t>Fusion Risk Management, Castellan — BIA/SPOF mapping tracking</t>
        </is>
      </c>
      <c r="E38" s="8" t="inlineStr">
        <is>
          <t>Default Evidence Source declared: User Validation</t>
        </is>
      </c>
    </row>
    <row r="39" ht="15" customHeight="1" s="6">
      <c r="A39" s="8" t="inlineStr">
        <is>
          <t>CDE-O038</t>
        </is>
      </c>
      <c r="B39" s="8" t="inlineStr">
        <is>
          <t>SPOF Mapping Last Conducted Date</t>
        </is>
      </c>
      <c r="C39" s="8" t="inlineStr">
        <is>
          <t>Business Continuity Management System</t>
        </is>
      </c>
      <c r="D39" s="8" t="inlineStr">
        <is>
          <t>Fusion Risk Management, Castellan — BIA/SPOF mapping tracking</t>
        </is>
      </c>
      <c r="E39" s="8" t="inlineStr">
        <is>
          <t>Default Evidence Source declared: User Validation</t>
        </is>
      </c>
    </row>
    <row r="40" ht="15" customHeight="1" s="6">
      <c r="A40" s="8" t="inlineStr">
        <is>
          <t>CDE-O039</t>
        </is>
      </c>
      <c r="B40" s="8" t="inlineStr">
        <is>
          <t>Operational Cost Breakdown by Driver (Labor/Materials/Overhead %)</t>
        </is>
      </c>
      <c r="C40" s="8" t="inlineStr">
        <is>
          <t>Finance / ERP</t>
        </is>
      </c>
      <c r="D40" s="8" t="inlineStr">
        <is>
          <t>SAP, Oracle Finance — operational cost tracking</t>
        </is>
      </c>
      <c r="E40" s="8" t="inlineStr">
        <is>
          <t>Default Evidence Source declared: Finance / ERP</t>
        </is>
      </c>
    </row>
    <row r="41" ht="15" customHeight="1" s="6">
      <c r="A41" s="8" t="inlineStr">
        <is>
          <t>CDE-O040</t>
        </is>
      </c>
      <c r="B41" s="8" t="inlineStr">
        <is>
          <t>Direct Labor Cost as % of Operational Cost</t>
        </is>
      </c>
      <c r="C41" s="8" t="inlineStr">
        <is>
          <t>Finance / ERP</t>
        </is>
      </c>
      <c r="D41" s="8" t="inlineStr">
        <is>
          <t>SAP, Oracle Finance — operational cost tracking</t>
        </is>
      </c>
      <c r="E41" s="8" t="inlineStr">
        <is>
          <t>Default Evidence Source declared: Finance / ERP</t>
        </is>
      </c>
    </row>
    <row r="42" ht="15" customHeight="1" s="6">
      <c r="A42" s="8" t="inlineStr">
        <is>
          <t>CDE-O041</t>
        </is>
      </c>
      <c r="B42" s="8" t="inlineStr">
        <is>
          <t>Unit Production Cost (Current Period)</t>
        </is>
      </c>
      <c r="C42" s="8" t="inlineStr">
        <is>
          <t>Finance / ERP</t>
        </is>
      </c>
      <c r="D42" s="8" t="inlineStr">
        <is>
          <t>SAP, Oracle Finance — operational cost tracking</t>
        </is>
      </c>
      <c r="E42" s="8" t="inlineStr">
        <is>
          <t>Default Evidence Source declared: Finance / ERP</t>
        </is>
      </c>
    </row>
    <row r="43" ht="15" customHeight="1" s="6">
      <c r="A43" s="8" t="inlineStr">
        <is>
          <t>CDE-O042</t>
        </is>
      </c>
      <c r="B43" s="8" t="inlineStr">
        <is>
          <t>Unit Production Cost Trend (3yr)</t>
        </is>
      </c>
      <c r="C43" s="8" t="inlineStr">
        <is>
          <t>Finance / ERP</t>
        </is>
      </c>
      <c r="D43" s="8" t="inlineStr">
        <is>
          <t>SAP, Oracle Finance — operational cost tracking</t>
        </is>
      </c>
      <c r="E43" s="8" t="inlineStr">
        <is>
          <t>Default Evidence Source declared: Finance / ERP</t>
        </is>
      </c>
    </row>
    <row r="44" ht="15" customHeight="1" s="6">
      <c r="A44" s="8" t="inlineStr">
        <is>
          <t>CDE-O043</t>
        </is>
      </c>
      <c r="B44" s="8" t="inlineStr">
        <is>
          <t>Operational Cost Reduction Initiative Documented</t>
        </is>
      </c>
      <c r="C44" s="8" t="inlineStr">
        <is>
          <t>Finance / ERP</t>
        </is>
      </c>
      <c r="D44" s="8" t="inlineStr">
        <is>
          <t>SAP, Oracle Finance — operational cost tracking</t>
        </is>
      </c>
      <c r="E44" s="8" t="inlineStr">
        <is>
          <t>Default Evidence Source declared: User Validation</t>
        </is>
      </c>
    </row>
    <row r="45" ht="15" customHeight="1" s="6">
      <c r="A45" s="8" t="inlineStr">
        <is>
          <t>CDE-O044</t>
        </is>
      </c>
      <c r="B45" s="8" t="inlineStr">
        <is>
          <t>Cost Reduction Initiative Target Savings</t>
        </is>
      </c>
      <c r="C45" s="8" t="inlineStr">
        <is>
          <t>Finance / ERP</t>
        </is>
      </c>
      <c r="D45" s="8" t="inlineStr">
        <is>
          <t>SAP, Oracle Finance — operational cost tracking</t>
        </is>
      </c>
      <c r="E45" s="8" t="inlineStr">
        <is>
          <t>Default Evidence Source declared: User Validation</t>
        </is>
      </c>
    </row>
    <row r="46" ht="15" customHeight="1" s="6">
      <c r="A46" s="8" t="inlineStr">
        <is>
          <t>CDE-O045</t>
        </is>
      </c>
      <c r="B46" s="8" t="inlineStr">
        <is>
          <t>Energy Cost per Unit of Production</t>
        </is>
      </c>
      <c r="C46" s="8" t="inlineStr">
        <is>
          <t>Finance / ERP</t>
        </is>
      </c>
      <c r="D46" s="8" t="inlineStr">
        <is>
          <t>SAP, Oracle Finance — operational cost tracking</t>
        </is>
      </c>
      <c r="E46" s="8" t="inlineStr">
        <is>
          <t>Default Evidence Source declared: Finance / ERP</t>
        </is>
      </c>
    </row>
    <row r="47" ht="15" customHeight="1" s="6">
      <c r="A47" s="8" t="inlineStr">
        <is>
          <t>CDE-O046</t>
        </is>
      </c>
      <c r="B47" s="8" t="inlineStr">
        <is>
          <t>Energy Cost per Unit Trend (3yr)</t>
        </is>
      </c>
      <c r="C47" s="8" t="inlineStr">
        <is>
          <t>Finance / ERP</t>
        </is>
      </c>
      <c r="D47" s="8" t="inlineStr">
        <is>
          <t>SAP, Oracle Finance — operational cost tracking</t>
        </is>
      </c>
      <c r="E47" s="8" t="inlineStr">
        <is>
          <t>Default Evidence Source declared: Finance / ERP</t>
        </is>
      </c>
    </row>
    <row r="48" ht="15" customHeight="1" s="6">
      <c r="A48" s="8" t="inlineStr">
        <is>
          <t>CDE-O047</t>
        </is>
      </c>
      <c r="B48" s="8" t="inlineStr">
        <is>
          <t>Water Cost per Unit of Production</t>
        </is>
      </c>
      <c r="C48" s="8" t="inlineStr">
        <is>
          <t>Finance / ERP</t>
        </is>
      </c>
      <c r="D48" s="8" t="inlineStr">
        <is>
          <t>SAP, Oracle Finance — operational cost tracking</t>
        </is>
      </c>
      <c r="E48" s="8" t="inlineStr">
        <is>
          <t>Default Evidence Source declared: Finance / ERP</t>
        </is>
      </c>
    </row>
    <row r="49" ht="15" customHeight="1" s="6">
      <c r="A49" s="8" t="inlineStr">
        <is>
          <t>CDE-O048</t>
        </is>
      </c>
      <c r="B49" s="8" t="inlineStr">
        <is>
          <t>Raw Material Cost Efficiency Ratio (Material Cost per Unit Output)</t>
        </is>
      </c>
      <c r="C49" s="8" t="inlineStr">
        <is>
          <t>Finance / ERP</t>
        </is>
      </c>
      <c r="D49" s="8" t="inlineStr">
        <is>
          <t>SAP, Oracle Finance — operational cost tracking</t>
        </is>
      </c>
      <c r="E49" s="8" t="inlineStr">
        <is>
          <t>Default Evidence Source declared: Finance / ERP</t>
        </is>
      </c>
    </row>
    <row r="50" ht="15" customHeight="1" s="6">
      <c r="A50" s="8" t="inlineStr">
        <is>
          <t>CDE-O049</t>
        </is>
      </c>
      <c r="B50" s="8" t="inlineStr">
        <is>
          <t>Operational Efficiency Investment Made (e.g. Equipment Upgrade for Energy Savings)</t>
        </is>
      </c>
      <c r="C50" s="8" t="inlineStr">
        <is>
          <t>Computerized Maintenance Management System (CMMS)</t>
        </is>
      </c>
      <c r="D50" s="8" t="inlineStr">
        <is>
          <t>IBM Maximo, SAP PM, Fiix — equipment maintenance tracking</t>
        </is>
      </c>
      <c r="E50" s="8" t="inlineStr">
        <is>
          <t>Default Evidence Source declared: Finance / ERP</t>
        </is>
      </c>
    </row>
    <row r="51" ht="15" customHeight="1" s="6">
      <c r="A51" s="8" t="inlineStr">
        <is>
          <t>CDE-O050</t>
        </is>
      </c>
      <c r="B51" s="8" t="inlineStr">
        <is>
          <t>Efficiency Investment Payback Period (Years)</t>
        </is>
      </c>
      <c r="C51" s="8" t="inlineStr">
        <is>
          <t>Finance / ERP</t>
        </is>
      </c>
      <c r="D51" s="8" t="inlineStr">
        <is>
          <t>SAP, Oracle Finance</t>
        </is>
      </c>
      <c r="E51" s="8" t="inlineStr">
        <is>
          <t>Default Evidence Source declared: Finance / ERP</t>
        </is>
      </c>
    </row>
    <row r="52" ht="15" customHeight="1" s="6">
      <c r="A52" s="8" t="inlineStr">
        <is>
          <t>CDE-O051</t>
        </is>
      </c>
      <c r="B52" s="8" t="inlineStr">
        <is>
          <t>Operational Technology (OT) Systems Deployed (SCADA/MES/Other)</t>
        </is>
      </c>
      <c r="C52" s="8" t="inlineStr">
        <is>
          <t>Operational Technology Platform</t>
        </is>
      </c>
      <c r="D52" s="8" t="inlineStr">
        <is>
          <t>Siemens MindSphere, GE Predix, PTC ThingWorx — OT/automation tracking</t>
        </is>
      </c>
      <c r="E52" s="8" t="inlineStr">
        <is>
          <t>Default Evidence Source declared: User Validation</t>
        </is>
      </c>
    </row>
    <row r="53" ht="15" customHeight="1" s="6">
      <c r="A53" s="8" t="inlineStr">
        <is>
          <t>CDE-O052</t>
        </is>
      </c>
      <c r="B53" s="8" t="inlineStr">
        <is>
          <t>OT System Type/Vendor</t>
        </is>
      </c>
      <c r="C53" s="8" t="inlineStr">
        <is>
          <t>Operational Technology Platform</t>
        </is>
      </c>
      <c r="D53" s="8" t="inlineStr">
        <is>
          <t>Siemens MindSphere, GE Predix, PTC ThingWorx — OT/automation tracking</t>
        </is>
      </c>
      <c r="E53" s="8" t="inlineStr">
        <is>
          <t>Default Evidence Source declared: User Validation</t>
        </is>
      </c>
    </row>
    <row r="54" ht="15" customHeight="1" s="6">
      <c r="A54" s="8" t="inlineStr">
        <is>
          <t>CDE-O053</t>
        </is>
      </c>
      <c r="B54" s="8" t="inlineStr">
        <is>
          <t>Automation/Robotics Deployment in Operations</t>
        </is>
      </c>
      <c r="C54" s="8" t="inlineStr">
        <is>
          <t>Operational Technology Platform</t>
        </is>
      </c>
      <c r="D54" s="8" t="inlineStr">
        <is>
          <t>Siemens MindSphere, GE Predix, PTC ThingWorx — OT/automation tracking</t>
        </is>
      </c>
      <c r="E54" s="8" t="inlineStr">
        <is>
          <t>Default Evidence Source declared: User Validation</t>
        </is>
      </c>
    </row>
    <row r="55" ht="15" customHeight="1" s="6">
      <c r="A55" s="8" t="inlineStr">
        <is>
          <t>CDE-O054</t>
        </is>
      </c>
      <c r="B55" s="8" t="inlineStr">
        <is>
          <t>Production Process Automated %</t>
        </is>
      </c>
      <c r="C55" s="8" t="inlineStr">
        <is>
          <t>Operational Technology Platform</t>
        </is>
      </c>
      <c r="D55" s="8" t="inlineStr">
        <is>
          <t>Siemens MindSphere, GE Predix — automation coverage tracking</t>
        </is>
      </c>
      <c r="E55" s="8" t="inlineStr">
        <is>
          <t>Default Evidence Source declared: User Validation</t>
        </is>
      </c>
    </row>
    <row r="56" ht="15" customHeight="1" s="6">
      <c r="A56" s="8" t="inlineStr">
        <is>
          <t>CDE-O055</t>
        </is>
      </c>
      <c r="B56" s="8" t="inlineStr">
        <is>
          <t>Digital Twin or Real-Time Operational Monitoring Capability Exists</t>
        </is>
      </c>
      <c r="C56" s="8" t="inlineStr">
        <is>
          <t>Operational Technology Platform</t>
        </is>
      </c>
      <c r="D56" s="8" t="inlineStr">
        <is>
          <t>Siemens MindSphere, GE Predix, PTC ThingWorx — OT/automation tracking</t>
        </is>
      </c>
      <c r="E56" s="8" t="inlineStr">
        <is>
          <t>Default Evidence Source declared: User Validation</t>
        </is>
      </c>
    </row>
    <row r="57" ht="15" customHeight="1" s="6">
      <c r="A57" s="8" t="inlineStr">
        <is>
          <t>CDE-O056</t>
        </is>
      </c>
      <c r="B57" s="8" t="inlineStr">
        <is>
          <t>Facility Lease vs Owned Mix % (Group-Level)</t>
        </is>
      </c>
      <c r="C57" s="8" t="inlineStr">
        <is>
          <t>Manufacturing Execution System (MES)</t>
        </is>
      </c>
      <c r="D57" s="8" t="inlineStr">
        <is>
          <t>SAP MES, Rockwell, Siemens Opcenter — production facility/capacity tracking</t>
        </is>
      </c>
      <c r="E57" s="8" t="inlineStr">
        <is>
          <t>Default Evidence Source declared: User Validation</t>
        </is>
      </c>
    </row>
    <row r="58" ht="15" customHeight="1" s="6">
      <c r="A58" s="8" t="inlineStr">
        <is>
          <t>CDE-O057</t>
        </is>
      </c>
      <c r="B58" s="8" t="inlineStr">
        <is>
          <t>Facility Geographic Region</t>
        </is>
      </c>
      <c r="C58" s="8" t="inlineStr">
        <is>
          <t>Manufacturing Execution System (MES)</t>
        </is>
      </c>
      <c r="D58" s="8" t="inlineStr">
        <is>
          <t>SAP MES, Rockwell, Siemens Opcenter — production facility/capacity tracking</t>
        </is>
      </c>
      <c r="E58" s="8" t="inlineStr">
        <is>
          <t>Default Evidence Source declared: User Validation</t>
        </is>
      </c>
    </row>
    <row r="59" ht="15" customHeight="1" s="6">
      <c r="A59" s="8" t="inlineStr">
        <is>
          <t>CDE-O058</t>
        </is>
      </c>
      <c r="B59" s="8" t="inlineStr">
        <is>
          <t>Capacity Utilization Last Reviewed Date</t>
        </is>
      </c>
      <c r="C59" s="8" t="inlineStr">
        <is>
          <t>Manufacturing Execution System (MES)</t>
        </is>
      </c>
      <c r="D59" s="8" t="inlineStr">
        <is>
          <t>SAP MES, Rockwell, Siemens Opcenter — production facility/capacity tracking</t>
        </is>
      </c>
      <c r="E59" s="8" t="inlineStr">
        <is>
          <t>Default Evidence Source declared: User Validation</t>
        </is>
      </c>
    </row>
    <row r="60" ht="15" customHeight="1" s="6">
      <c r="A60" s="8" t="inlineStr">
        <is>
          <t>CDE-O059</t>
        </is>
      </c>
      <c r="B60" s="8" t="inlineStr">
        <is>
          <t>Production Throughput Trend (3yr)</t>
        </is>
      </c>
      <c r="C60" s="8" t="inlineStr">
        <is>
          <t>Manufacturing Execution System (MES)</t>
        </is>
      </c>
      <c r="D60" s="8" t="inlineStr">
        <is>
          <t>SAP MES, Rockwell, Siemens Opcenter — production facility/capacity tracking</t>
        </is>
      </c>
      <c r="E60" s="8" t="inlineStr">
        <is>
          <t>Default Evidence Source declared: User Validation</t>
        </is>
      </c>
    </row>
    <row r="61" ht="15" customHeight="1" s="6">
      <c r="A61" s="8" t="inlineStr">
        <is>
          <t>CDE-O060</t>
        </is>
      </c>
      <c r="B61" s="8" t="inlineStr">
        <is>
          <t>OEE Benchmark Comparison (Industry Standard)</t>
        </is>
      </c>
      <c r="C61" s="8" t="inlineStr">
        <is>
          <t>Manufacturing Execution System (MES)</t>
        </is>
      </c>
      <c r="D61" s="8" t="inlineStr">
        <is>
          <t>SAP MES, Rockwell, Siemens Opcenter — production facility/capacity tracking</t>
        </is>
      </c>
      <c r="E61" s="8" t="inlineStr">
        <is>
          <t>Default Evidence Source declared: User Validation</t>
        </is>
      </c>
    </row>
    <row r="62" ht="15" customHeight="1" s="6">
      <c r="A62" s="8" t="inlineStr">
        <is>
          <t>CDE-O061</t>
        </is>
      </c>
      <c r="B62" s="8" t="inlineStr">
        <is>
          <t>Capacity Change Implementation Timeline (Months)</t>
        </is>
      </c>
      <c r="C62" s="8" t="inlineStr">
        <is>
          <t>Manufacturing Execution System (MES)</t>
        </is>
      </c>
      <c r="D62" s="8" t="inlineStr">
        <is>
          <t>SAP MES, Rockwell, Siemens Opcenter — production facility/capacity tracking</t>
        </is>
      </c>
      <c r="E62" s="8" t="inlineStr">
        <is>
          <t>Default Evidence Source declared: User Validation</t>
        </is>
      </c>
    </row>
    <row r="63" ht="15" customHeight="1" s="6">
      <c r="A63" s="8" t="inlineStr">
        <is>
          <t>CDE-O062</t>
        </is>
      </c>
      <c r="B63" s="8" t="inlineStr">
        <is>
          <t>Production Process Methodology Last Reviewed Date</t>
        </is>
      </c>
      <c r="C63" s="8" t="inlineStr">
        <is>
          <t>Manufacturing Execution System (MES)</t>
        </is>
      </c>
      <c r="D63" s="8" t="inlineStr">
        <is>
          <t>SAP MES, Rockwell — methodology review date tracking</t>
        </is>
      </c>
      <c r="E63" s="8" t="inlineStr">
        <is>
          <t>Default Evidence Source declared: User Validation</t>
        </is>
      </c>
    </row>
    <row r="64" ht="15" customHeight="1" s="6">
      <c r="A64" s="8" t="inlineStr">
        <is>
          <t>CDE-O063</t>
        </is>
      </c>
      <c r="B64" s="8" t="inlineStr">
        <is>
          <t>Production Process Methodology Changed in Current Period</t>
        </is>
      </c>
      <c r="C64" s="8" t="inlineStr">
        <is>
          <t>Manufacturing Execution System (MES)</t>
        </is>
      </c>
      <c r="D64" s="8" t="inlineStr">
        <is>
          <t>SAP MES, Rockwell — methodology change log</t>
        </is>
      </c>
      <c r="E64" s="8" t="inlineStr">
        <is>
          <t>Default Evidence Source declared: User Validation</t>
        </is>
      </c>
    </row>
    <row r="65" ht="15" customHeight="1" s="6">
      <c r="A65" s="8" t="inlineStr">
        <is>
          <t>CDE-O064</t>
        </is>
      </c>
      <c r="B65" s="8" t="inlineStr">
        <is>
          <t>Quality Control Methodology (Statistical Process Control/Other)</t>
        </is>
      </c>
      <c r="C65" s="8" t="inlineStr">
        <is>
          <t>Quality Management System (QMS)</t>
        </is>
      </c>
      <c r="D65" s="8" t="inlineStr">
        <is>
          <t>MasterControl, ETQ, SAP QM — quality control tracking</t>
        </is>
      </c>
      <c r="E65" s="8" t="inlineStr">
        <is>
          <t>Default Evidence Source declared: User Validation</t>
        </is>
      </c>
    </row>
    <row r="66" ht="15" customHeight="1" s="6">
      <c r="A66" s="8" t="inlineStr">
        <is>
          <t>CDE-O065</t>
        </is>
      </c>
      <c r="B66" s="8" t="inlineStr">
        <is>
          <t>Rework/Scrap Root Cause Category</t>
        </is>
      </c>
      <c r="C66" s="8" t="inlineStr">
        <is>
          <t>Manufacturing Execution System (MES)</t>
        </is>
      </c>
      <c r="D66" s="8" t="inlineStr">
        <is>
          <t>SAP MES, Rockwell — downtime event tracking module</t>
        </is>
      </c>
      <c r="E66" s="8" t="inlineStr">
        <is>
          <t>Default Evidence Source declared: User Validation</t>
        </is>
      </c>
    </row>
    <row r="67" ht="15" customHeight="1" s="6">
      <c r="A67" s="8" t="inlineStr">
        <is>
          <t>CDE-O066</t>
        </is>
      </c>
      <c r="B67" s="8" t="inlineStr">
        <is>
          <t>Continuous Improvement Program Savings (Current Period)</t>
        </is>
      </c>
      <c r="C67" s="8" t="inlineStr">
        <is>
          <t>Finance / ERP</t>
        </is>
      </c>
      <c r="D67" s="8" t="inlineStr">
        <is>
          <t>SAP, Oracle Finance</t>
        </is>
      </c>
      <c r="E67" s="8" t="inlineStr">
        <is>
          <t>Default Evidence Source declared: Finance / ERP</t>
        </is>
      </c>
    </row>
    <row r="68" ht="15" customHeight="1" s="6">
      <c r="A68" s="8" t="inlineStr">
        <is>
          <t>CDE-O067</t>
        </is>
      </c>
      <c r="B68" s="8" t="inlineStr">
        <is>
          <t>Continuous Improvement Initiatives Active (Count)</t>
        </is>
      </c>
      <c r="C68" s="8" t="inlineStr">
        <is>
          <t>Quality Management System (QMS)</t>
        </is>
      </c>
      <c r="D68" s="8" t="inlineStr">
        <is>
          <t>MasterControl, ETQ — active initiative tracking</t>
        </is>
      </c>
      <c r="E68" s="8" t="inlineStr">
        <is>
          <t>Default Evidence Source declared: User Validation</t>
        </is>
      </c>
    </row>
    <row r="69" ht="15" customHeight="1" s="6">
      <c r="A69" s="8" t="inlineStr">
        <is>
          <t>CDE-O068</t>
        </is>
      </c>
      <c r="B69" s="8" t="inlineStr">
        <is>
          <t>Preventive Maintenance Cost (Current Period)</t>
        </is>
      </c>
      <c r="C69" s="8" t="inlineStr">
        <is>
          <t>Computerized Maintenance Management System (CMMS)</t>
        </is>
      </c>
      <c r="D69" s="8" t="inlineStr">
        <is>
          <t>IBM Maximo, SAP PM, Fiix — equipment maintenance tracking</t>
        </is>
      </c>
      <c r="E69" s="8" t="inlineStr">
        <is>
          <t>Default Evidence Source declared: Finance / ERP</t>
        </is>
      </c>
    </row>
    <row r="70" ht="15" customHeight="1" s="6">
      <c r="A70" s="8" t="inlineStr">
        <is>
          <t>CDE-O069</t>
        </is>
      </c>
      <c r="B70" s="8" t="inlineStr">
        <is>
          <t>Equipment Replacement Plan Documented</t>
        </is>
      </c>
      <c r="C70" s="8" t="inlineStr">
        <is>
          <t>Computerized Maintenance Management System (CMMS)</t>
        </is>
      </c>
      <c r="D70" s="8" t="inlineStr">
        <is>
          <t>IBM Maximo, SAP PM, Fiix — equipment maintenance tracking</t>
        </is>
      </c>
      <c r="E70" s="8" t="inlineStr">
        <is>
          <t>Default Evidence Source declared: User Validation</t>
        </is>
      </c>
    </row>
    <row r="71" ht="15" customHeight="1" s="6">
      <c r="A71" s="8" t="inlineStr">
        <is>
          <t>CDE-O070</t>
        </is>
      </c>
      <c r="B71" s="8" t="inlineStr">
        <is>
          <t>Safety Audit Findings (Open Items Count)</t>
        </is>
      </c>
      <c r="C71" s="8" t="inlineStr">
        <is>
          <t>Computerized Maintenance Management System (CMMS)</t>
        </is>
      </c>
      <c r="D71" s="8" t="inlineStr">
        <is>
          <t>IBM Maximo, SAP PM, Fiix — equipment maintenance tracking</t>
        </is>
      </c>
      <c r="E71" s="8" t="inlineStr">
        <is>
          <t>Default Evidence Source declared: User Validation</t>
        </is>
      </c>
    </row>
    <row r="72" ht="15" customHeight="1" s="6">
      <c r="A72" s="8" t="inlineStr">
        <is>
          <t>CDE-O071</t>
        </is>
      </c>
      <c r="B72" s="8" t="inlineStr">
        <is>
          <t>Maintenance Backlog Age (Oldest Item, Days)</t>
        </is>
      </c>
      <c r="C72" s="8" t="inlineStr">
        <is>
          <t>Computerized Maintenance Management System (CMMS)</t>
        </is>
      </c>
      <c r="D72" s="8" t="inlineStr">
        <is>
          <t>IBM Maximo, SAP PM, Fiix — equipment maintenance tracking</t>
        </is>
      </c>
      <c r="E72" s="8" t="inlineStr">
        <is>
          <t>Default Evidence Source declared: User Validation</t>
        </is>
      </c>
    </row>
    <row r="73" ht="15" customHeight="1" s="6">
      <c r="A73" s="8" t="inlineStr">
        <is>
          <t>CDE-O072</t>
        </is>
      </c>
      <c r="B73" s="8" t="inlineStr">
        <is>
          <t>Downtime Cause Category (Mechanical/Electrical/Process/Other)</t>
        </is>
      </c>
      <c r="C73" s="8" t="inlineStr">
        <is>
          <t>Manufacturing Execution System (MES)</t>
        </is>
      </c>
      <c r="D73" s="8" t="inlineStr">
        <is>
          <t>SAP MES, Rockwell — downtime event tracking module</t>
        </is>
      </c>
      <c r="E73" s="8" t="inlineStr">
        <is>
          <t>Default Evidence Source declared: User Validation</t>
        </is>
      </c>
    </row>
    <row r="74" ht="15" customHeight="1" s="6">
      <c r="A74" s="8" t="inlineStr">
        <is>
          <t>CDE-O073</t>
        </is>
      </c>
      <c r="B74" s="8" t="inlineStr">
        <is>
          <t>Root Cause Analysis Completion Rate %</t>
        </is>
      </c>
      <c r="C74" s="8" t="inlineStr">
        <is>
          <t>Manufacturing Execution System (MES)</t>
        </is>
      </c>
      <c r="D74" s="8" t="inlineStr">
        <is>
          <t>SAP MES, Rockwell — downtime event tracking module</t>
        </is>
      </c>
      <c r="E74" s="8" t="inlineStr">
        <is>
          <t>Default Evidence Source declared: User Validation</t>
        </is>
      </c>
    </row>
    <row r="75" ht="15" customHeight="1" s="6">
      <c r="A75" s="8" t="inlineStr">
        <is>
          <t>CDE-O074</t>
        </is>
      </c>
      <c r="B75" s="8" t="inlineStr">
        <is>
          <t>Recovery Time Objective (RTO) Target (Hours)</t>
        </is>
      </c>
      <c r="C75" s="8" t="inlineStr">
        <is>
          <t>Manufacturing Execution System (MES)</t>
        </is>
      </c>
      <c r="D75" s="8" t="inlineStr">
        <is>
          <t>SAP MES, Rockwell — downtime event tracking module</t>
        </is>
      </c>
      <c r="E75" s="8" t="inlineStr">
        <is>
          <t>Default Evidence Source declared: User Validation</t>
        </is>
      </c>
    </row>
    <row r="76" ht="15" customHeight="1" s="6">
      <c r="A76" s="8" t="inlineStr">
        <is>
          <t>CDE-O075</t>
        </is>
      </c>
      <c r="B76" s="8" t="inlineStr">
        <is>
          <t>Operational Cost Breakdown Last Reviewed Date</t>
        </is>
      </c>
      <c r="C76" s="8" t="inlineStr">
        <is>
          <t>Finance / ERP</t>
        </is>
      </c>
      <c r="D76" s="8" t="inlineStr">
        <is>
          <t>SAP, Oracle Finance — operational cost tracking</t>
        </is>
      </c>
      <c r="E76" s="8" t="inlineStr">
        <is>
          <t>Default Evidence Source declared: Finance / ERP</t>
        </is>
      </c>
    </row>
    <row r="77" ht="15" customHeight="1" s="6">
      <c r="A77" s="8" t="inlineStr">
        <is>
          <t>CDE-O076</t>
        </is>
      </c>
      <c r="B77" s="8" t="inlineStr">
        <is>
          <t>Unit Production Cost Benchmark vs Industry</t>
        </is>
      </c>
      <c r="C77" s="8" t="inlineStr">
        <is>
          <t>Finance / ERP</t>
        </is>
      </c>
      <c r="D77" s="8" t="inlineStr">
        <is>
          <t>SAP, Oracle Finance — operational cost tracking</t>
        </is>
      </c>
      <c r="E77" s="8" t="inlineStr">
        <is>
          <t>Default Evidence Source declared: User Validation</t>
        </is>
      </c>
    </row>
    <row r="78" ht="15" customHeight="1" s="6">
      <c r="A78" s="8" t="inlineStr">
        <is>
          <t>CDE-O077</t>
        </is>
      </c>
      <c r="B78" s="8" t="inlineStr">
        <is>
          <t>Cost Reduction Initiative Implementation Status</t>
        </is>
      </c>
      <c r="C78" s="8" t="inlineStr">
        <is>
          <t>Finance / ERP</t>
        </is>
      </c>
      <c r="D78" s="8" t="inlineStr">
        <is>
          <t>SAP, Oracle Finance — operational cost tracking</t>
        </is>
      </c>
      <c r="E78" s="8" t="inlineStr">
        <is>
          <t>Default Evidence Source declared: User Validation</t>
        </is>
      </c>
    </row>
    <row r="79" ht="15" customHeight="1" s="6">
      <c r="A79" s="8" t="inlineStr">
        <is>
          <t>CDE-O078</t>
        </is>
      </c>
      <c r="B79" s="8" t="inlineStr">
        <is>
          <t>Energy Cost per Unit Benchmark vs Industry</t>
        </is>
      </c>
      <c r="C79" s="8" t="inlineStr">
        <is>
          <t>Finance / ERP</t>
        </is>
      </c>
      <c r="D79" s="8" t="inlineStr">
        <is>
          <t>SAP, Oracle Finance — operational cost tracking</t>
        </is>
      </c>
      <c r="E79" s="8" t="inlineStr">
        <is>
          <t>Default Evidence Source declared: User Validation</t>
        </is>
      </c>
    </row>
    <row r="80" ht="15" customHeight="1" s="6">
      <c r="A80" s="8" t="inlineStr">
        <is>
          <t>CDE-O079</t>
        </is>
      </c>
      <c r="B80" s="8" t="inlineStr">
        <is>
          <t>Water/Material Cost Efficiency Last Reviewed Date</t>
        </is>
      </c>
      <c r="C80" s="8" t="inlineStr">
        <is>
          <t>Finance / ERP</t>
        </is>
      </c>
      <c r="D80" s="8" t="inlineStr">
        <is>
          <t>SAP, Oracle Finance — operational cost tracking</t>
        </is>
      </c>
      <c r="E80" s="8" t="inlineStr">
        <is>
          <t>Default Evidence Source declared: User Validation</t>
        </is>
      </c>
    </row>
    <row r="81" ht="15" customHeight="1" s="6">
      <c r="A81" s="8" t="inlineStr">
        <is>
          <t>CDE-O080</t>
        </is>
      </c>
      <c r="B81" s="8" t="inlineStr">
        <is>
          <t>Efficiency Investment Total Capital Deployed (Current Period)</t>
        </is>
      </c>
      <c r="C81" s="8" t="inlineStr">
        <is>
          <t>Finance / ERP</t>
        </is>
      </c>
      <c r="D81" s="8" t="inlineStr">
        <is>
          <t>SAP, Oracle Finance</t>
        </is>
      </c>
      <c r="E81" s="8" t="inlineStr">
        <is>
          <t>Default Evidence Source declared: Finance / ERP</t>
        </is>
      </c>
    </row>
    <row r="82" ht="15" customHeight="1" s="6">
      <c r="A82" s="8" t="inlineStr">
        <is>
          <t>CDE-O081</t>
        </is>
      </c>
      <c r="B82" s="8" t="inlineStr">
        <is>
          <t>OT System Cybersecurity Assessment Conducted</t>
        </is>
      </c>
      <c r="C82" s="8" t="inlineStr">
        <is>
          <t>Operational Technology Platform</t>
        </is>
      </c>
      <c r="D82" s="8" t="inlineStr">
        <is>
          <t>Siemens MindSphere, GE Predix, PTC ThingWorx — OT/automation tracking</t>
        </is>
      </c>
      <c r="E82" s="8" t="inlineStr">
        <is>
          <t>Default Evidence Source declared: User Validation</t>
        </is>
      </c>
    </row>
    <row r="83" ht="15" customHeight="1" s="6">
      <c r="A83" s="8" t="inlineStr">
        <is>
          <t>CDE-O082</t>
        </is>
      </c>
      <c r="B83" s="8" t="inlineStr">
        <is>
          <t>Automation Investment Plan for Next 12 Months</t>
        </is>
      </c>
      <c r="C83" s="8" t="inlineStr">
        <is>
          <t>Operational Technology Platform</t>
        </is>
      </c>
      <c r="D83" s="8" t="inlineStr">
        <is>
          <t>Siemens MindSphere, GE Predix, PTC ThingWorx — OT/automation tracking</t>
        </is>
      </c>
      <c r="E83" s="8" t="inlineStr">
        <is>
          <t>Default Evidence Source declared: User Validation</t>
        </is>
      </c>
    </row>
    <row r="84" ht="15" customHeight="1" s="6">
      <c r="A84" s="8" t="inlineStr">
        <is>
          <t>CDE-O083</t>
        </is>
      </c>
      <c r="B84" s="8" t="inlineStr">
        <is>
          <t>Digital Twin/Monitoring Coverage % of Operations</t>
        </is>
      </c>
      <c r="C84" s="8" t="inlineStr">
        <is>
          <t>Operational Technology Platform</t>
        </is>
      </c>
      <c r="D84" s="8" t="inlineStr">
        <is>
          <t>Siemens MindSphere, GE Predix, PTC ThingWorx — OT/automation tracking</t>
        </is>
      </c>
      <c r="E84" s="8" t="inlineStr">
        <is>
          <t>Default Evidence Source declared: User Validation</t>
        </is>
      </c>
    </row>
    <row r="85" ht="15" customHeight="1" s="6">
      <c r="A85" s="8" t="inlineStr">
        <is>
          <t>CDE-O084</t>
        </is>
      </c>
      <c r="B85" s="8" t="inlineStr">
        <is>
          <t>Facility ISO Certification Last Audit Date</t>
        </is>
      </c>
      <c r="C85" s="8" t="inlineStr">
        <is>
          <t>Manufacturing Execution System (MES)</t>
        </is>
      </c>
      <c r="D85" s="8" t="inlineStr">
        <is>
          <t>SAP MES, Rockwell, Siemens Opcenter — production facility/capacity tracking</t>
        </is>
      </c>
      <c r="E85" s="8" t="inlineStr">
        <is>
          <t>Default Evidence Source declared: User Validation</t>
        </is>
      </c>
    </row>
    <row r="86" ht="15" customHeight="1" s="6">
      <c r="A86" s="8" t="inlineStr">
        <is>
          <t>CDE-O085</t>
        </is>
      </c>
      <c r="B86" s="8" t="inlineStr">
        <is>
          <t>Production Throughput Capacity Gap (Actual vs Rated)</t>
        </is>
      </c>
      <c r="C86" s="8" t="inlineStr">
        <is>
          <t>Manufacturing Execution System (MES)</t>
        </is>
      </c>
      <c r="D86" s="8" t="inlineStr">
        <is>
          <t>SAP MES, Rockwell, Siemens Opcenter — production facility/capacity tracking</t>
        </is>
      </c>
      <c r="E86" s="8" t="inlineStr">
        <is>
          <t>Default Evidence Source declared: User Validation</t>
        </is>
      </c>
    </row>
    <row r="87" ht="15" customHeight="1" s="6">
      <c r="A87" s="8" t="inlineStr">
        <is>
          <t>CDE-O086</t>
        </is>
      </c>
      <c r="B87" s="8" t="inlineStr">
        <is>
          <t>Digital Twin/Monitoring Vendor/Platform Used</t>
        </is>
      </c>
      <c r="C87" s="8" t="inlineStr">
        <is>
          <t>Operational Technology Platform</t>
        </is>
      </c>
      <c r="D87" s="8" t="inlineStr">
        <is>
          <t>Siemens MindSphere, GE Predix, PTC ThingWorx — OT/automation tracking</t>
        </is>
      </c>
      <c r="E87" s="8" t="inlineStr">
        <is>
          <t>Default Evidence Source declared: User Validation</t>
        </is>
      </c>
    </row>
    <row r="88" ht="15" customHeight="1" s="6">
      <c r="A88" s="8" t="inlineStr">
        <is>
          <t>CDE-O087</t>
        </is>
      </c>
      <c r="B88" s="8" t="inlineStr">
        <is>
          <t>Recovery Time Objective Last Tested/Drilled Date</t>
        </is>
      </c>
      <c r="C88" s="8" t="inlineStr">
        <is>
          <t>Manufacturing Execution System (MES)</t>
        </is>
      </c>
      <c r="D88" s="8" t="inlineStr">
        <is>
          <t>SAP MES, Rockwell — downtime event tracking module</t>
        </is>
      </c>
      <c r="E88" s="8" t="inlineStr">
        <is>
          <t>Default Evidence Source declared: User Validation</t>
        </is>
      </c>
    </row>
    <row r="89" ht="15" customHeight="1" s="6">
      <c r="A89" s="5" t="inlineStr">
        <is>
          <t>CDE-O088</t>
        </is>
      </c>
      <c r="B89" s="5" t="inlineStr">
        <is>
          <t>Production Scheduling/Planning System in Use</t>
        </is>
      </c>
      <c r="C89" s="5" t="inlineStr">
        <is>
          <t>Manufacturing Execution System (MES)</t>
        </is>
      </c>
      <c r="D89" s="5" t="inlineStr">
        <is>
          <t>SAP MES, Rockwell, Siemens Opcenter — production scheduling module</t>
        </is>
      </c>
      <c r="E89" s="5" t="inlineStr">
        <is>
          <t>Default Evidence Source declared: see CDE Registry</t>
        </is>
      </c>
    </row>
    <row r="90" ht="15" customHeight="1" s="6">
      <c r="A90" s="5" t="inlineStr">
        <is>
          <t>CDE-O089</t>
        </is>
      </c>
      <c r="B90" s="5" t="inlineStr">
        <is>
          <t>Work-in-Progress (WIP) Level (Physical Units, Distinct from Dollar Value)</t>
        </is>
      </c>
      <c r="C90" s="5" t="inlineStr">
        <is>
          <t>Manufacturing Execution System (MES)</t>
        </is>
      </c>
      <c r="D90" s="5" t="inlineStr">
        <is>
          <t>SAP MES, Rockwell — WIP tracking module</t>
        </is>
      </c>
      <c r="E90" s="5" t="inlineStr">
        <is>
          <t>Default Evidence Source declared: see CDE Registry</t>
        </is>
      </c>
    </row>
    <row r="91" ht="15" customHeight="1" s="6">
      <c r="A91" s="5" t="inlineStr">
        <is>
          <t>CDE-O090</t>
        </is>
      </c>
      <c r="B91" s="5" t="inlineStr">
        <is>
          <t>Outsourced/Contract Manufacturing Arrangement Exists</t>
        </is>
      </c>
      <c r="C91" s="5" t="inlineStr">
        <is>
          <t>Human Judgment / Internal Assessment</t>
        </is>
      </c>
      <c r="D91" s="5" t="inlineStr">
        <is>
          <t>Operations/Procurement team contract manufacturing documentation</t>
        </is>
      </c>
      <c r="E91" s="5" t="inlineStr">
        <is>
          <t>Default Evidence Source declared: see CDE Registry</t>
        </is>
      </c>
    </row>
    <row r="92" ht="15" customHeight="1" s="6">
      <c r="A92" s="5" t="inlineStr">
        <is>
          <t>CDE-O091</t>
        </is>
      </c>
      <c r="B92" s="5" t="inlineStr">
        <is>
          <t>Facility Decommissioning or Closure Plan Underway</t>
        </is>
      </c>
      <c r="C92" s="5" t="inlineStr">
        <is>
          <t>Human Judgment / Internal Assessment</t>
        </is>
      </c>
      <c r="D92" s="5" t="inlineStr">
        <is>
          <t>COO/Facilities team closure planning documentation</t>
        </is>
      </c>
      <c r="E92" s="5" t="inlineStr">
        <is>
          <t>Default Evidence Source declared: see CDE Registry</t>
        </is>
      </c>
    </row>
    <row r="93" ht="15" customHeight="1" s="6">
      <c r="A93" s="5" t="inlineStr">
        <is>
          <t>CDE-O092</t>
        </is>
      </c>
      <c r="B93" s="5" t="inlineStr">
        <is>
          <t>Seasonal/Cyclical Production Variation Pattern Documented</t>
        </is>
      </c>
      <c r="C93" s="5" t="inlineStr">
        <is>
          <t>Manufacturing Execution System (MES)</t>
        </is>
      </c>
      <c r="D93" s="5" t="inlineStr">
        <is>
          <t>SAP MES, Rockwell — seasonal demand planning module</t>
        </is>
      </c>
      <c r="E93" s="5" t="inlineStr">
        <is>
          <t>Default Evidence Source declared: see CDE Registry</t>
        </is>
      </c>
    </row>
    <row r="94" ht="15" customHeight="1" s="6">
      <c r="A94" s="5" t="inlineStr">
        <is>
          <t>CDE-O093</t>
        </is>
      </c>
      <c r="B94" s="5" t="inlineStr">
        <is>
          <t>Critical Equipment Spare Parts Inventory/Availability Tracked</t>
        </is>
      </c>
      <c r="C94" s="5" t="inlineStr">
        <is>
          <t>Computerized Maintenance Management System (CMMS)</t>
        </is>
      </c>
      <c r="D94" s="5" t="inlineStr">
        <is>
          <t>IBM Maximo, SAP PM, Fiix — spare parts inventory module</t>
        </is>
      </c>
      <c r="E94" s="5" t="inlineStr">
        <is>
          <t>Default Evidence Source declared: see CDE Registry</t>
        </is>
      </c>
    </row>
    <row r="95" ht="15" customHeight="1" s="6">
      <c r="A95" s="5" t="inlineStr">
        <is>
          <t>CDE-O094</t>
        </is>
      </c>
      <c r="B95" s="5" t="inlineStr">
        <is>
          <t>Average Production Line Changeover/Setup Time (Minutes)</t>
        </is>
      </c>
      <c r="C95" s="5" t="inlineStr">
        <is>
          <t>Manufacturing Execution System (MES)</t>
        </is>
      </c>
      <c r="D95" s="5" t="inlineStr">
        <is>
          <t>SAP MES, Rockwell — changeover time analytics</t>
        </is>
      </c>
      <c r="E95" s="5" t="inlineStr">
        <is>
          <t>Default Evidence Source declared: see CDE Registry</t>
        </is>
      </c>
    </row>
    <row r="96" ht="15" customHeight="1" s="6">
      <c r="A96" s="5" t="inlineStr">
        <is>
          <t>CDE-O095</t>
        </is>
      </c>
      <c r="B96" s="5" t="inlineStr">
        <is>
          <t>In-Facility Material Handling/Logistics System Documented</t>
        </is>
      </c>
      <c r="C96" s="5" t="inlineStr">
        <is>
          <t>Manufacturing Execution System (MES)</t>
        </is>
      </c>
      <c r="D96" s="5" t="inlineStr">
        <is>
          <t>SAP MES, Rockwell — material handling system configuration</t>
        </is>
      </c>
      <c r="E96" s="5" t="inlineStr">
        <is>
          <t>Default Evidence Source declared: see CDE Registry</t>
        </is>
      </c>
    </row>
    <row r="97" ht="15" customHeight="1" s="6">
      <c r="A97" s="5" t="inlineStr">
        <is>
          <t>CDE-O096</t>
        </is>
      </c>
      <c r="B97" s="5" t="inlineStr">
        <is>
          <t>Operational Shift Pattern/Staffing Model (Single/Double/24-7)</t>
        </is>
      </c>
      <c r="C97" s="5" t="inlineStr">
        <is>
          <t>Human Judgment / Internal Assessment</t>
        </is>
      </c>
      <c r="D97" s="5" t="inlineStr">
        <is>
          <t>Operations/HR team shift staffing documentation</t>
        </is>
      </c>
      <c r="E97" s="5" t="inlineStr">
        <is>
          <t>Default Evidence Source declared: see CDE Registry</t>
        </is>
      </c>
    </row>
    <row r="98" ht="15" customHeight="1" s="6">
      <c r="A98" s="5" t="inlineStr">
        <is>
          <t>CDE-O097</t>
        </is>
      </c>
      <c r="B98" s="5" t="inlineStr">
        <is>
          <t>Production Line/Equipment Standardization Across Facilities Documented</t>
        </is>
      </c>
      <c r="C98" s="5" t="inlineStr">
        <is>
          <t>Manufacturing Execution System (MES)</t>
        </is>
      </c>
      <c r="D98" s="5" t="inlineStr">
        <is>
          <t>SAP MES, Rockwell — standardization configuration tracking</t>
        </is>
      </c>
      <c r="E98" s="5" t="inlineStr">
        <is>
          <t>Default Evidence Source declared: see CDE Registry</t>
        </is>
      </c>
    </row>
    <row r="99" ht="15" customHeight="1" s="6">
      <c r="A99" s="5" t="inlineStr">
        <is>
          <t>CDE-O098</t>
        </is>
      </c>
      <c r="B99" s="5" t="inlineStr">
        <is>
          <t>Mean Time Between Failures (MTBF) for Critical Equipment</t>
        </is>
      </c>
      <c r="C99" s="5" t="inlineStr">
        <is>
          <t>Computerized Maintenance Management System (CMMS)</t>
        </is>
      </c>
      <c r="D99" s="5" t="inlineStr">
        <is>
          <t>IBM Maximo, SAP PM, Fiix — MTBF analytics</t>
        </is>
      </c>
      <c r="E99" s="5" t="inlineStr">
        <is>
          <t>Default Evidence Source declared: see CDE Registry</t>
        </is>
      </c>
    </row>
    <row r="100" ht="15" customHeight="1" s="6">
      <c r="A100" s="5" t="inlineStr">
        <is>
          <t>CDE-O099</t>
        </is>
      </c>
      <c r="B100" s="5" t="inlineStr">
        <is>
          <t>Mean Time to Repair (MTTR) for Critical Equipment</t>
        </is>
      </c>
      <c r="C100" s="5" t="inlineStr">
        <is>
          <t>Computerized Maintenance Management System (CMMS)</t>
        </is>
      </c>
      <c r="D100" s="5" t="inlineStr">
        <is>
          <t>IBM Maximo, SAP PM, Fiix — MTTR analytics</t>
        </is>
      </c>
      <c r="E100" s="5" t="inlineStr">
        <is>
          <t>Default Evidence Source declared: see CDE Registry</t>
        </is>
      </c>
    </row>
    <row r="101" ht="15" customHeight="1" s="6">
      <c r="A101" s="5" t="inlineStr">
        <is>
          <t>CDE-O100</t>
        </is>
      </c>
      <c r="B101" s="5" t="inlineStr">
        <is>
          <t>Customer-Dedicated/Reserved Production Capacity Exists</t>
        </is>
      </c>
      <c r="C101" s="5" t="inlineStr">
        <is>
          <t>Manufacturing Execution System (MES)</t>
        </is>
      </c>
      <c r="D101" s="5" t="inlineStr">
        <is>
          <t>SAP MES, Rockwell — capacity reservation tracking</t>
        </is>
      </c>
      <c r="E101" s="5" t="inlineStr">
        <is>
          <t>Default Evidence Source declared: see CDE Registry</t>
        </is>
      </c>
    </row>
    <row r="102" ht="15" customHeight="1" s="6">
      <c r="A102" s="5" t="inlineStr">
        <is>
          <t>CDE-O101</t>
        </is>
      </c>
      <c r="B102" s="5" t="inlineStr">
        <is>
          <t>Inter-Facility Operational Benchmarking Process Documented</t>
        </is>
      </c>
      <c r="C102" s="5" t="inlineStr">
        <is>
          <t>Manufacturing Execution System (MES)</t>
        </is>
      </c>
      <c r="D102" s="5" t="inlineStr">
        <is>
          <t>SAP MES, Rockwell — cross-facility benchmarking module</t>
        </is>
      </c>
      <c r="E102" s="5" t="inlineStr">
        <is>
          <t>Default Evidence Source declared: see CDE Registry</t>
        </is>
      </c>
    </row>
    <row r="103" ht="15" customHeight="1" s="6">
      <c r="A103" s="5" t="inlineStr">
        <is>
          <t>CDE-O102</t>
        </is>
      </c>
      <c r="B103" s="5" t="inlineStr">
        <is>
          <t>Production Yield Rate % (Good Output / Total Input, Distinct from Defect Rate)</t>
        </is>
      </c>
      <c r="C103" s="5" t="inlineStr">
        <is>
          <t>Quality Management System (QMS)</t>
        </is>
      </c>
      <c r="D103" s="5" t="inlineStr">
        <is>
          <t>MasterControl, ETQ, SAP QM — yield rate analytics</t>
        </is>
      </c>
      <c r="E103" s="5" t="inlineStr">
        <is>
          <t>Default Evidence Source declared: see CDE Registry</t>
        </is>
      </c>
    </row>
    <row r="104" ht="15" customHeight="1" s="6">
      <c r="A104" s="5" t="inlineStr">
        <is>
          <t>CDE-O103</t>
        </is>
      </c>
      <c r="B104" s="5" t="inlineStr">
        <is>
          <t>Predictive Maintenance (Sensor-Based/AI-Driven) Deployed</t>
        </is>
      </c>
      <c r="C104" s="5" t="inlineStr">
        <is>
          <t>Computerized Maintenance Management System (CMMS)</t>
        </is>
      </c>
      <c r="D104" s="5" t="inlineStr">
        <is>
          <t>IBM Maximo, SAP PM, Fiix — predictive maintenance module</t>
        </is>
      </c>
      <c r="E104" s="5" t="inlineStr">
        <is>
          <t>Default Evidence Source declared: see CDE Registry</t>
        </is>
      </c>
    </row>
    <row r="105" ht="15" customHeight="1" s="6">
      <c r="A105" s="5" t="inlineStr">
        <is>
          <t>CDE-O104</t>
        </is>
      </c>
      <c r="B105" s="5" t="inlineStr">
        <is>
          <t>Lockout-Tagout (LOTO) / Permit-to-Work Process Documented for High-Risk Maintenance</t>
        </is>
      </c>
      <c r="C105" s="5" t="inlineStr">
        <is>
          <t>Computerized Maintenance Management System (CMMS)</t>
        </is>
      </c>
      <c r="D105" s="5" t="inlineStr">
        <is>
          <t>IBM Maximo, SAP PM — LOTO/permit-to-work workflow</t>
        </is>
      </c>
      <c r="E105" s="5" t="inlineStr">
        <is>
          <t>Default Evidence Source declared: see CDE Registry</t>
        </is>
      </c>
    </row>
    <row r="106" ht="15" customHeight="1" s="6">
      <c r="A106" s="5" t="inlineStr">
        <is>
          <t>CDE-O105</t>
        </is>
      </c>
      <c r="B106" s="5" t="inlineStr">
        <is>
          <t>Property/Business Interruption Insurance Coverage Exists</t>
        </is>
      </c>
      <c r="C106" s="5" t="inlineStr">
        <is>
          <t>Annual Report / Public Filing</t>
        </is>
      </c>
      <c r="D106" s="5" t="inlineStr">
        <is>
          <t>Annual Report insurance coverage disclosure</t>
        </is>
      </c>
      <c r="E106" s="5" t="inlineStr">
        <is>
          <t>Default Evidence Source declared: see CDE Registry</t>
        </is>
      </c>
    </row>
    <row r="107" ht="15" customHeight="1" s="6">
      <c r="A107" s="5" t="inlineStr">
        <is>
          <t>CDE-O106</t>
        </is>
      </c>
      <c r="B107" s="5" t="inlineStr">
        <is>
          <t>Production Capacity Reserved for New Product Introduction (NPI) Ramp-Up</t>
        </is>
      </c>
      <c r="C107" s="5" t="inlineStr">
        <is>
          <t>Manufacturing Execution System (MES)</t>
        </is>
      </c>
      <c r="D107" s="5" t="inlineStr">
        <is>
          <t>SAP MES, Rockwell — NPI capacity planning module</t>
        </is>
      </c>
      <c r="E107" s="5" t="inlineStr">
        <is>
          <t>Default Evidence Source declared: see CDE Registry</t>
        </is>
      </c>
    </row>
    <row r="108" ht="15" customHeight="1" s="6">
      <c r="A108" s="5" t="inlineStr">
        <is>
          <t>CDE-O107</t>
        </is>
      </c>
      <c r="B108" s="5" t="inlineStr">
        <is>
          <t>Operational Carbon Intensity per Unit of Physical Production</t>
        </is>
      </c>
      <c r="C108" s="5" t="inlineStr">
        <is>
          <t>Manufacturing Execution System (MES)</t>
        </is>
      </c>
      <c r="D108" s="5" t="inlineStr">
        <is>
          <t>SAP MES, Persefoni — operational carbon intensity analytics</t>
        </is>
      </c>
      <c r="E108" s="5" t="inlineStr">
        <is>
          <t>Default Evidence Source declared: see CDE Registry</t>
        </is>
      </c>
    </row>
    <row r="109" ht="15" customHeight="1" s="6">
      <c r="A109" s="5" t="inlineStr">
        <is>
          <t>CDE-O108</t>
        </is>
      </c>
      <c r="B109" s="5" t="inlineStr">
        <is>
          <t>Production Line Cross-Training/Operator Flexibility Program Documented</t>
        </is>
      </c>
      <c r="C109" s="5" t="inlineStr">
        <is>
          <t>Human Judgment / Internal Assessment</t>
        </is>
      </c>
      <c r="D109" s="5" t="inlineStr">
        <is>
          <t>Operations/HR team cross-training program documentation</t>
        </is>
      </c>
      <c r="E109" s="5" t="inlineStr">
        <is>
          <t>Default Evidence Source declared: see CDE Registry</t>
        </is>
      </c>
    </row>
    <row r="110" ht="15" customHeight="1" s="6">
      <c r="A110" s="5" t="inlineStr">
        <is>
          <t>CDE-O109</t>
        </is>
      </c>
      <c r="B110" s="5" t="inlineStr">
        <is>
          <t>Facility Utility Infrastructure Resilience (Backup Power/Water) Documented</t>
        </is>
      </c>
      <c r="C110" s="5" t="inlineStr">
        <is>
          <t>Human Judgment / Internal Assessment</t>
        </is>
      </c>
      <c r="D110" s="5" t="inlineStr">
        <is>
          <t>Facilities team utility resilience documentation</t>
        </is>
      </c>
      <c r="E110" s="5" t="inlineStr">
        <is>
          <t>Default Evidence Source declared: see CDE Registry</t>
        </is>
      </c>
    </row>
    <row r="111" ht="15" customHeight="1" s="6">
      <c r="A111" s="5" t="inlineStr">
        <is>
          <t>CDE-O110</t>
        </is>
      </c>
      <c r="B111" s="5" t="inlineStr">
        <is>
          <t>Vendor/OEM Equipment Service Contract Coverage Documented</t>
        </is>
      </c>
      <c r="C111" s="5" t="inlineStr">
        <is>
          <t>Computerized Maintenance Management System (CMMS)</t>
        </is>
      </c>
      <c r="D111" s="5" t="inlineStr">
        <is>
          <t>IBM Maximo, SAP PM — OEM service contract tracking</t>
        </is>
      </c>
      <c r="E111" s="5" t="inlineStr">
        <is>
          <t>Default Evidence Source declared: see CDE Registry</t>
        </is>
      </c>
    </row>
    <row r="112" ht="15" customHeight="1" s="6">
      <c r="A112" s="5" t="inlineStr">
        <is>
          <t>CDE-O111</t>
        </is>
      </c>
      <c r="B112" s="5" t="inlineStr">
        <is>
          <t>Production Batch/Lot Size Optimization Process Documented</t>
        </is>
      </c>
      <c r="C112" s="5" t="inlineStr">
        <is>
          <t>Manufacturing Execution System (MES)</t>
        </is>
      </c>
      <c r="D112" s="5" t="inlineStr">
        <is>
          <t>SAP MES, Rockwell — batch/lot size planning module</t>
        </is>
      </c>
      <c r="E112" s="5" t="inlineStr">
        <is>
          <t>Default Evidence Source declared: see CDE Registry</t>
        </is>
      </c>
    </row>
    <row r="113" ht="15" customHeight="1" s="6">
      <c r="A113" s="5" t="inlineStr">
        <is>
          <t>CDE-O112</t>
        </is>
      </c>
      <c r="B113" s="5" t="inlineStr">
        <is>
          <t>Facility Security/Access Control System Documented</t>
        </is>
      </c>
      <c r="C113" s="5" t="inlineStr">
        <is>
          <t>Human Judgment / Internal Assessment</t>
        </is>
      </c>
      <c r="D113" s="5" t="inlineStr">
        <is>
          <t>Facilities/Security team access control documentation</t>
        </is>
      </c>
      <c r="E113" s="5" t="inlineStr">
        <is>
          <t>Default Evidence Source declared: see CDE Registry</t>
        </is>
      </c>
    </row>
    <row r="114" ht="15" customHeight="1" s="6">
      <c r="A114" s="5" t="inlineStr">
        <is>
          <t>CDE-O113</t>
        </is>
      </c>
      <c r="B114" s="5" t="inlineStr">
        <is>
          <t>Formal Planning-of-Changes Process Documented for Operational/Capacity Changes</t>
        </is>
      </c>
      <c r="C114" s="5" t="inlineStr">
        <is>
          <t>Manufacturing Execution System (MES)</t>
        </is>
      </c>
      <c r="D114" s="5" t="inlineStr">
        <is>
          <t>SAP MES, Rockwell — change management workflow module</t>
        </is>
      </c>
      <c r="E114" s="5" t="inlineStr">
        <is>
          <t>Default Evidence Source declared: see CDE Registry</t>
        </is>
      </c>
    </row>
    <row r="115" ht="15" customHeight="1" s="6">
      <c r="A115" s="5" t="inlineStr">
        <is>
          <t>CDE-O114</t>
        </is>
      </c>
      <c r="B115" s="5" t="inlineStr">
        <is>
          <t>Environmental Emergency Preparedness and Response Plan Documented (Distinct from General Operational Recovery)</t>
        </is>
      </c>
      <c r="C115" s="5" t="inlineStr">
        <is>
          <t>Human Judgment / Internal Assessment</t>
        </is>
      </c>
      <c r="D115" s="5" t="inlineStr">
        <is>
          <t>HSE/Facilities team environmental emergency response documentation</t>
        </is>
      </c>
      <c r="E115" s="5" t="inlineStr">
        <is>
          <t>Default Evidence Source declared: see CDE Registry</t>
        </is>
      </c>
    </row>
    <row r="116" ht="15" customHeight="1" s="6">
      <c r="A116" s="5" t="inlineStr">
        <is>
          <t>CDE-O115</t>
        </is>
      </c>
      <c r="B116" s="5" t="inlineStr">
        <is>
          <t>Environmental Competence Requirements Documented for Significant-Impact Roles</t>
        </is>
      </c>
      <c r="C116" s="5" t="inlineStr">
        <is>
          <t>Human Judgment / Internal Assessment</t>
        </is>
      </c>
      <c r="D116" s="5" t="inlineStr">
        <is>
          <t>HR/HSE team competence framework documentation</t>
        </is>
      </c>
      <c r="E116" s="5" t="inlineStr">
        <is>
          <t>Default Evidence Source declared: see CDE Registry</t>
        </is>
      </c>
    </row>
    <row r="117" ht="15" customHeight="1" s="6">
      <c r="A117" s="5" t="inlineStr">
        <is>
          <t>CDE-O116</t>
        </is>
      </c>
      <c r="B117" s="5" t="inlineStr">
        <is>
          <t>Systematic Environmental Compliance Evaluation Process Documented (Distinct from General Monitoring)</t>
        </is>
      </c>
      <c r="C117" s="5" t="inlineStr">
        <is>
          <t>Human Judgment / Internal Assessment</t>
        </is>
      </c>
      <c r="D117" s="5" t="inlineStr">
        <is>
          <t>HSE team compliance evaluation process documentation</t>
        </is>
      </c>
      <c r="E117" s="5" t="inlineStr">
        <is>
          <t>Default Evidence Source declared: see CDE Registry</t>
        </is>
      </c>
    </row>
    <row r="118" ht="15" customHeight="1" s="6">
      <c r="A118" s="5" t="inlineStr">
        <is>
          <t>CDE-O117</t>
        </is>
      </c>
      <c r="B118" s="5" t="inlineStr">
        <is>
          <t>Lifecycle Perspective Applied to Operational Controls (Procurement Through End-of-Life)</t>
        </is>
      </c>
      <c r="C118" s="5" t="inlineStr">
        <is>
          <t>Human Judgment / Internal Assessment</t>
        </is>
      </c>
      <c r="D118" s="5" t="inlineStr">
        <is>
          <t>Operations/Procurement team lifecycle assessment documentation</t>
        </is>
      </c>
      <c r="E118" s="5"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2026-06-28T20:04:34Z</dcterms:created>
  <dcterms:modified xmlns:dcterms="http://purl.org/dc/terms/" xmlns:xsi="http://www.w3.org/2001/XMLSchema-instance" xsi:type="dcterms:W3CDTF">2026-07-04T06:44:13Z</dcterms:modified>
  <cp:revision>0</cp:revision>
</cp:coreProperties>
</file>