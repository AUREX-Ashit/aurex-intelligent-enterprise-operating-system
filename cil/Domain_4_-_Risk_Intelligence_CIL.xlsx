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0_Freeze_Status" sheetId="1" state="visible" r:id="rId1"/>
    <sheet xmlns:r="http://schemas.openxmlformats.org/officeDocument/2006/relationships" name="01_Intelligence_Areas" sheetId="2" state="visible" r:id="rId2"/>
    <sheet xmlns:r="http://schemas.openxmlformats.org/officeDocument/2006/relationships" name="02_BQ_Registry" sheetId="3" state="visible" r:id="rId3"/>
    <sheet xmlns:r="http://schemas.openxmlformats.org/officeDocument/2006/relationships" name="03_CDE_Registry" sheetId="4" state="visible" r:id="rId4"/>
    <sheet xmlns:r="http://schemas.openxmlformats.org/officeDocument/2006/relationships" name="04_BQ_CDE_Mapping" sheetId="5" state="visible" r:id="rId5"/>
    <sheet xmlns:r="http://schemas.openxmlformats.org/officeDocument/2006/relationships" name="05_Evidence_Catalog" sheetId="6" state="visible" r:id="rId6"/>
    <sheet xmlns:r="http://schemas.openxmlformats.org/officeDocument/2006/relationships" name="06_Confidence_Rules" sheetId="7" state="visible" r:id="rId7"/>
    <sheet xmlns:r="http://schemas.openxmlformats.org/officeDocument/2006/relationships" name="07_Ownership_Model" sheetId="8" state="visible" r:id="rId8"/>
    <sheet xmlns:r="http://schemas.openxmlformats.org/officeDocument/2006/relationships" name="08_Extraction_Rules" sheetId="9" state="visible" r:id="rId9"/>
    <sheet xmlns:r="http://schemas.openxmlformats.org/officeDocument/2006/relationships" name="09_Framework_Mapping" sheetId="10" state="visible" r:id="rId10"/>
    <sheet xmlns:r="http://schemas.openxmlformats.org/officeDocument/2006/relationships" name="12_Framework_CDE_Detail" sheetId="11" state="visible" r:id="rId11"/>
    <sheet xmlns:r="http://schemas.openxmlformats.org/officeDocument/2006/relationships" name="13_Executive_Mapping" sheetId="12" state="visible" r:id="rId12"/>
    <sheet xmlns:r="http://schemas.openxmlformats.org/officeDocument/2006/relationships" name="15_Confidence_Rollup" sheetId="13" state="visible" r:id="rId13"/>
    <sheet xmlns:r="http://schemas.openxmlformats.org/officeDocument/2006/relationships" name="16_System_of_Record" sheetId="14" state="visible" r:id="rId14"/>
    <sheet xmlns:r="http://schemas.openxmlformats.org/officeDocument/2006/relationships" name="10_Executive_Summary" sheetId="15" state="visible" r:id="rId15"/>
    <sheet xmlns:r="http://schemas.openxmlformats.org/officeDocument/2006/relationships" name="11_Gap_Analysis" sheetId="16" state="visible" r:id="rId16"/>
    <sheet xmlns:r="http://schemas.openxmlformats.org/officeDocument/2006/relationships" name="14_Assurance_Checks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i val="1"/>
      <color rgb="FFA04A3A"/>
      <sz val="10"/>
    </font>
  </fonts>
  <fills count="3">
    <fill>
      <patternFill/>
    </fill>
    <fill>
      <patternFill patternType="gray125"/>
    </fill>
    <fill>
      <patternFill patternType="solid">
        <fgColor rgb="FF1B4FD8"/>
        <bgColor rgb="FF3366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04A3A"/>
      <rgbColor rgb="FFFFFFCC"/>
      <rgbColor rgb="FFCCFFFF"/>
      <rgbColor rgb="FF660066"/>
      <rgbColor rgb="FFFF8080"/>
      <rgbColor rgb="FF1B4FD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5" min="1" max="1"/>
    <col width="39" customWidth="1" style="5" min="2" max="2"/>
    <col width="14" customWidth="1" style="5" min="3" max="4"/>
    <col width="55" customWidth="1" style="5" min="5" max="5"/>
  </cols>
  <sheetData>
    <row r="1" ht="15" customHeight="1" s="6">
      <c r="A1" s="7" t="inlineStr">
        <is>
          <t>Domain</t>
        </is>
      </c>
      <c r="B1" s="7" t="inlineStr">
        <is>
          <t>Version</t>
        </is>
      </c>
      <c r="C1" s="7" t="inlineStr">
        <is>
          <t>Status</t>
        </is>
      </c>
      <c r="D1" s="7" t="inlineStr">
        <is>
          <t>Freeze Date</t>
        </is>
      </c>
      <c r="E1" s="7" t="inlineStr">
        <is>
          <t>Notes</t>
        </is>
      </c>
    </row>
    <row r="2" ht="15" customHeight="1" s="6">
      <c r="A2" s="8" t="inlineStr">
        <is>
          <t>Risk Intelligence</t>
        </is>
      </c>
      <c r="B2" s="8" t="inlineStr">
        <is>
          <t>v2.2 — GOLD STANDARD, LOCKED — REPORT-ASSEMBLY LAYER COMPLETE + CITATION AUDIT PASSED</t>
        </is>
      </c>
      <c r="C2" s="8" t="inlineStr">
        <is>
          <t>LOCKED</t>
        </is>
      </c>
      <c r="D2" s="8" t="inlineStr">
        <is>
          <t>2026-06-28</t>
        </is>
      </c>
      <c r="E2" s="8" t="inlineStr">
        <is>
          <t>Initial build following the Domain 1/2 Golden Template schema and all 6 bindings, full schema from the start. 10 Intelligence Areas, 51 Business Questions (all 3-7 CDE range on first full pass after closing 19 initially-thin BQs), 155 CDEs. All structural/referential checks pass on first complete validation: zero duplicate IDs, zero duplicate names, zero orphaned references, zero formula errors (Confidence Rollup verified by independent manual cross-check: 72.1 both ways). Caught and fixed 3 false aggregation-rule placeholders during the base build (CDE-R042/062/083) and two real cross-reference errors in 12_Framework_CDE_Detail and 14_Guided_Completion where cited CDE IDs did not match the claimed BQ/fact — both found by explicit verification before shipping, not assumed correct. 6 CDE clusters explicitly Binding-6-annotated as Risk-owned but boundary-spanning with Domain 1 (customer/supplier concentration, country revenue) and Domain 2 (strategic risk, geopolitical dependency) — every cross-domain citation verified against the actual target file. Executive Mapping and System of Record at exact 1:1 coverage, zero generic-fallback rows in System of Record after reclassification. NOT YET STRESS-TESTED for content gaps. Do not represent as exhaustive or lock until multiple stress-test rounds are run. || Round 1 (5 gaps): risk maturity, model validation/back-testing, pension risk (Binding-6 vs Domain 1 CDE-397-399), risk appetite vs revealed behavior gap, climate transition risk and AI/algorithmic risk extended into existing BQs. Round 2 (5 gaps): M&amp;A due diligence risk findings, pending regulatory change tracking, risk blind-spot self-assessment, risk appetite variation by business unit, cyber risk as quantified business risk (Binding-6 vs future Domain 14) — caught and fixed an in-memory save that did not persist for Executive Mapping, now verified by fresh reload every round going forward. Round 3 (4 gaps): economic/risk capital allocation, tail-risk/black-swan scenarios, risk function budget/headcount adequacy, public disclosure vs internal register consistency check. All 17 mixed-cardinality BQs individually re-verified legitimate. Round 4 (4 gaps): risk governance independence from controlling family/state shareholder (Binding-6 vs Domain 1 CDE-364/368 and Domain 2 CDE-S310-318), risk function continuity during distress, CRO/risk-function succession risk, insurance market availability risk. 68 Business Questions, 210 CDEs. All structural checks pass, zero formula errors. Gap counts per round: 5,5,4,4 — early but stable, continuing. || Round 5 (3 gaps): risk-adjusted return metric, regulatory risk disclosure distinct from Board reporting, risk velocity for general risks. Round 6 (3 gaps, 1 already covered): data privacy/regulatory risk as distinct business risk (Binding-6 vs future Domain 14), compound/simultaneous crisis scenario, insurer counterparty credit risk. Round 7 (3 gaps): risk profile peer benchmarking, risk register access control/confidentiality, physical climate risk financial quantification (extends existing rating-only CDEs). Round 8 (3 gaps, zero new BQs — all absorbed into existing questions): event-driven appetite review trigger, CRO reporting-line conflict-of-interest, supply chain disruption financial impact. All 7 newly-mixed cardinality cases from rounds 5-8 individually re-verified legitimate. 74 Business Questions, 234 CDEs. All structural checks pass, zero formula errors. Gap counts per round: 5,5,4,4,3,3,3,3 — four consecutive rounds at the floor of 3. || DEDICATED STRUCTURAL-ONLY ROUND (no new content, full re-verification of everything from round 1 forward): zero new bugs found across all checks — referential integrity, schema completeness (all 19 columns re-scanned), 3-7 rule, BQ prefix consistency, downstream coverage, Framework-CDE Detail cross-references, Guided Completion cross-references. Full Binding 6 audit: all 19 CDEs carrying a cross-domain citation re-verified, all 11 distinct target IDs across Domain 1 (CDE-100,101,115,117,364,368,397,398,399) and Domain 2 (CDE-S080,081,310-318,319,322) confirmed to exist with matching names — zero citation errors found in this exhaustive pass. This is the strongest structural confidence signal in the build so far. || Round 9 / FINAL ROUND (3 gaps): risk-constrained dividend/buyback capacity (Binding-6 vs Domain 2), risk rating historical trend, risk oversight independence from executive management. Caught and fixed a real cross-domain citation error during this round: initially cited Domain 2 CDE-S027/028 for dividend facts when those IDs actually belong to unrelated CDEs (external advisor, revisit frequency) — corrected to the real dividend CDEs CDE-S056/106 after explicit verification, the second such citation error caught and fixed in this build (the first was in 12_Framework_CDE_Detail/14_Guided_Completion during the base build). LOCKED at convergence: gap counts per round 5,5,4,4,3,3,3,3,3 — five consecutive rounds at the floor of 3, plus one fully clean dedicated structural-only round with zero new bugs found (the strongest single verification signal in the build). 10 Intelligence Areas, 74 Business Questions (all 3-7 CDE range), 237 Canonical Data Elements. Zero duplicate IDs, zero duplicate names, zero orphaned references, zero formula errors (Confidence Rollup independently verified: 72.1 both ways), zero schema blanks, zero terminology violations, zero unverified cross-domain citations — all 19 Binding 6 citations across 11 distinct target IDs in Domain 1 and Domain 2 individually confirmed to exist with matching names. This is the third Golden Template domain, validated to the same standard as Domain 1 and Domain 2. || POST-LOCK REVIEW (file uploaded for re-review after external modification): the v2.0 locked baseline had been modified outside this process — 2 new Business Questions and 8 new CDEs were added (RI-TPY-006 customer dependency/bankruptcy risk, RI-STR-006 activism/hostile takeover/control risk — both genuinely valid Risk Intelligence content), but added with a broken process and wrapped in 14 extra meta-sheets that progressively re-labeled the file v3.0, then v3.1, then falsely declared 'Version 4.0 — Certified Freeze' while the file's own gap register in the same set of sheets listed multiple Critical/Open items — an internal contradiction, not a real certification. REPAIRED: (1) both new BQ IDs used a literal 'NEW' suffix instead of the required sequential numeric suffix (RI-TPY-NEW, RI-STR-NEW) — renamed to RI-TPY-006/RI-STR-006 and propagated to 04_BQ_CDE_Mapping and 13_Executive_Mapping; (2) all 8 new CDE rows had every field shifted into the wrong column — Validation Rule held the placeholder text 'Review required', Data Type was wrong for several genuinely numeric facts, and Node Applicability/CDE Scope/Framework Tier Eligibility were entirely unpopulated — completely rebuilt with correct schema, correct Data Types, real Validation Rules, and full Binding 6 annotation against Domain 1 CDE-115 (verified accurate) for the customer-risk CDEs; (3) 16_System_of_Record had the same column-shift bug for all 8 new CDEs (Category populated, Examples/Notes blank) — rebuilt with real specific systems; (4) 13_Executive_Mapping used a non-standard format ('Q12', 'Executive Risk Dashboard') matching neither the file's real 12 executive questions nor its 12 Sacred Screens — corrected to 'Q4 - The Threat Map' / 'S4 Risk &amp; Opportunity Center', consistent with the rest of the domain. ASSESSED AND REJECTED two of the self-reported 'Critical' gaps as overstated: Framework Mapping coverage was always selective in this domain (9 of 76 BQs, not exhaustive) so absent framework lineage for 2 new BQs is normal, not a defect; Guided Completion likewise was always a small illustrative set with generic Required/Text, Required/Numeric, and Recommended templates that already cover any new CDE by pattern — no bespoke entry was ever required. REMOVED 14 meta-sheets entirely (release notes, delta packages, reconciliation findings, certification gap register, and the false certification declaration) — they documented a confused process rather than the workbook's actual state; the single source of truth is this sheet. Final re-validated state: 10 Intelligence Areas, 76 Business Questions (all 3-7 CDE range), 245 CDEs, 17 sheets, zero duplicate IDs, zero duplicate names, zero schema blanks, zero false aggregation placeholders, zero non-numeric BQ suffixes, exact Executive Mapping and System of Record coverage, zero formula errors (original Confidence Rollup formula re-verified intact and unaffected by the added sheets). Re-locked at this corrected state. || GAP CLOSURE + CITATION AUDIT PASS: confirmed only 3 of 9 Framework Mapping rows (33%) had CDE-level detail despite the prior lock claiming Gold Standard. WHILE BUILDING THE DETAIL LAYER, FOUND A REAL CROSS-DOMAIN MAPPING ERROR: GRI 2-25 (processes to remediate NEGATIVE IMPACTS TO EXTERNAL STAKEHOLDERS) was mapped to RI-APP-004, whose actual question text is "what escalation occurs when a risk tolerance threshold is breached" — a completely different concept (internal risk-limit escalation, not stakeholder-harm remediation) that happened to share surface-level vocabulary ("breach"/"negative impact"). Checked Domain 4 for a genuine match (none existed — CDE-R174 M&amp;A Remediation Status is too narrow), then checked Domains 6 and 7 and found Domain 6 already owns the genuinely correct content (CDE-C051/052/053, Remediation Action Committed/Due Date/Status). CORRECTED HONESTLY rather than building a duplicate or leaving the wrong mapping in place: cleared the BQ reference for this row (verified via a fresh-reload check after an initial fix attempt that silently failed to persist — caught by explicitly re-reading the saved file rather than trusting an in-memory print statement) and left an explanatory note that the real content lives in Domain 6, flagged for that domain's own Framework Mapping sheet to pick up in a future pass. Built the 5 genuinely correct remaining Detail rows (BRSR P1-Q8, ISSB S1, ESRS 2 GOV-1, ESRS 2 IRO-1, Integrated Reporting Risks &amp; Opportunities). RAN THE STRICT MEMBERSHIP CHECK ACROSS ALL 8 ROWS INCLUDING THE 3 PRE-EXISTING ONES — zero hidden errors found in those 3, unlike Domains 1 and 3. RAN THE FULL BINDING 6 CITATION AUDIT: 25 CDEs carry cross-domain citations, 9 distinct IDs cited across Domains 1 and 2 — ALL 9 independently verified against the real, current files, zero fabricated or stale citations. FINAL VERIFIED STATE: 76 Business Questions (all 3-7 CDE range), 245 CDEs, 9 Framework Mapping rows (8 mappable + 1 correctly de-mapped to Domain 6) = 8 Framework-CDE Detail rows (exact match), zero duplicate IDs or names, zero formula errors. Domain 4 now has the same CDE-level resolution capability and verified citation integrity as Domains 1, 2, 3, 5, 7, and 8.</t>
        </is>
      </c>
    </row>
    <row r="3" ht="15" customHeight="1" s="6">
      <c r="A3" s="5" t="inlineStr">
        <is>
          <t>vNext 2.0</t>
        </is>
      </c>
      <c r="B3" s="5" t="inlineStr">
        <is>
          <t>2026-06-23</t>
        </is>
      </c>
      <c r="C3" s="5" t="inlineStr">
        <is>
          <t>Governance correction of integrated enhancement rows and metadata.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35" customWidth="1" style="5" min="2" max="2"/>
    <col width="12" customWidth="1" style="5" min="3" max="3"/>
    <col width="55" customWidth="1" style="5" min="4" max="4"/>
  </cols>
  <sheetData>
    <row r="1" ht="15" customHeight="1" s="6">
      <c r="A1" s="7" t="inlineStr">
        <is>
          <t>IA ID</t>
        </is>
      </c>
      <c r="B1" s="7" t="inlineStr">
        <is>
          <t>Intelligence Area</t>
        </is>
      </c>
      <c r="C1" s="7" t="inlineStr">
        <is>
          <t>BIR ID</t>
        </is>
      </c>
      <c r="D1" s="7" t="inlineStr">
        <is>
          <t>BIR</t>
        </is>
      </c>
    </row>
    <row r="2" ht="15" customHeight="1" s="6">
      <c r="A2" s="8" t="inlineStr">
        <is>
          <t>RI-IA-01</t>
        </is>
      </c>
      <c r="B2" s="8" t="inlineStr">
        <is>
          <t>Risk Governance &amp; Oversight</t>
        </is>
      </c>
      <c r="C2" s="8" t="inlineStr">
        <is>
          <t>BIR-RI-01</t>
        </is>
      </c>
      <c r="D2" s="8" t="inlineStr">
        <is>
          <t>How is risk governed, overseen, and communicated to the Board?</t>
        </is>
      </c>
    </row>
    <row r="3" ht="15" customHeight="1" s="6">
      <c r="A3" s="8" t="inlineStr">
        <is>
          <t>RI-IA-02</t>
        </is>
      </c>
      <c r="B3" s="8" t="inlineStr">
        <is>
          <t>Risk Taxonomy &amp; Identification</t>
        </is>
      </c>
      <c r="C3" s="8" t="inlineStr">
        <is>
          <t>BIR-RI-02</t>
        </is>
      </c>
      <c r="D3" s="8" t="inlineStr">
        <is>
          <t>How are risks categorized and discovered across the enterprise?</t>
        </is>
      </c>
    </row>
    <row r="4" ht="15" customHeight="1" s="6">
      <c r="A4" s="8" t="inlineStr">
        <is>
          <t>RI-IA-03</t>
        </is>
      </c>
      <c r="B4" s="8" t="inlineStr">
        <is>
          <t>Risk Appetite &amp; Tolerance</t>
        </is>
      </c>
      <c r="C4" s="8" t="inlineStr">
        <is>
          <t>BIR-RI-03</t>
        </is>
      </c>
      <c r="D4" s="8" t="inlineStr">
        <is>
          <t>What level of risk will the enterprise accept, by category?</t>
        </is>
      </c>
    </row>
    <row r="5" ht="15" customHeight="1" s="6">
      <c r="A5" s="8" t="inlineStr">
        <is>
          <t>RI-IA-04</t>
        </is>
      </c>
      <c r="B5" s="8" t="inlineStr">
        <is>
          <t>Risk Quantification &amp; Exposure</t>
        </is>
      </c>
      <c r="C5" s="8" t="inlineStr">
        <is>
          <t>BIR-RI-04</t>
        </is>
      </c>
      <c r="D5" s="8" t="inlineStr">
        <is>
          <t>How is risk quantified in probability, severity, and financial terms — and how is exposure transferred or retained?</t>
        </is>
      </c>
    </row>
    <row r="6" ht="15" customHeight="1" s="6">
      <c r="A6" s="8" t="inlineStr">
        <is>
          <t>RI-IA-05</t>
        </is>
      </c>
      <c r="B6" s="8" t="inlineStr">
        <is>
          <t>Financial &amp; Market Risk</t>
        </is>
      </c>
      <c r="C6" s="8" t="inlineStr">
        <is>
          <t>BIR-RI-05</t>
        </is>
      </c>
      <c r="D6" s="8" t="inlineStr">
        <is>
          <t>What financial and market risks does the enterprise carry?</t>
        </is>
      </c>
    </row>
    <row r="7" ht="15" customHeight="1" s="6">
      <c r="A7" s="8" t="inlineStr">
        <is>
          <t>RI-IA-06</t>
        </is>
      </c>
      <c r="B7" s="8" t="inlineStr">
        <is>
          <t>Operational Risk</t>
        </is>
      </c>
      <c r="C7" s="8" t="inlineStr">
        <is>
          <t>BIR-RI-06</t>
        </is>
      </c>
      <c r="D7" s="8" t="inlineStr">
        <is>
          <t>What operational risks exist in process, people, and systems?</t>
        </is>
      </c>
    </row>
    <row r="8" ht="15" customHeight="1" s="6">
      <c r="A8" s="8" t="inlineStr">
        <is>
          <t>RI-IA-07</t>
        </is>
      </c>
      <c r="B8" s="8" t="inlineStr">
        <is>
          <t>Strategic &amp; Reputational Risk</t>
        </is>
      </c>
      <c r="C8" s="8" t="inlineStr">
        <is>
          <t>BIR-RI-07</t>
        </is>
      </c>
      <c r="D8" s="8" t="inlineStr">
        <is>
          <t>What risks threaten the strategy or the enterprise's reputation?</t>
        </is>
      </c>
    </row>
    <row r="9" ht="15" customHeight="1" s="6">
      <c r="A9" s="8" t="inlineStr">
        <is>
          <t>RI-IA-08</t>
        </is>
      </c>
      <c r="B9" s="8" t="inlineStr">
        <is>
          <t>Geopolitical &amp; Physical Risk</t>
        </is>
      </c>
      <c r="C9" s="8" t="inlineStr">
        <is>
          <t>BIR-RI-08</t>
        </is>
      </c>
      <c r="D9" s="8" t="inlineStr">
        <is>
          <t>What country-level, climate, and physical risks does the enterprise face?</t>
        </is>
      </c>
    </row>
    <row r="10" ht="15" customHeight="1" s="6">
      <c r="A10" s="8" t="inlineStr">
        <is>
          <t>RI-IA-09</t>
        </is>
      </c>
      <c r="B10" s="8" t="inlineStr">
        <is>
          <t>Third-Party &amp; Concentration Risk</t>
        </is>
      </c>
      <c r="C10" s="8" t="inlineStr">
        <is>
          <t>BIR-RI-09</t>
        </is>
      </c>
      <c r="D10" s="8" t="inlineStr">
        <is>
          <t>What dependency risk exists in suppliers, customers, and vendors?</t>
        </is>
      </c>
    </row>
    <row r="11" ht="15" customHeight="1" s="6">
      <c r="A11" s="8" t="inlineStr">
        <is>
          <t>RI-IA-10</t>
        </is>
      </c>
      <c r="B11" s="8" t="inlineStr">
        <is>
          <t>Risk Monitoring &amp; Emerging Risk</t>
        </is>
      </c>
      <c r="C11" s="8" t="inlineStr">
        <is>
          <t>BIR-RI-10</t>
        </is>
      </c>
      <c r="D11" s="8" t="inlineStr">
        <is>
          <t>How are emerging risks and risk correlations detected before they escalate?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" min="1" max="1"/>
    <col width="12" customWidth="1" style="5" min="2" max="2"/>
    <col width="55" customWidth="1" style="5" min="3" max="3"/>
    <col width="24" customWidth="1" style="5" min="4" max="4"/>
    <col width="13" customWidth="1" style="5" min="5" max="5"/>
  </cols>
  <sheetData>
    <row r="1" ht="15" customHeight="1" s="6">
      <c r="A1" s="7" t="inlineStr">
        <is>
          <t>BQ ID</t>
        </is>
      </c>
      <c r="B1" s="7" t="inlineStr">
        <is>
          <t>BIR ID</t>
        </is>
      </c>
      <c r="C1" s="7" t="inlineStr">
        <is>
          <t>Business Question</t>
        </is>
      </c>
      <c r="D1" s="7" t="inlineStr">
        <is>
          <t>Created By</t>
        </is>
      </c>
      <c r="E1" s="7" t="inlineStr">
        <is>
          <t>Date Added</t>
        </is>
      </c>
    </row>
    <row r="2" ht="15" customHeight="1" s="6">
      <c r="A2" s="8" t="inlineStr">
        <is>
          <t>RI-GOV-001</t>
        </is>
      </c>
      <c r="B2" s="8" t="inlineStr">
        <is>
          <t>BIR-RI-01</t>
        </is>
      </c>
      <c r="C2" s="8" t="inlineStr">
        <is>
          <t>Does the enterprise have a Chief Risk Officer or equivalent, and to whom do they report?</t>
        </is>
      </c>
      <c r="D2" s="8" t="inlineStr">
        <is>
          <t>CIL Architecture Team</t>
        </is>
      </c>
      <c r="E2" s="8" t="inlineStr">
        <is>
          <t>2026-06-21</t>
        </is>
      </c>
    </row>
    <row r="3" ht="15" customHeight="1" s="6">
      <c r="A3" s="8" t="inlineStr">
        <is>
          <t>RI-GOV-002</t>
        </is>
      </c>
      <c r="B3" s="8" t="inlineStr">
        <is>
          <t>BIR-RI-01</t>
        </is>
      </c>
      <c r="C3" s="8" t="inlineStr">
        <is>
          <t>Does a Board Risk Committee exist, and how often does it meet?</t>
        </is>
      </c>
      <c r="D3" s="8" t="inlineStr">
        <is>
          <t>CIL Architecture Team</t>
        </is>
      </c>
      <c r="E3" s="8" t="inlineStr">
        <is>
          <t>2026-06-21</t>
        </is>
      </c>
    </row>
    <row r="4" ht="15" customHeight="1" s="6">
      <c r="A4" s="8" t="inlineStr">
        <is>
          <t>RI-GOV-003</t>
        </is>
      </c>
      <c r="B4" s="8" t="inlineStr">
        <is>
          <t>BIR-RI-01</t>
        </is>
      </c>
      <c r="C4" s="8" t="inlineStr">
        <is>
          <t>Is a three-lines-of-defense risk model formally implemented?</t>
        </is>
      </c>
      <c r="D4" s="8" t="inlineStr">
        <is>
          <t>CIL Architecture Team</t>
        </is>
      </c>
      <c r="E4" s="8" t="inlineStr">
        <is>
          <t>2026-06-21</t>
        </is>
      </c>
    </row>
    <row r="5" ht="15" customHeight="1" s="6">
      <c r="A5" s="8" t="inlineStr">
        <is>
          <t>RI-GOV-004</t>
        </is>
      </c>
      <c r="B5" s="8" t="inlineStr">
        <is>
          <t>BIR-RI-01</t>
        </is>
      </c>
      <c r="C5" s="8" t="inlineStr">
        <is>
          <t>How frequently and in what format is risk reported to the Board?</t>
        </is>
      </c>
      <c r="D5" s="8" t="inlineStr">
        <is>
          <t>CIL Architecture Team</t>
        </is>
      </c>
      <c r="E5" s="8" t="inlineStr">
        <is>
          <t>2026-06-21</t>
        </is>
      </c>
    </row>
    <row r="6" ht="15" customHeight="1" s="6">
      <c r="A6" s="8" t="inlineStr">
        <is>
          <t>RI-GOV-005</t>
        </is>
      </c>
      <c r="B6" s="8" t="inlineStr">
        <is>
          <t>BIR-RI-01</t>
        </is>
      </c>
      <c r="C6" s="8" t="inlineStr">
        <is>
          <t>What is the enterprise's stated risk culture, and how is it reinforced through incentives?</t>
        </is>
      </c>
      <c r="D6" s="8" t="inlineStr">
        <is>
          <t>CIL Architecture Team</t>
        </is>
      </c>
      <c r="E6" s="8" t="inlineStr">
        <is>
          <t>2026-06-21</t>
        </is>
      </c>
    </row>
    <row r="7" ht="15" customHeight="1" s="6">
      <c r="A7" s="8" t="inlineStr">
        <is>
          <t>RI-GOV-006</t>
        </is>
      </c>
      <c r="B7" s="8" t="inlineStr">
        <is>
          <t>BIR-RI-01</t>
        </is>
      </c>
      <c r="C7" s="8" t="inlineStr">
        <is>
          <t>Is risk escalation behavior (speaking up about risk) measured or encouraged?</t>
        </is>
      </c>
      <c r="D7" s="8" t="inlineStr">
        <is>
          <t>CIL Architecture Team</t>
        </is>
      </c>
      <c r="E7" s="8" t="inlineStr">
        <is>
          <t>2026-06-21</t>
        </is>
      </c>
    </row>
    <row r="8" ht="15" customHeight="1" s="6">
      <c r="A8" s="8" t="inlineStr">
        <is>
          <t>RI-TAX-001</t>
        </is>
      </c>
      <c r="B8" s="8" t="inlineStr">
        <is>
          <t>BIR-RI-02</t>
        </is>
      </c>
      <c r="C8" s="8" t="inlineStr">
        <is>
          <t>What formal risk taxonomy or categorization framework does the enterprise use?</t>
        </is>
      </c>
      <c r="D8" s="8" t="inlineStr">
        <is>
          <t>CIL Architecture Team</t>
        </is>
      </c>
      <c r="E8" s="8" t="inlineStr">
        <is>
          <t>2026-06-21</t>
        </is>
      </c>
    </row>
    <row r="9" ht="15" customHeight="1" s="6">
      <c r="A9" s="8" t="inlineStr">
        <is>
          <t>RI-TAX-002</t>
        </is>
      </c>
      <c r="B9" s="8" t="inlineStr">
        <is>
          <t>BIR-RI-02</t>
        </is>
      </c>
      <c r="C9" s="8" t="inlineStr">
        <is>
          <t>How are new risks identified and added to the risk register?</t>
        </is>
      </c>
      <c r="D9" s="8" t="inlineStr">
        <is>
          <t>CIL Architecture Team</t>
        </is>
      </c>
      <c r="E9" s="8" t="inlineStr">
        <is>
          <t>2026-06-21</t>
        </is>
      </c>
    </row>
    <row r="10" ht="15" customHeight="1" s="6">
      <c r="A10" s="8" t="inlineStr">
        <is>
          <t>RI-TAX-003</t>
        </is>
      </c>
      <c r="B10" s="8" t="inlineStr">
        <is>
          <t>BIR-RI-02</t>
        </is>
      </c>
      <c r="C10" s="8" t="inlineStr">
        <is>
          <t>How many material risks are currently identified, and in which categories?</t>
        </is>
      </c>
      <c r="D10" s="8" t="inlineStr">
        <is>
          <t>CIL Architecture Team</t>
        </is>
      </c>
      <c r="E10" s="8" t="inlineStr">
        <is>
          <t>2026-06-21</t>
        </is>
      </c>
    </row>
    <row r="11" ht="15" customHeight="1" s="6">
      <c r="A11" s="8" t="inlineStr">
        <is>
          <t>RI-TAX-004</t>
        </is>
      </c>
      <c r="B11" s="8" t="inlineStr">
        <is>
          <t>BIR-RI-02</t>
        </is>
      </c>
      <c r="C11" s="8" t="inlineStr">
        <is>
          <t>How often is the risk register formally reviewed and updated?</t>
        </is>
      </c>
      <c r="D11" s="8" t="inlineStr">
        <is>
          <t>CIL Architecture Team</t>
        </is>
      </c>
      <c r="E11" s="8" t="inlineStr">
        <is>
          <t>2026-06-21</t>
        </is>
      </c>
    </row>
    <row r="12" ht="15" customHeight="1" s="6">
      <c r="A12" s="8" t="inlineStr">
        <is>
          <t>RI-TAX-005</t>
        </is>
      </c>
      <c r="B12" s="8" t="inlineStr">
        <is>
          <t>BIR-RI-02</t>
        </is>
      </c>
      <c r="C12" s="8" t="inlineStr">
        <is>
          <t>Who owns each identified risk (named individual or function)?</t>
        </is>
      </c>
      <c r="D12" s="8" t="inlineStr">
        <is>
          <t>CIL Architecture Team</t>
        </is>
      </c>
      <c r="E12" s="8" t="inlineStr">
        <is>
          <t>2026-06-21</t>
        </is>
      </c>
    </row>
    <row r="13" ht="15" customHeight="1" s="6">
      <c r="A13" s="8" t="inlineStr">
        <is>
          <t>RI-APP-001</t>
        </is>
      </c>
      <c r="B13" s="8" t="inlineStr">
        <is>
          <t>BIR-RI-03</t>
        </is>
      </c>
      <c r="C13" s="8" t="inlineStr">
        <is>
          <t>Has the Board formally approved a risk appetite statement?</t>
        </is>
      </c>
      <c r="D13" s="8" t="inlineStr">
        <is>
          <t>CIL Architecture Team</t>
        </is>
      </c>
      <c r="E13" s="8" t="inlineStr">
        <is>
          <t>2026-06-21</t>
        </is>
      </c>
    </row>
    <row r="14" ht="15" customHeight="1" s="6">
      <c r="A14" s="8" t="inlineStr">
        <is>
          <t>RI-APP-002</t>
        </is>
      </c>
      <c r="B14" s="8" t="inlineStr">
        <is>
          <t>BIR-RI-03</t>
        </is>
      </c>
      <c r="C14" s="8" t="inlineStr">
        <is>
          <t>What is the defined risk tolerance threshold for each major risk category?</t>
        </is>
      </c>
      <c r="D14" s="8" t="inlineStr">
        <is>
          <t>CIL Architecture Team</t>
        </is>
      </c>
      <c r="E14" s="8" t="inlineStr">
        <is>
          <t>2026-06-21</t>
        </is>
      </c>
    </row>
    <row r="15" ht="15" customHeight="1" s="6">
      <c r="A15" s="8" t="inlineStr">
        <is>
          <t>RI-APP-003</t>
        </is>
      </c>
      <c r="B15" s="8" t="inlineStr">
        <is>
          <t>BIR-RI-03</t>
        </is>
      </c>
      <c r="C15" s="8" t="inlineStr">
        <is>
          <t>Has the enterprise breached its stated risk appetite in the current reporting period?</t>
        </is>
      </c>
      <c r="D15" s="8" t="inlineStr">
        <is>
          <t>CIL Architecture Team</t>
        </is>
      </c>
      <c r="E15" s="8" t="inlineStr">
        <is>
          <t>2026-06-21</t>
        </is>
      </c>
    </row>
    <row r="16" ht="15" customHeight="1" s="6">
      <c r="A16" s="8" t="inlineStr">
        <is>
          <t>RI-APP-004</t>
        </is>
      </c>
      <c r="B16" s="8" t="inlineStr">
        <is>
          <t>BIR-RI-03</t>
        </is>
      </c>
      <c r="C16" s="8" t="inlineStr">
        <is>
          <t>What escalation occurs when a risk tolerance threshold is breached?</t>
        </is>
      </c>
      <c r="D16" s="8" t="inlineStr">
        <is>
          <t>CIL Architecture Team</t>
        </is>
      </c>
      <c r="E16" s="8" t="inlineStr">
        <is>
          <t>2026-06-21</t>
        </is>
      </c>
    </row>
    <row r="17" ht="15" customHeight="1" s="6">
      <c r="A17" s="8" t="inlineStr">
        <is>
          <t>RI-APP-005</t>
        </is>
      </c>
      <c r="B17" s="8" t="inlineStr">
        <is>
          <t>BIR-RI-03</t>
        </is>
      </c>
      <c r="C17" s="8" t="inlineStr">
        <is>
          <t>When was the risk appetite statement last reviewed or revised?</t>
        </is>
      </c>
      <c r="D17" s="8" t="inlineStr">
        <is>
          <t>CIL Architecture Team</t>
        </is>
      </c>
      <c r="E17" s="8" t="inlineStr">
        <is>
          <t>2026-06-21</t>
        </is>
      </c>
    </row>
    <row r="18" ht="15" customHeight="1" s="6">
      <c r="A18" s="8" t="inlineStr">
        <is>
          <t>RI-QNT-001</t>
        </is>
      </c>
      <c r="B18" s="8" t="inlineStr">
        <is>
          <t>BIR-RI-04</t>
        </is>
      </c>
      <c r="C18" s="8" t="inlineStr">
        <is>
          <t>What methodology is used to quantify risk probability and severity?</t>
        </is>
      </c>
      <c r="D18" s="8" t="inlineStr">
        <is>
          <t>CIL Architecture Team</t>
        </is>
      </c>
      <c r="E18" s="8" t="inlineStr">
        <is>
          <t>2026-06-21</t>
        </is>
      </c>
    </row>
    <row r="19" ht="15" customHeight="1" s="6">
      <c r="A19" s="8" t="inlineStr">
        <is>
          <t>RI-QNT-002</t>
        </is>
      </c>
      <c r="B19" s="8" t="inlineStr">
        <is>
          <t>BIR-RI-04</t>
        </is>
      </c>
      <c r="C19" s="8" t="inlineStr">
        <is>
          <t>What is the estimated financial exposure for each material risk?</t>
        </is>
      </c>
      <c r="D19" s="8" t="inlineStr">
        <is>
          <t>CIL Architecture Team</t>
        </is>
      </c>
      <c r="E19" s="8" t="inlineStr">
        <is>
          <t>2026-06-21</t>
        </is>
      </c>
    </row>
    <row r="20" ht="15" customHeight="1" s="6">
      <c r="A20" s="8" t="inlineStr">
        <is>
          <t>RI-QNT-003</t>
        </is>
      </c>
      <c r="B20" s="8" t="inlineStr">
        <is>
          <t>BIR-RI-04</t>
        </is>
      </c>
      <c r="C20" s="8" t="inlineStr">
        <is>
          <t>What insurance coverage exists against major identified risks?</t>
        </is>
      </c>
      <c r="D20" s="8" t="inlineStr">
        <is>
          <t>CIL Architecture Team</t>
        </is>
      </c>
      <c r="E20" s="8" t="inlineStr">
        <is>
          <t>2026-06-21</t>
        </is>
      </c>
    </row>
    <row r="21" ht="15" customHeight="1" s="6">
      <c r="A21" s="8" t="inlineStr">
        <is>
          <t>RI-QNT-004</t>
        </is>
      </c>
      <c r="B21" s="8" t="inlineStr">
        <is>
          <t>BIR-RI-04</t>
        </is>
      </c>
      <c r="C21" s="8" t="inlineStr">
        <is>
          <t>What risk transfer mechanisms (hedging, contractual risk-shifting) are in place?</t>
        </is>
      </c>
      <c r="D21" s="8" t="inlineStr">
        <is>
          <t>CIL Architecture Team</t>
        </is>
      </c>
      <c r="E21" s="8" t="inlineStr">
        <is>
          <t>2026-06-21</t>
        </is>
      </c>
    </row>
    <row r="22" ht="15" customHeight="1" s="6">
      <c r="A22" s="8" t="inlineStr">
        <is>
          <t>RI-QNT-005</t>
        </is>
      </c>
      <c r="B22" s="8" t="inlineStr">
        <is>
          <t>BIR-RI-04</t>
        </is>
      </c>
      <c r="C22" s="8" t="inlineStr">
        <is>
          <t>What is the total uninsured/retained risk exposure?</t>
        </is>
      </c>
      <c r="D22" s="8" t="inlineStr">
        <is>
          <t>CIL Architecture Team</t>
        </is>
      </c>
      <c r="E22" s="8" t="inlineStr">
        <is>
          <t>2026-06-21</t>
        </is>
      </c>
    </row>
    <row r="23" ht="15" customHeight="1" s="6">
      <c r="A23" s="8" t="inlineStr">
        <is>
          <t>RI-QNT-006</t>
        </is>
      </c>
      <c r="B23" s="8" t="inlineStr">
        <is>
          <t>BIR-RI-04</t>
        </is>
      </c>
      <c r="C23" s="8" t="inlineStr">
        <is>
          <t>How does estimated risk exposure compare to the cost of mitigation?</t>
        </is>
      </c>
      <c r="D23" s="8" t="inlineStr">
        <is>
          <t>CIL Architecture Team</t>
        </is>
      </c>
      <c r="E23" s="8" t="inlineStr">
        <is>
          <t>2026-06-21</t>
        </is>
      </c>
    </row>
    <row r="24" ht="15" customHeight="1" s="6">
      <c r="A24" s="8" t="inlineStr">
        <is>
          <t>RI-FIN-001</t>
        </is>
      </c>
      <c r="B24" s="8" t="inlineStr">
        <is>
          <t>BIR-RI-05</t>
        </is>
      </c>
      <c r="C24" s="8" t="inlineStr">
        <is>
          <t>What credit risk exposure exists from customers, counterparties, or investments?</t>
        </is>
      </c>
      <c r="D24" s="8" t="inlineStr">
        <is>
          <t>CIL Architecture Team</t>
        </is>
      </c>
      <c r="E24" s="8" t="inlineStr">
        <is>
          <t>2026-06-21</t>
        </is>
      </c>
    </row>
    <row r="25" ht="15" customHeight="1" s="6">
      <c r="A25" s="8" t="inlineStr">
        <is>
          <t>RI-FIN-002</t>
        </is>
      </c>
      <c r="B25" s="8" t="inlineStr">
        <is>
          <t>BIR-RI-05</t>
        </is>
      </c>
      <c r="C25" s="8" t="inlineStr">
        <is>
          <t>What liquidity risk exists, and what liquidity buffer is maintained?</t>
        </is>
      </c>
      <c r="D25" s="8" t="inlineStr">
        <is>
          <t>CIL Architecture Team</t>
        </is>
      </c>
      <c r="E25" s="8" t="inlineStr">
        <is>
          <t>2026-06-21</t>
        </is>
      </c>
    </row>
    <row r="26" ht="15" customHeight="1" s="6">
      <c r="A26" s="8" t="inlineStr">
        <is>
          <t>RI-FIN-003</t>
        </is>
      </c>
      <c r="B26" s="8" t="inlineStr">
        <is>
          <t>BIR-RI-05</t>
        </is>
      </c>
      <c r="C26" s="8" t="inlineStr">
        <is>
          <t>What foreign exchange risk exists, and how is it hedged?</t>
        </is>
      </c>
      <c r="D26" s="8" t="inlineStr">
        <is>
          <t>CIL Architecture Team</t>
        </is>
      </c>
      <c r="E26" s="8" t="inlineStr">
        <is>
          <t>2026-06-21</t>
        </is>
      </c>
    </row>
    <row r="27" ht="15" customHeight="1" s="6">
      <c r="A27" s="8" t="inlineStr">
        <is>
          <t>RI-FIN-004</t>
        </is>
      </c>
      <c r="B27" s="8" t="inlineStr">
        <is>
          <t>BIR-RI-05</t>
        </is>
      </c>
      <c r="C27" s="8" t="inlineStr">
        <is>
          <t>What interest rate risk exists on debt and investments?</t>
        </is>
      </c>
      <c r="D27" s="8" t="inlineStr">
        <is>
          <t>CIL Architecture Team</t>
        </is>
      </c>
      <c r="E27" s="8" t="inlineStr">
        <is>
          <t>2026-06-21</t>
        </is>
      </c>
    </row>
    <row r="28" ht="15" customHeight="1" s="6">
      <c r="A28" s="8" t="inlineStr">
        <is>
          <t>RI-FIN-005</t>
        </is>
      </c>
      <c r="B28" s="8" t="inlineStr">
        <is>
          <t>BIR-RI-05</t>
        </is>
      </c>
      <c r="C28" s="8" t="inlineStr">
        <is>
          <t>What is the enterprise's exposure to counterparty default?</t>
        </is>
      </c>
      <c r="D28" s="8" t="inlineStr">
        <is>
          <t>CIL Architecture Team</t>
        </is>
      </c>
      <c r="E28" s="8" t="inlineStr">
        <is>
          <t>2026-06-21</t>
        </is>
      </c>
    </row>
    <row r="29" ht="15" customHeight="1" s="6">
      <c r="A29" s="8" t="inlineStr">
        <is>
          <t>RI-OPS-001</t>
        </is>
      </c>
      <c r="B29" s="8" t="inlineStr">
        <is>
          <t>BIR-RI-06</t>
        </is>
      </c>
      <c r="C29" s="8" t="inlineStr">
        <is>
          <t>What process failure risks have been identified in core operations?</t>
        </is>
      </c>
      <c r="D29" s="8" t="inlineStr">
        <is>
          <t>CIL Architecture Team</t>
        </is>
      </c>
      <c r="E29" s="8" t="inlineStr">
        <is>
          <t>2026-06-21</t>
        </is>
      </c>
    </row>
    <row r="30" ht="15" customHeight="1" s="6">
      <c r="A30" s="8" t="inlineStr">
        <is>
          <t>RI-OPS-002</t>
        </is>
      </c>
      <c r="B30" s="8" t="inlineStr">
        <is>
          <t>BIR-RI-06</t>
        </is>
      </c>
      <c r="C30" s="8" t="inlineStr">
        <is>
          <t>What key-person or talent risk exists in critical roles?</t>
        </is>
      </c>
      <c r="D30" s="8" t="inlineStr">
        <is>
          <t>CIL Architecture Team</t>
        </is>
      </c>
      <c r="E30" s="8" t="inlineStr">
        <is>
          <t>2026-06-21</t>
        </is>
      </c>
    </row>
    <row r="31" ht="15" customHeight="1" s="6">
      <c r="A31" s="8" t="inlineStr">
        <is>
          <t>RI-OPS-003</t>
        </is>
      </c>
      <c r="B31" s="8" t="inlineStr">
        <is>
          <t>BIR-RI-06</t>
        </is>
      </c>
      <c r="C31" s="8" t="inlineStr">
        <is>
          <t>What systems/technology failure risk exists in mission-critical infrastructure?</t>
        </is>
      </c>
      <c r="D31" s="8" t="inlineStr">
        <is>
          <t>CIL Architecture Team</t>
        </is>
      </c>
      <c r="E31" s="8" t="inlineStr">
        <is>
          <t>2026-06-21</t>
        </is>
      </c>
    </row>
    <row r="32" ht="15" customHeight="1" s="6">
      <c r="A32" s="8" t="inlineStr">
        <is>
          <t>RI-OPS-004</t>
        </is>
      </c>
      <c r="B32" s="8" t="inlineStr">
        <is>
          <t>BIR-RI-06</t>
        </is>
      </c>
      <c r="C32" s="8" t="inlineStr">
        <is>
          <t>What fraud or internal control risk has been identified?</t>
        </is>
      </c>
      <c r="D32" s="8" t="inlineStr">
        <is>
          <t>CIL Architecture Team</t>
        </is>
      </c>
      <c r="E32" s="8" t="inlineStr">
        <is>
          <t>2026-06-21</t>
        </is>
      </c>
    </row>
    <row r="33" ht="15" customHeight="1" s="6">
      <c r="A33" s="8" t="inlineStr">
        <is>
          <t>RI-OPS-005</t>
        </is>
      </c>
      <c r="B33" s="8" t="inlineStr">
        <is>
          <t>BIR-RI-06</t>
        </is>
      </c>
      <c r="C33" s="8" t="inlineStr">
        <is>
          <t>What is the historical frequency and cost of operational risk events?</t>
        </is>
      </c>
      <c r="D33" s="8" t="inlineStr">
        <is>
          <t>CIL Architecture Team</t>
        </is>
      </c>
      <c r="E33" s="8" t="inlineStr">
        <is>
          <t>2026-06-21</t>
        </is>
      </c>
    </row>
    <row r="34" ht="15" customHeight="1" s="6">
      <c r="A34" s="8" t="inlineStr">
        <is>
          <t>RI-STR-001</t>
        </is>
      </c>
      <c r="B34" s="8" t="inlineStr">
        <is>
          <t>BIR-RI-07</t>
        </is>
      </c>
      <c r="C34" s="8" t="inlineStr">
        <is>
          <t>What risks could derail the current strategic plan?</t>
        </is>
      </c>
      <c r="D34" s="8" t="inlineStr">
        <is>
          <t>CIL Architecture Team</t>
        </is>
      </c>
      <c r="E34" s="8" t="inlineStr">
        <is>
          <t>2026-06-21</t>
        </is>
      </c>
    </row>
    <row r="35" ht="15" customHeight="1" s="6">
      <c r="A35" s="8" t="inlineStr">
        <is>
          <t>RI-STR-002</t>
        </is>
      </c>
      <c r="B35" s="8" t="inlineStr">
        <is>
          <t>BIR-RI-07</t>
        </is>
      </c>
      <c r="C35" s="8" t="inlineStr">
        <is>
          <t>What reputational risk exists, and how quickly could it escalate?</t>
        </is>
      </c>
      <c r="D35" s="8" t="inlineStr">
        <is>
          <t>CIL Architecture Team</t>
        </is>
      </c>
      <c r="E35" s="8" t="inlineStr">
        <is>
          <t>2026-06-21</t>
        </is>
      </c>
    </row>
    <row r="36" ht="15" customHeight="1" s="6">
      <c r="A36" s="8" t="inlineStr">
        <is>
          <t>RI-STR-003</t>
        </is>
      </c>
      <c r="B36" s="8" t="inlineStr">
        <is>
          <t>BIR-RI-07</t>
        </is>
      </c>
      <c r="C36" s="8" t="inlineStr">
        <is>
          <t>What litigation or legal risk could affect strategic execution?</t>
        </is>
      </c>
      <c r="D36" s="8" t="inlineStr">
        <is>
          <t>CIL Architecture Team</t>
        </is>
      </c>
      <c r="E36" s="8" t="inlineStr">
        <is>
          <t>2026-06-21</t>
        </is>
      </c>
    </row>
    <row r="37" ht="15" customHeight="1" s="6">
      <c r="A37" s="8" t="inlineStr">
        <is>
          <t>RI-STR-004</t>
        </is>
      </c>
      <c r="B37" s="8" t="inlineStr">
        <is>
          <t>BIR-RI-07</t>
        </is>
      </c>
      <c r="C37" s="8" t="inlineStr">
        <is>
          <t>What competitive disruption risk has been identified?</t>
        </is>
      </c>
      <c r="D37" s="8" t="inlineStr">
        <is>
          <t>CIL Architecture Team</t>
        </is>
      </c>
      <c r="E37" s="8" t="inlineStr">
        <is>
          <t>2026-06-21</t>
        </is>
      </c>
    </row>
    <row r="38" ht="15" customHeight="1" s="6">
      <c r="A38" s="8" t="inlineStr">
        <is>
          <t>RI-STR-005</t>
        </is>
      </c>
      <c r="B38" s="8" t="inlineStr">
        <is>
          <t>BIR-RI-07</t>
        </is>
      </c>
      <c r="C38" s="8" t="inlineStr">
        <is>
          <t>What technology obsolescence risk threatens the current business model?</t>
        </is>
      </c>
      <c r="D38" s="8" t="inlineStr">
        <is>
          <t>CIL Architecture Team</t>
        </is>
      </c>
      <c r="E38" s="8" t="inlineStr">
        <is>
          <t>2026-06-21</t>
        </is>
      </c>
    </row>
    <row r="39" ht="15" customHeight="1" s="6">
      <c r="A39" s="8" t="inlineStr">
        <is>
          <t>RI-GEO-001</t>
        </is>
      </c>
      <c r="B39" s="8" t="inlineStr">
        <is>
          <t>BIR-RI-08</t>
        </is>
      </c>
      <c r="C39" s="8" t="inlineStr">
        <is>
          <t>What country concentration risk exists in revenue or operations?</t>
        </is>
      </c>
      <c r="D39" s="8" t="inlineStr">
        <is>
          <t>CIL Architecture Team</t>
        </is>
      </c>
      <c r="E39" s="8" t="inlineStr">
        <is>
          <t>2026-06-21</t>
        </is>
      </c>
    </row>
    <row r="40" ht="15" customHeight="1" s="6">
      <c r="A40" s="8" t="inlineStr">
        <is>
          <t>RI-GEO-002</t>
        </is>
      </c>
      <c r="B40" s="8" t="inlineStr">
        <is>
          <t>BIR-RI-08</t>
        </is>
      </c>
      <c r="C40" s="8" t="inlineStr">
        <is>
          <t>What trade-war or sanctions exposure has been identified?</t>
        </is>
      </c>
      <c r="D40" s="8" t="inlineStr">
        <is>
          <t>CIL Architecture Team</t>
        </is>
      </c>
      <c r="E40" s="8" t="inlineStr">
        <is>
          <t>2026-06-21</t>
        </is>
      </c>
    </row>
    <row r="41" ht="15" customHeight="1" s="6">
      <c r="A41" s="8" t="inlineStr">
        <is>
          <t>RI-GEO-003</t>
        </is>
      </c>
      <c r="B41" s="8" t="inlineStr">
        <is>
          <t>BIR-RI-08</t>
        </is>
      </c>
      <c r="C41" s="8" t="inlineStr">
        <is>
          <t>What physical climate risk exists at the facility level?</t>
        </is>
      </c>
      <c r="D41" s="8" t="inlineStr">
        <is>
          <t>CIL Architecture Team</t>
        </is>
      </c>
      <c r="E41" s="8" t="inlineStr">
        <is>
          <t>2026-06-21</t>
        </is>
      </c>
    </row>
    <row r="42" ht="15" customHeight="1" s="6">
      <c r="A42" s="8" t="inlineStr">
        <is>
          <t>RI-GEO-004</t>
        </is>
      </c>
      <c r="B42" s="8" t="inlineStr">
        <is>
          <t>BIR-RI-08</t>
        </is>
      </c>
      <c r="C42" s="8" t="inlineStr">
        <is>
          <t>What political instability risk exists in countries of operation?</t>
        </is>
      </c>
      <c r="D42" s="8" t="inlineStr">
        <is>
          <t>CIL Architecture Team</t>
        </is>
      </c>
      <c r="E42" s="8" t="inlineStr">
        <is>
          <t>2026-06-21</t>
        </is>
      </c>
    </row>
    <row r="43" ht="15" customHeight="1" s="6">
      <c r="A43" s="8" t="inlineStr">
        <is>
          <t>RI-TPY-001</t>
        </is>
      </c>
      <c r="B43" s="8" t="inlineStr">
        <is>
          <t>BIR-RI-09</t>
        </is>
      </c>
      <c r="C43" s="8" t="inlineStr">
        <is>
          <t>What supplier concentration risk exists for critical inputs?</t>
        </is>
      </c>
      <c r="D43" s="8" t="inlineStr">
        <is>
          <t>CIL Architecture Team</t>
        </is>
      </c>
      <c r="E43" s="8" t="inlineStr">
        <is>
          <t>2026-06-21</t>
        </is>
      </c>
    </row>
    <row r="44" ht="15" customHeight="1" s="6">
      <c r="A44" s="8" t="inlineStr">
        <is>
          <t>RI-TPY-002</t>
        </is>
      </c>
      <c r="B44" s="8" t="inlineStr">
        <is>
          <t>BIR-RI-09</t>
        </is>
      </c>
      <c r="C44" s="8" t="inlineStr">
        <is>
          <t>What customer concentration risk exists in revenue?</t>
        </is>
      </c>
      <c r="D44" s="8" t="inlineStr">
        <is>
          <t>CIL Architecture Team</t>
        </is>
      </c>
      <c r="E44" s="8" t="inlineStr">
        <is>
          <t>2026-06-21</t>
        </is>
      </c>
    </row>
    <row r="45" ht="15" customHeight="1" s="6">
      <c r="A45" s="8" t="inlineStr">
        <is>
          <t>RI-TPY-003</t>
        </is>
      </c>
      <c r="B45" s="8" t="inlineStr">
        <is>
          <t>BIR-RI-09</t>
        </is>
      </c>
      <c r="C45" s="8" t="inlineStr">
        <is>
          <t>What due diligence is performed on critical third parties?</t>
        </is>
      </c>
      <c r="D45" s="8" t="inlineStr">
        <is>
          <t>CIL Architecture Team</t>
        </is>
      </c>
      <c r="E45" s="8" t="inlineStr">
        <is>
          <t>2026-06-21</t>
        </is>
      </c>
    </row>
    <row r="46" ht="15" customHeight="1" s="6">
      <c r="A46" s="8" t="inlineStr">
        <is>
          <t>RI-TPY-004</t>
        </is>
      </c>
      <c r="B46" s="8" t="inlineStr">
        <is>
          <t>BIR-RI-09</t>
        </is>
      </c>
      <c r="C46" s="8" t="inlineStr">
        <is>
          <t>What contingency exists if a critical third party fails?</t>
        </is>
      </c>
      <c r="D46" s="8" t="inlineStr">
        <is>
          <t>CIL Architecture Team</t>
        </is>
      </c>
      <c r="E46" s="8" t="inlineStr">
        <is>
          <t>2026-06-21</t>
        </is>
      </c>
    </row>
    <row r="47" ht="15" customHeight="1" s="6">
      <c r="A47" s="8" t="inlineStr">
        <is>
          <t>RI-TPY-005</t>
        </is>
      </c>
      <c r="B47" s="8" t="inlineStr">
        <is>
          <t>BIR-RI-09</t>
        </is>
      </c>
      <c r="C47" s="8" t="inlineStr">
        <is>
          <t>What fourth-party (sub-supplier) risk visibility exists?</t>
        </is>
      </c>
      <c r="D47" s="8" t="inlineStr">
        <is>
          <t>CIL Architecture Team</t>
        </is>
      </c>
      <c r="E47" s="8" t="inlineStr">
        <is>
          <t>2026-06-21</t>
        </is>
      </c>
    </row>
    <row r="48" ht="15" customHeight="1" s="6">
      <c r="A48" s="8" t="inlineStr">
        <is>
          <t>RI-MON-001</t>
        </is>
      </c>
      <c r="B48" s="8" t="inlineStr">
        <is>
          <t>BIR-RI-10</t>
        </is>
      </c>
      <c r="C48" s="8" t="inlineStr">
        <is>
          <t>What early warning indicators are monitored for material risks?</t>
        </is>
      </c>
      <c r="D48" s="8" t="inlineStr">
        <is>
          <t>CIL Architecture Team</t>
        </is>
      </c>
      <c r="E48" s="8" t="inlineStr">
        <is>
          <t>2026-06-21</t>
        </is>
      </c>
    </row>
    <row r="49" ht="15" customHeight="1" s="6">
      <c r="A49" s="8" t="inlineStr">
        <is>
          <t>RI-MON-002</t>
        </is>
      </c>
      <c r="B49" s="8" t="inlineStr">
        <is>
          <t>BIR-RI-10</t>
        </is>
      </c>
      <c r="C49" s="8" t="inlineStr">
        <is>
          <t>What emerging or weak-signal risks has the enterprise identified but not yet formalized?</t>
        </is>
      </c>
      <c r="D49" s="8" t="inlineStr">
        <is>
          <t>CIL Architecture Team</t>
        </is>
      </c>
      <c r="E49" s="8" t="inlineStr">
        <is>
          <t>2026-06-21</t>
        </is>
      </c>
    </row>
    <row r="50" ht="15" customHeight="1" s="6">
      <c r="A50" s="8" t="inlineStr">
        <is>
          <t>RI-MON-003</t>
        </is>
      </c>
      <c r="B50" s="8" t="inlineStr">
        <is>
          <t>BIR-RI-10</t>
        </is>
      </c>
      <c r="C50" s="8" t="inlineStr">
        <is>
          <t>Are risk correlations or cascading-failure scenarios modeled?</t>
        </is>
      </c>
      <c r="D50" s="8" t="inlineStr">
        <is>
          <t>CIL Architecture Team</t>
        </is>
      </c>
      <c r="E50" s="8" t="inlineStr">
        <is>
          <t>2026-06-21</t>
        </is>
      </c>
    </row>
    <row r="51" ht="15" customHeight="1" s="6">
      <c r="A51" s="8" t="inlineStr">
        <is>
          <t>RI-MON-004</t>
        </is>
      </c>
      <c r="B51" s="8" t="inlineStr">
        <is>
          <t>BIR-RI-10</t>
        </is>
      </c>
      <c r="C51" s="8" t="inlineStr">
        <is>
          <t>What risk management technology/GRC platform is used for monitoring?</t>
        </is>
      </c>
      <c r="D51" s="8" t="inlineStr">
        <is>
          <t>CIL Architecture Team</t>
        </is>
      </c>
      <c r="E51" s="8" t="inlineStr">
        <is>
          <t>2026-06-21</t>
        </is>
      </c>
    </row>
    <row r="52" ht="15" customHeight="1" s="6">
      <c r="A52" s="8" t="inlineStr">
        <is>
          <t>RI-MON-005</t>
        </is>
      </c>
      <c r="B52" s="8" t="inlineStr">
        <is>
          <t>BIR-RI-10</t>
        </is>
      </c>
      <c r="C52" s="8" t="inlineStr">
        <is>
          <t>How is risk data quality validated to prevent metric gaming?</t>
        </is>
      </c>
      <c r="D52" s="8" t="inlineStr">
        <is>
          <t>CIL Architecture Team</t>
        </is>
      </c>
      <c r="E52" s="8" t="inlineStr">
        <is>
          <t>2026-06-21</t>
        </is>
      </c>
    </row>
    <row r="53" ht="15" customHeight="1" s="6">
      <c r="A53" s="8" t="inlineStr">
        <is>
          <t>RI-GOV-007</t>
        </is>
      </c>
      <c r="B53" s="8" t="inlineStr">
        <is>
          <t>BIR-RI-01</t>
        </is>
      </c>
      <c r="C53" s="8" t="inlineStr">
        <is>
          <t>What is the assessed maturity of the enterprise risk management function?</t>
        </is>
      </c>
      <c r="D53" s="8" t="inlineStr">
        <is>
          <t>CIL Architecture Team</t>
        </is>
      </c>
      <c r="E53" s="8" t="inlineStr">
        <is>
          <t>2026-06-21</t>
        </is>
      </c>
    </row>
    <row r="54" ht="15" customHeight="1" s="6">
      <c r="A54" s="8" t="inlineStr">
        <is>
          <t>RI-QNT-007</t>
        </is>
      </c>
      <c r="B54" s="8" t="inlineStr">
        <is>
          <t>BIR-RI-04</t>
        </is>
      </c>
      <c r="C54" s="8" t="inlineStr">
        <is>
          <t>Is the risk quantification methodology internally validated or back-tested?</t>
        </is>
      </c>
      <c r="D54" s="8" t="inlineStr">
        <is>
          <t>CIL Architecture Team</t>
        </is>
      </c>
      <c r="E54" s="8" t="inlineStr">
        <is>
          <t>2026-06-21</t>
        </is>
      </c>
    </row>
    <row r="55" ht="15" customHeight="1" s="6">
      <c r="A55" s="8" t="inlineStr">
        <is>
          <t>RI-FIN-006</t>
        </is>
      </c>
      <c r="B55" s="8" t="inlineStr">
        <is>
          <t>BIR-RI-05</t>
        </is>
      </c>
      <c r="C55" s="8" t="inlineStr">
        <is>
          <t>What pension or retirement obligation risk exists from a funding/sensitivity perspective?</t>
        </is>
      </c>
      <c r="D55" s="8" t="inlineStr">
        <is>
          <t>CIL Architecture Team</t>
        </is>
      </c>
      <c r="E55" s="8" t="inlineStr">
        <is>
          <t>2026-06-21</t>
        </is>
      </c>
    </row>
    <row r="56" ht="15" customHeight="1" s="6">
      <c r="A56" s="8" t="inlineStr">
        <is>
          <t>RI-APP-006</t>
        </is>
      </c>
      <c r="B56" s="8" t="inlineStr">
        <is>
          <t>BIR-RI-03</t>
        </is>
      </c>
      <c r="C56" s="8" t="inlineStr">
        <is>
          <t>Does actual risk-taking behavior diverge from the stated risk appetite, even without a formal breach?</t>
        </is>
      </c>
      <c r="D56" s="8" t="inlineStr">
        <is>
          <t>CIL Architecture Team</t>
        </is>
      </c>
      <c r="E56" s="8" t="inlineStr">
        <is>
          <t>2026-06-21</t>
        </is>
      </c>
    </row>
    <row r="57" ht="15" customHeight="1" s="6">
      <c r="A57" s="8" t="inlineStr">
        <is>
          <t>RI-OPS-006</t>
        </is>
      </c>
      <c r="B57" s="8" t="inlineStr">
        <is>
          <t>BIR-RI-06</t>
        </is>
      </c>
      <c r="C57" s="8" t="inlineStr">
        <is>
          <t>What M&amp;A due diligence risk findings have been identified for completed or pending transactions?</t>
        </is>
      </c>
      <c r="D57" s="8" t="inlineStr">
        <is>
          <t>CIL Architecture Team</t>
        </is>
      </c>
      <c r="E57" s="8" t="inlineStr">
        <is>
          <t>2026-06-21</t>
        </is>
      </c>
    </row>
    <row r="58" ht="15" customHeight="1" s="6">
      <c r="A58" s="8" t="inlineStr">
        <is>
          <t>RI-TAX-006</t>
        </is>
      </c>
      <c r="B58" s="8" t="inlineStr">
        <is>
          <t>BIR-RI-02</t>
        </is>
      </c>
      <c r="C58" s="8" t="inlineStr">
        <is>
          <t>What pending or anticipated regulatory changes are tracked as risks?</t>
        </is>
      </c>
      <c r="D58" s="8" t="inlineStr">
        <is>
          <t>CIL Architecture Team</t>
        </is>
      </c>
      <c r="E58" s="8" t="inlineStr">
        <is>
          <t>2026-06-21</t>
        </is>
      </c>
    </row>
    <row r="59" ht="15" customHeight="1" s="6">
      <c r="A59" s="8" t="inlineStr">
        <is>
          <t>RI-TAX-007</t>
        </is>
      </c>
      <c r="B59" s="8" t="inlineStr">
        <is>
          <t>BIR-RI-02</t>
        </is>
      </c>
      <c r="C59" s="8" t="inlineStr">
        <is>
          <t>Has the enterprise assessed its own risk register for blind spots or coverage gaps?</t>
        </is>
      </c>
      <c r="D59" s="8" t="inlineStr">
        <is>
          <t>CIL Architecture Team</t>
        </is>
      </c>
      <c r="E59" s="8" t="inlineStr">
        <is>
          <t>2026-06-21</t>
        </is>
      </c>
    </row>
    <row r="60" ht="15" customHeight="1" s="6">
      <c r="A60" s="8" t="inlineStr">
        <is>
          <t>RI-APP-007</t>
        </is>
      </c>
      <c r="B60" s="8" t="inlineStr">
        <is>
          <t>BIR-RI-03</t>
        </is>
      </c>
      <c r="C60" s="8" t="inlineStr">
        <is>
          <t>Does risk appetite vary by business unit or subsidiary?</t>
        </is>
      </c>
      <c r="D60" s="8" t="inlineStr">
        <is>
          <t>CIL Architecture Team</t>
        </is>
      </c>
      <c r="E60" s="8" t="inlineStr">
        <is>
          <t>2026-06-21</t>
        </is>
      </c>
    </row>
    <row r="61" ht="15" customHeight="1" s="6">
      <c r="A61" s="8" t="inlineStr">
        <is>
          <t>RI-OPS-007</t>
        </is>
      </c>
      <c r="B61" s="8" t="inlineStr">
        <is>
          <t>BIR-RI-06</t>
        </is>
      </c>
      <c r="C61" s="8" t="inlineStr">
        <is>
          <t>What is the quantified business risk (probability and financial exposure) from cyber incidents?</t>
        </is>
      </c>
      <c r="D61" s="8" t="inlineStr">
        <is>
          <t>CIL Architecture Team</t>
        </is>
      </c>
      <c r="E61" s="8" t="inlineStr">
        <is>
          <t>2026-06-21</t>
        </is>
      </c>
    </row>
    <row r="62" ht="15" customHeight="1" s="6">
      <c r="A62" s="8" t="inlineStr">
        <is>
          <t>RI-QNT-008</t>
        </is>
      </c>
      <c r="B62" s="8" t="inlineStr">
        <is>
          <t>BIR-RI-04</t>
        </is>
      </c>
      <c r="C62" s="8" t="inlineStr">
        <is>
          <t>Does the enterprise use an economic/risk capital allocation methodology?</t>
        </is>
      </c>
      <c r="D62" s="8" t="inlineStr">
        <is>
          <t>CIL Architecture Team</t>
        </is>
      </c>
      <c r="E62" s="8" t="inlineStr">
        <is>
          <t>2026-06-21</t>
        </is>
      </c>
    </row>
    <row r="63" ht="15" customHeight="1" s="6">
      <c r="A63" s="8" t="inlineStr">
        <is>
          <t>RI-QNT-009</t>
        </is>
      </c>
      <c r="B63" s="8" t="inlineStr">
        <is>
          <t>BIR-RI-04</t>
        </is>
      </c>
      <c r="C63" s="8" t="inlineStr">
        <is>
          <t>Are tail-risk or black-swan scenarios specifically modeled, distinct from standard scenario planning?</t>
        </is>
      </c>
      <c r="D63" s="8" t="inlineStr">
        <is>
          <t>CIL Architecture Team</t>
        </is>
      </c>
      <c r="E63" s="8" t="inlineStr">
        <is>
          <t>2026-06-21</t>
        </is>
      </c>
    </row>
    <row r="64" ht="15" customHeight="1" s="6">
      <c r="A64" s="8" t="inlineStr">
        <is>
          <t>RI-GOV-008</t>
        </is>
      </c>
      <c r="B64" s="8" t="inlineStr">
        <is>
          <t>BIR-RI-01</t>
        </is>
      </c>
      <c r="C64" s="8" t="inlineStr">
        <is>
          <t>Is the risk management function adequately resourced in budget and headcount?</t>
        </is>
      </c>
      <c r="D64" s="8" t="inlineStr">
        <is>
          <t>CIL Architecture Team</t>
        </is>
      </c>
      <c r="E64" s="8" t="inlineStr">
        <is>
          <t>2026-06-21</t>
        </is>
      </c>
    </row>
    <row r="65" ht="15" customHeight="1" s="6">
      <c r="A65" s="8" t="inlineStr">
        <is>
          <t>RI-GOV-009</t>
        </is>
      </c>
      <c r="B65" s="8" t="inlineStr">
        <is>
          <t>BIR-RI-01</t>
        </is>
      </c>
      <c r="C65" s="8" t="inlineStr">
        <is>
          <t>Is public risk disclosure cross-checked against the internal risk register for consistency?</t>
        </is>
      </c>
      <c r="D65" s="8" t="inlineStr">
        <is>
          <t>CIL Architecture Team</t>
        </is>
      </c>
      <c r="E65" s="8" t="inlineStr">
        <is>
          <t>2026-06-21</t>
        </is>
      </c>
    </row>
    <row r="66" ht="15" customHeight="1" s="6">
      <c r="A66" s="8" t="inlineStr">
        <is>
          <t>RI-GOV-010</t>
        </is>
      </c>
      <c r="B66" s="8" t="inlineStr">
        <is>
          <t>BIR-RI-01</t>
        </is>
      </c>
      <c r="C66" s="8" t="inlineStr">
        <is>
          <t>Is risk governance independent from a controlling family or state shareholder's influence?</t>
        </is>
      </c>
      <c r="D66" s="8" t="inlineStr">
        <is>
          <t>CIL Architecture Team</t>
        </is>
      </c>
      <c r="E66" s="8" t="inlineStr">
        <is>
          <t>2026-06-21</t>
        </is>
      </c>
    </row>
    <row r="67" ht="15" customHeight="1" s="6">
      <c r="A67" s="8" t="inlineStr">
        <is>
          <t>RI-GOV-011</t>
        </is>
      </c>
      <c r="B67" s="8" t="inlineStr">
        <is>
          <t>BIR-RI-01</t>
        </is>
      </c>
      <c r="C67" s="8" t="inlineStr">
        <is>
          <t>Would the risk management function continue to operate effectively during financial distress?</t>
        </is>
      </c>
      <c r="D67" s="8" t="inlineStr">
        <is>
          <t>CIL Architecture Team</t>
        </is>
      </c>
      <c r="E67" s="8" t="inlineStr">
        <is>
          <t>2026-06-21</t>
        </is>
      </c>
    </row>
    <row r="68" ht="15" customHeight="1" s="6">
      <c r="A68" s="8" t="inlineStr">
        <is>
          <t>RI-GOV-012</t>
        </is>
      </c>
      <c r="B68" s="8" t="inlineStr">
        <is>
          <t>BIR-RI-01</t>
        </is>
      </c>
      <c r="C68" s="8" t="inlineStr">
        <is>
          <t>Is there succession risk for the CRO or risk management function itself?</t>
        </is>
      </c>
      <c r="D68" s="8" t="inlineStr">
        <is>
          <t>CIL Architecture Team</t>
        </is>
      </c>
      <c r="E68" s="8" t="inlineStr">
        <is>
          <t>2026-06-21</t>
        </is>
      </c>
    </row>
    <row r="69" ht="15" customHeight="1" s="6">
      <c r="A69" s="8" t="inlineStr">
        <is>
          <t>RI-QNT-010</t>
        </is>
      </c>
      <c r="B69" s="8" t="inlineStr">
        <is>
          <t>BIR-RI-04</t>
        </is>
      </c>
      <c r="C69" s="8" t="inlineStr">
        <is>
          <t>Is insurance market availability or affordability itself tracked as a risk?</t>
        </is>
      </c>
      <c r="D69" s="8" t="inlineStr">
        <is>
          <t>CIL Architecture Team</t>
        </is>
      </c>
      <c r="E69" s="8" t="inlineStr">
        <is>
          <t>2026-06-21</t>
        </is>
      </c>
    </row>
    <row r="70" ht="15" customHeight="1" s="6">
      <c r="A70" s="8" t="inlineStr">
        <is>
          <t>RI-QNT-011</t>
        </is>
      </c>
      <c r="B70" s="8" t="inlineStr">
        <is>
          <t>BIR-RI-04</t>
        </is>
      </c>
      <c r="C70" s="8" t="inlineStr">
        <is>
          <t>Is a risk-adjusted return metric (e.g. RAROC) used in capital or strategic decision-making?</t>
        </is>
      </c>
      <c r="D70" s="8" t="inlineStr">
        <is>
          <t>CIL Architecture Team</t>
        </is>
      </c>
      <c r="E70" s="8" t="inlineStr">
        <is>
          <t>2026-06-21</t>
        </is>
      </c>
    </row>
    <row r="71" ht="15" customHeight="1" s="6">
      <c r="A71" s="8" t="inlineStr">
        <is>
          <t>RI-GOV-013</t>
        </is>
      </c>
      <c r="B71" s="8" t="inlineStr">
        <is>
          <t>BIR-RI-01</t>
        </is>
      </c>
      <c r="C71" s="8" t="inlineStr">
        <is>
          <t>What risk disclosures are made to regulators, distinct from Board reporting?</t>
        </is>
      </c>
      <c r="D71" s="8" t="inlineStr">
        <is>
          <t>CIL Architecture Team</t>
        </is>
      </c>
      <c r="E71" s="8" t="inlineStr">
        <is>
          <t>2026-06-21</t>
        </is>
      </c>
    </row>
    <row r="72" ht="15" customHeight="1" s="6">
      <c r="A72" s="8" t="inlineStr">
        <is>
          <t>RI-MON-006</t>
        </is>
      </c>
      <c r="B72" s="8" t="inlineStr">
        <is>
          <t>BIR-RI-10</t>
        </is>
      </c>
      <c r="C72" s="8" t="inlineStr">
        <is>
          <t>How quickly can a general risk escalate from low to critical severity (risk velocity)?</t>
        </is>
      </c>
      <c r="D72" s="8" t="inlineStr">
        <is>
          <t>CIL Architecture Team</t>
        </is>
      </c>
      <c r="E72" s="8" t="inlineStr">
        <is>
          <t>2026-06-21</t>
        </is>
      </c>
    </row>
    <row r="73" ht="15" customHeight="1" s="6">
      <c r="A73" s="8" t="inlineStr">
        <is>
          <t>RI-OPS-008</t>
        </is>
      </c>
      <c r="B73" s="8" t="inlineStr">
        <is>
          <t>BIR-RI-06</t>
        </is>
      </c>
      <c r="C73" s="8" t="inlineStr">
        <is>
          <t>What data privacy/regulatory risk is quantified, distinct from cyber incident risk?</t>
        </is>
      </c>
      <c r="D73" s="8" t="inlineStr">
        <is>
          <t>CIL Architecture Team</t>
        </is>
      </c>
      <c r="E73" s="8" t="inlineStr">
        <is>
          <t>2026-06-21</t>
        </is>
      </c>
    </row>
    <row r="74" ht="15" customHeight="1" s="6">
      <c r="A74" s="8" t="inlineStr">
        <is>
          <t>RI-GOV-014</t>
        </is>
      </c>
      <c r="B74" s="8" t="inlineStr">
        <is>
          <t>BIR-RI-01</t>
        </is>
      </c>
      <c r="C74" s="8" t="inlineStr">
        <is>
          <t>How does the enterprise's risk profile benchmark against industry peers?</t>
        </is>
      </c>
      <c r="D74" s="8" t="inlineStr">
        <is>
          <t>CIL Architecture Team</t>
        </is>
      </c>
      <c r="E74" s="8" t="inlineStr">
        <is>
          <t>2026-06-21</t>
        </is>
      </c>
    </row>
    <row r="75" ht="15" customHeight="1" s="6">
      <c r="A75" s="8" t="inlineStr">
        <is>
          <t>RI-TAX-008</t>
        </is>
      </c>
      <c r="B75" s="8" t="inlineStr">
        <is>
          <t>BIR-RI-02</t>
        </is>
      </c>
      <c r="C75" s="8" t="inlineStr">
        <is>
          <t>What access control or confidentiality classification governs the risk register itself?</t>
        </is>
      </c>
      <c r="D75" s="8" t="inlineStr">
        <is>
          <t>CIL Architecture Team</t>
        </is>
      </c>
      <c r="E75" s="8" t="inlineStr">
        <is>
          <t>2026-06-21</t>
        </is>
      </c>
    </row>
    <row r="76" ht="15" customHeight="1" s="6">
      <c r="A76" s="8" t="inlineStr">
        <is>
          <t>RI-TPY-006</t>
        </is>
      </c>
      <c r="B76" s="8" t="inlineStr">
        <is>
          <t>BIR-RI-09</t>
        </is>
      </c>
      <c r="C76" s="8" t="inlineStr">
        <is>
          <t>What risk arises from financial distress, insolvency, or loss of major customers?</t>
        </is>
      </c>
      <c r="D76" s="8" t="inlineStr">
        <is>
          <t>CIL Architecture Team</t>
        </is>
      </c>
      <c r="E76" s="8" t="inlineStr">
        <is>
          <t>2026-06-23</t>
        </is>
      </c>
    </row>
    <row r="77" ht="15" customHeight="1" s="6">
      <c r="A77" s="8" t="inlineStr">
        <is>
          <t>RI-STR-006</t>
        </is>
      </c>
      <c r="B77" s="8" t="inlineStr">
        <is>
          <t>BIR-RI-07</t>
        </is>
      </c>
      <c r="C77" s="8" t="inlineStr">
        <is>
          <t>What risk arises from activist investors, hostile takeover attempts, proxy battles, or control disputes?</t>
        </is>
      </c>
      <c r="D77" s="8" t="inlineStr">
        <is>
          <t>CIL Architecture Team</t>
        </is>
      </c>
      <c r="E77" s="8" t="inlineStr">
        <is>
          <t>2026-06-23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S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55" customWidth="1" style="5" min="2" max="2"/>
    <col width="12" customWidth="1" style="5" min="3" max="3"/>
    <col width="24" customWidth="1" style="5" min="4" max="5"/>
    <col width="23" customWidth="1" style="5" min="6" max="6"/>
    <col width="53" customWidth="1" style="5" min="7" max="7"/>
    <col width="55" customWidth="1" style="5" min="8" max="8"/>
    <col width="18" customWidth="1" style="5" min="9" max="9"/>
    <col width="14" customWidth="1" style="5" min="10" max="10"/>
    <col width="55" customWidth="1" style="5" min="11" max="11"/>
    <col width="26" customWidth="1" style="5" min="12" max="12"/>
    <col width="24" customWidth="1" style="5" min="13" max="13"/>
    <col width="13" customWidth="1" style="5" min="14" max="14"/>
    <col width="30" customWidth="1" style="5" min="15" max="15"/>
    <col width="55" customWidth="1" style="5" min="16" max="16"/>
    <col width="12" customWidth="1" style="5" min="17" max="17"/>
    <col width="55" customWidth="1" style="5" min="18" max="19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Data Type</t>
        </is>
      </c>
      <c r="D1" s="7" t="inlineStr">
        <is>
          <t>Executive Criticality</t>
        </is>
      </c>
      <c r="E1" s="7" t="inlineStr">
        <is>
          <t>Framework Criticality</t>
        </is>
      </c>
      <c r="F1" s="7" t="inlineStr">
        <is>
          <t>Acquisition Priority</t>
        </is>
      </c>
      <c r="G1" s="7" t="inlineStr">
        <is>
          <t>Validation Rule</t>
        </is>
      </c>
      <c r="H1" s="7" t="inlineStr">
        <is>
          <t>Validation Rule (Parseable)</t>
        </is>
      </c>
      <c r="I1" s="7" t="inlineStr">
        <is>
          <t>Temporal</t>
        </is>
      </c>
      <c r="J1" s="7" t="inlineStr">
        <is>
          <t>Cardinality</t>
        </is>
      </c>
      <c r="K1" s="7" t="inlineStr">
        <is>
          <t>Aggregation Rule</t>
        </is>
      </c>
      <c r="L1" s="7" t="inlineStr">
        <is>
          <t>Default Evidence Source</t>
        </is>
      </c>
      <c r="M1" s="7" t="inlineStr">
        <is>
          <t>Created By</t>
        </is>
      </c>
      <c r="N1" s="7" t="inlineStr">
        <is>
          <t>Date Added</t>
        </is>
      </c>
      <c r="O1" s="7" t="inlineStr">
        <is>
          <t>Source System</t>
        </is>
      </c>
      <c r="P1" s="7" t="inlineStr">
        <is>
          <t>Node Applicability</t>
        </is>
      </c>
      <c r="Q1" s="7" t="inlineStr">
        <is>
          <t>CDE Scope</t>
        </is>
      </c>
      <c r="R1" s="7" t="inlineStr">
        <is>
          <t>Framework Tier Eligibility</t>
        </is>
      </c>
      <c r="S1" s="7" t="inlineStr">
        <is>
          <t>Domain Ownership Note (Binding 6)</t>
        </is>
      </c>
    </row>
    <row r="2" ht="15" customHeight="1" s="6">
      <c r="A2" s="8" t="inlineStr">
        <is>
          <t>CDE-R001</t>
        </is>
      </c>
      <c r="B2" s="8" t="inlineStr">
        <is>
          <t>Chief Risk Officer Exists</t>
        </is>
      </c>
      <c r="C2" s="8" t="inlineStr">
        <is>
          <t>Boolean</t>
        </is>
      </c>
      <c r="D2" s="8" t="inlineStr">
        <is>
          <t>Required</t>
        </is>
      </c>
      <c r="E2" s="8" t="inlineStr">
        <is>
          <t>Universal</t>
        </is>
      </c>
      <c r="F2" s="8" t="inlineStr">
        <is>
          <t>P1</t>
        </is>
      </c>
      <c r="G2" s="8" t="inlineStr">
        <is>
          <t>True/False/Unknown (tri-state)</t>
        </is>
      </c>
      <c r="H2" s="8" t="inlineStr">
        <is>
          <t>TYPE:BOOLEAN|ALLOWED:TRUE,FALSE,UNKNOWN</t>
        </is>
      </c>
      <c r="I2" s="8" t="inlineStr">
        <is>
          <t>Effective-dated</t>
        </is>
      </c>
      <c r="J2" s="8" t="inlineStr">
        <is>
          <t>One-to-one</t>
        </is>
      </c>
      <c r="K2" s="8" t="inlineStr">
        <is>
          <t>N/A — not a one-to-many numeric field</t>
        </is>
      </c>
      <c r="L2" s="8" t="inlineStr">
        <is>
          <t>Annual Report / 10-K Filing (SEC EDGAR, Company IR Site)</t>
        </is>
      </c>
      <c r="M2" s="8" t="inlineStr">
        <is>
          <t>CIL Architecture Team</t>
        </is>
      </c>
      <c r="N2" s="8" t="inlineStr">
        <is>
          <t>2026-06-21</t>
        </is>
      </c>
      <c r="O2" s="8" t="inlineStr">
        <is>
          <t>CorpStage CIL Registry v1.0</t>
        </is>
      </c>
      <c r="P2" s="8" t="inlineStr">
        <is>
          <t>Group only (single enterprise-wide fact, does not repeat per node)</t>
        </is>
      </c>
      <c r="Q2" s="8" t="inlineStr">
        <is>
          <t>Global</t>
        </is>
      </c>
      <c r="R2" s="8" t="inlineStr">
        <is>
          <t>Tier 1 (Standard) — available to all frameworks and all customers</t>
        </is>
      </c>
      <c r="S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" ht="15" customHeight="1" s="6">
      <c r="A3" s="8" t="inlineStr">
        <is>
          <t>CDE-R002</t>
        </is>
      </c>
      <c r="B3" s="8" t="inlineStr">
        <is>
          <t>CRO Name</t>
        </is>
      </c>
      <c r="C3" s="8" t="inlineStr">
        <is>
          <t>Text</t>
        </is>
      </c>
      <c r="D3" s="8" t="inlineStr">
        <is>
          <t>Recommended</t>
        </is>
      </c>
      <c r="E3" s="8" t="inlineStr">
        <is>
          <t>Multi</t>
        </is>
      </c>
      <c r="F3" s="8" t="inlineStr">
        <is>
          <t>P2</t>
        </is>
      </c>
      <c r="G3" s="8" t="inlineStr">
        <is>
          <t>Non-empty text</t>
        </is>
      </c>
      <c r="H3" s="8" t="inlineStr">
        <is>
          <t>TYPE:TEXT</t>
        </is>
      </c>
      <c r="I3" s="8" t="inlineStr">
        <is>
          <t>Effective-dated</t>
        </is>
      </c>
      <c r="J3" s="8" t="inlineStr">
        <is>
          <t>One-to-one</t>
        </is>
      </c>
      <c r="K3" s="8" t="inlineStr">
        <is>
          <t>N/A — not a one-to-many numeric field</t>
        </is>
      </c>
      <c r="L3" s="8" t="inlineStr">
        <is>
          <t>Annual Report / 10-K Filing (SEC EDGAR, Company IR Site)</t>
        </is>
      </c>
      <c r="M3" s="8" t="inlineStr">
        <is>
          <t>CIL Architecture Team</t>
        </is>
      </c>
      <c r="N3" s="8" t="inlineStr">
        <is>
          <t>2026-06-21</t>
        </is>
      </c>
      <c r="O3" s="8" t="inlineStr">
        <is>
          <t>CorpStage CIL Registry v1.0</t>
        </is>
      </c>
      <c r="P3" s="8" t="inlineStr">
        <is>
          <t>Group only (single enterprise-wide fact, does not repeat per node)</t>
        </is>
      </c>
      <c r="Q3" s="8" t="inlineStr">
        <is>
          <t>Global</t>
        </is>
      </c>
      <c r="R3" s="8" t="inlineStr">
        <is>
          <t>Tier 1 (Standard) — available to all frameworks and all customers</t>
        </is>
      </c>
      <c r="S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" ht="15" customHeight="1" s="6">
      <c r="A4" s="8" t="inlineStr">
        <is>
          <t>CDE-R003</t>
        </is>
      </c>
      <c r="B4" s="8" t="inlineStr">
        <is>
          <t>CRO Reports To</t>
        </is>
      </c>
      <c r="C4" s="8" t="inlineStr">
        <is>
          <t>Text</t>
        </is>
      </c>
      <c r="D4" s="8" t="inlineStr">
        <is>
          <t>Required</t>
        </is>
      </c>
      <c r="E4" s="8" t="inlineStr">
        <is>
          <t>Multi</t>
        </is>
      </c>
      <c r="F4" s="8" t="inlineStr">
        <is>
          <t>P1</t>
        </is>
      </c>
      <c r="G4" s="8" t="inlineStr">
        <is>
          <t>Non-empty text</t>
        </is>
      </c>
      <c r="H4" s="8" t="inlineStr">
        <is>
          <t>TYPE:TEXT</t>
        </is>
      </c>
      <c r="I4" s="8" t="inlineStr">
        <is>
          <t>Effective-dated</t>
        </is>
      </c>
      <c r="J4" s="8" t="inlineStr">
        <is>
          <t>One-to-one</t>
        </is>
      </c>
      <c r="K4" s="8" t="inlineStr">
        <is>
          <t>N/A — not a one-to-many numeric field</t>
        </is>
      </c>
      <c r="L4" s="8" t="inlineStr">
        <is>
          <t>Annual Report / 10-K Filing (SEC EDGAR, Company IR Site)</t>
        </is>
      </c>
      <c r="M4" s="8" t="inlineStr">
        <is>
          <t>CIL Architecture Team</t>
        </is>
      </c>
      <c r="N4" s="8" t="inlineStr">
        <is>
          <t>2026-06-21</t>
        </is>
      </c>
      <c r="O4" s="8" t="inlineStr">
        <is>
          <t>CorpStage CIL Registry v1.0</t>
        </is>
      </c>
      <c r="P4" s="8" t="inlineStr">
        <is>
          <t>Group only (single enterprise-wide fact, does not repeat per node)</t>
        </is>
      </c>
      <c r="Q4" s="8" t="inlineStr">
        <is>
          <t>Global</t>
        </is>
      </c>
      <c r="R4" s="8" t="inlineStr">
        <is>
          <t>Tier 1 (Standard) — available to all frameworks and all customers</t>
        </is>
      </c>
      <c r="S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" ht="15" customHeight="1" s="6">
      <c r="A5" s="8" t="inlineStr">
        <is>
          <t>CDE-R004</t>
        </is>
      </c>
      <c r="B5" s="8" t="inlineStr">
        <is>
          <t>CRO Appointment Date</t>
        </is>
      </c>
      <c r="C5" s="8" t="inlineStr">
        <is>
          <t>Date</t>
        </is>
      </c>
      <c r="D5" s="8" t="inlineStr">
        <is>
          <t>Supplemental</t>
        </is>
      </c>
      <c r="E5" s="8" t="inlineStr">
        <is>
          <t>Optional</t>
        </is>
      </c>
      <c r="F5" s="8" t="inlineStr">
        <is>
          <t>P3</t>
        </is>
      </c>
      <c r="G5" s="8" t="inlineStr">
        <is>
          <t>Valid date</t>
        </is>
      </c>
      <c r="H5" s="8" t="inlineStr">
        <is>
          <t>TYPE:DATE</t>
        </is>
      </c>
      <c r="I5" s="8" t="inlineStr">
        <is>
          <t>Point-in-time</t>
        </is>
      </c>
      <c r="J5" s="8" t="inlineStr">
        <is>
          <t>One-to-one</t>
        </is>
      </c>
      <c r="K5" s="8" t="inlineStr">
        <is>
          <t>N/A — not a one-to-many numeric field</t>
        </is>
      </c>
      <c r="L5" s="8" t="inlineStr">
        <is>
          <t>Board Portal / Governance Records (Diligent, BoardEffect)</t>
        </is>
      </c>
      <c r="M5" s="8" t="inlineStr">
        <is>
          <t>CIL Architecture Team</t>
        </is>
      </c>
      <c r="N5" s="8" t="inlineStr">
        <is>
          <t>2026-06-21</t>
        </is>
      </c>
      <c r="O5" s="8" t="inlineStr">
        <is>
          <t>CorpStage CIL Registry v1.0</t>
        </is>
      </c>
      <c r="P5" s="8" t="inlineStr">
        <is>
          <t>Group only (single enterprise-wide fact, does not repeat per node)</t>
        </is>
      </c>
      <c r="Q5" s="8" t="inlineStr">
        <is>
          <t>Global</t>
        </is>
      </c>
      <c r="R5" s="8" t="inlineStr">
        <is>
          <t>Tier 1 (Standard) — available to all frameworks and all customers</t>
        </is>
      </c>
      <c r="S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" ht="15" customHeight="1" s="6">
      <c r="A6" s="8" t="inlineStr">
        <is>
          <t>CDE-R005</t>
        </is>
      </c>
      <c r="B6" s="8" t="inlineStr">
        <is>
          <t>Board Risk Committee Exists</t>
        </is>
      </c>
      <c r="C6" s="8" t="inlineStr">
        <is>
          <t>Boolean</t>
        </is>
      </c>
      <c r="D6" s="8" t="inlineStr">
        <is>
          <t>Required</t>
        </is>
      </c>
      <c r="E6" s="8" t="inlineStr">
        <is>
          <t>Universal</t>
        </is>
      </c>
      <c r="F6" s="8" t="inlineStr">
        <is>
          <t>P1</t>
        </is>
      </c>
      <c r="G6" s="8" t="inlineStr">
        <is>
          <t>True/False/Unknown (tri-state)</t>
        </is>
      </c>
      <c r="H6" s="8" t="inlineStr">
        <is>
          <t>TYPE:BOOLEAN|ALLOWED:TRUE,FALSE,UNKNOWN</t>
        </is>
      </c>
      <c r="I6" s="8" t="inlineStr">
        <is>
          <t>Effective-dated</t>
        </is>
      </c>
      <c r="J6" s="8" t="inlineStr">
        <is>
          <t>One-to-one</t>
        </is>
      </c>
      <c r="K6" s="8" t="inlineStr">
        <is>
          <t>N/A — not a one-to-many numeric field</t>
        </is>
      </c>
      <c r="L6" s="8" t="inlineStr">
        <is>
          <t>Annual Report / 10-K Filing (SEC EDGAR, Company IR Site)</t>
        </is>
      </c>
      <c r="M6" s="8" t="inlineStr">
        <is>
          <t>CIL Architecture Team</t>
        </is>
      </c>
      <c r="N6" s="8" t="inlineStr">
        <is>
          <t>2026-06-21</t>
        </is>
      </c>
      <c r="O6" s="8" t="inlineStr">
        <is>
          <t>CorpStage CIL Registry v1.0</t>
        </is>
      </c>
      <c r="P6" s="8" t="inlineStr">
        <is>
          <t>Group only (single enterprise-wide fact, does not repeat per node)</t>
        </is>
      </c>
      <c r="Q6" s="8" t="inlineStr">
        <is>
          <t>Global</t>
        </is>
      </c>
      <c r="R6" s="8" t="inlineStr">
        <is>
          <t>Tier 1 (Standard) — available to all frameworks and all customers</t>
        </is>
      </c>
      <c r="S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7" ht="15" customHeight="1" s="6">
      <c r="A7" s="8" t="inlineStr">
        <is>
          <t>CDE-R006</t>
        </is>
      </c>
      <c r="B7" s="8" t="inlineStr">
        <is>
          <t>Board Risk Committee Meeting Frequency</t>
        </is>
      </c>
      <c r="C7" s="8" t="inlineStr">
        <is>
          <t>Text</t>
        </is>
      </c>
      <c r="D7" s="8" t="inlineStr">
        <is>
          <t>Recommended</t>
        </is>
      </c>
      <c r="E7" s="8" t="inlineStr">
        <is>
          <t>Multi</t>
        </is>
      </c>
      <c r="F7" s="8" t="inlineStr">
        <is>
          <t>P2</t>
        </is>
      </c>
      <c r="G7" s="8" t="inlineStr">
        <is>
          <t>Annual/Semi-Annual/Quarterly/Monthly</t>
        </is>
      </c>
      <c r="H7" s="8" t="inlineStr">
        <is>
          <t>TYPE:ENUM|ALLOWED:ANNUAL,SEMI_ANNUAL,QUARTERLY,MONTHLY</t>
        </is>
      </c>
      <c r="I7" s="8" t="inlineStr">
        <is>
          <t>Effective-dated</t>
        </is>
      </c>
      <c r="J7" s="8" t="inlineStr">
        <is>
          <t>One-to-one</t>
        </is>
      </c>
      <c r="K7" s="8" t="inlineStr">
        <is>
          <t>N/A — not a one-to-many numeric field</t>
        </is>
      </c>
      <c r="L7" s="8" t="inlineStr">
        <is>
          <t>Board Portal / Governance Records (Diligent, BoardEffect)</t>
        </is>
      </c>
      <c r="M7" s="8" t="inlineStr">
        <is>
          <t>CIL Architecture Team</t>
        </is>
      </c>
      <c r="N7" s="8" t="inlineStr">
        <is>
          <t>2026-06-21</t>
        </is>
      </c>
      <c r="O7" s="8" t="inlineStr">
        <is>
          <t>CorpStage CIL Registry v1.0</t>
        </is>
      </c>
      <c r="P7" s="8" t="inlineStr">
        <is>
          <t>Group only (single enterprise-wide fact, does not repeat per node)</t>
        </is>
      </c>
      <c r="Q7" s="8" t="inlineStr">
        <is>
          <t>Global</t>
        </is>
      </c>
      <c r="R7" s="8" t="inlineStr">
        <is>
          <t>Tier 1 (Standard) — available to all frameworks and all customers</t>
        </is>
      </c>
      <c r="S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" ht="15" customHeight="1" s="6">
      <c r="A8" s="8" t="inlineStr">
        <is>
          <t>CDE-R007</t>
        </is>
      </c>
      <c r="B8" s="8" t="inlineStr">
        <is>
          <t>Board Risk Committee Chair Name</t>
        </is>
      </c>
      <c r="C8" s="8" t="inlineStr">
        <is>
          <t>Text</t>
        </is>
      </c>
      <c r="D8" s="8" t="inlineStr">
        <is>
          <t>Supplemental</t>
        </is>
      </c>
      <c r="E8" s="8" t="inlineStr">
        <is>
          <t>Optional</t>
        </is>
      </c>
      <c r="F8" s="8" t="inlineStr">
        <is>
          <t>P3</t>
        </is>
      </c>
      <c r="G8" s="8" t="inlineStr">
        <is>
          <t>Non-empty text</t>
        </is>
      </c>
      <c r="H8" s="8" t="inlineStr">
        <is>
          <t>TYPE:TEXT</t>
        </is>
      </c>
      <c r="I8" s="8" t="inlineStr">
        <is>
          <t>Effective-dated</t>
        </is>
      </c>
      <c r="J8" s="8" t="inlineStr">
        <is>
          <t>One-to-one</t>
        </is>
      </c>
      <c r="K8" s="8" t="inlineStr">
        <is>
          <t>N/A — not a one-to-many numeric field</t>
        </is>
      </c>
      <c r="L8" s="8" t="inlineStr">
        <is>
          <t>Annual Report / 10-K Filing (SEC EDGAR, Company IR Site)</t>
        </is>
      </c>
      <c r="M8" s="8" t="inlineStr">
        <is>
          <t>CIL Architecture Team</t>
        </is>
      </c>
      <c r="N8" s="8" t="inlineStr">
        <is>
          <t>2026-06-21</t>
        </is>
      </c>
      <c r="O8" s="8" t="inlineStr">
        <is>
          <t>CorpStage CIL Registry v1.0</t>
        </is>
      </c>
      <c r="P8" s="8" t="inlineStr">
        <is>
          <t>Group only (single enterprise-wide fact, does not repeat per node)</t>
        </is>
      </c>
      <c r="Q8" s="8" t="inlineStr">
        <is>
          <t>Global</t>
        </is>
      </c>
      <c r="R8" s="8" t="inlineStr">
        <is>
          <t>Tier 1 (Standard) — available to all frameworks and all customers</t>
        </is>
      </c>
      <c r="S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" ht="15" customHeight="1" s="6">
      <c r="A9" s="8" t="inlineStr">
        <is>
          <t>CDE-R008</t>
        </is>
      </c>
      <c r="B9" s="8" t="inlineStr">
        <is>
          <t>Board Risk Committee Member Count</t>
        </is>
      </c>
      <c r="C9" s="8" t="inlineStr">
        <is>
          <t>Numeric</t>
        </is>
      </c>
      <c r="D9" s="8" t="inlineStr">
        <is>
          <t>Supplemental</t>
        </is>
      </c>
      <c r="E9" s="8" t="inlineStr">
        <is>
          <t>Optional</t>
        </is>
      </c>
      <c r="F9" s="8" t="inlineStr">
        <is>
          <t>P3</t>
        </is>
      </c>
      <c r="G9" s="8" t="inlineStr">
        <is>
          <t>&gt;=0, integer</t>
        </is>
      </c>
      <c r="H9" s="8" t="inlineStr">
        <is>
          <t>TYPE:INTEGER|MIN:0</t>
        </is>
      </c>
      <c r="I9" s="8" t="inlineStr">
        <is>
          <t>Effective-dated</t>
        </is>
      </c>
      <c r="J9" s="8" t="inlineStr">
        <is>
          <t>One-to-one</t>
        </is>
      </c>
      <c r="K9" s="8" t="inlineStr">
        <is>
          <t>N/A — not a one-to-many numeric field</t>
        </is>
      </c>
      <c r="L9" s="8" t="inlineStr">
        <is>
          <t>Annual Report / 10-K Filing (SEC EDGAR, Company IR Site)</t>
        </is>
      </c>
      <c r="M9" s="8" t="inlineStr">
        <is>
          <t>CIL Architecture Team</t>
        </is>
      </c>
      <c r="N9" s="8" t="inlineStr">
        <is>
          <t>2026-06-21</t>
        </is>
      </c>
      <c r="O9" s="8" t="inlineStr">
        <is>
          <t>CorpStage CIL Registry v1.0</t>
        </is>
      </c>
      <c r="P9" s="8" t="inlineStr">
        <is>
          <t>Group only (single enterprise-wide fact, does not repeat per node)</t>
        </is>
      </c>
      <c r="Q9" s="8" t="inlineStr">
        <is>
          <t>Global</t>
        </is>
      </c>
      <c r="R9" s="8" t="inlineStr">
        <is>
          <t>Tier 1 (Standard) — available to all frameworks and all customers</t>
        </is>
      </c>
      <c r="S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" ht="15" customHeight="1" s="6">
      <c r="A10" s="8" t="inlineStr">
        <is>
          <t>CDE-R009</t>
        </is>
      </c>
      <c r="B10" s="8" t="inlineStr">
        <is>
          <t>Three Lines of Defense Model Implemented</t>
        </is>
      </c>
      <c r="C10" s="8" t="inlineStr">
        <is>
          <t>Boolean</t>
        </is>
      </c>
      <c r="D10" s="8" t="inlineStr">
        <is>
          <t>Required</t>
        </is>
      </c>
      <c r="E10" s="8" t="inlineStr">
        <is>
          <t>Multi</t>
        </is>
      </c>
      <c r="F10" s="8" t="inlineStr">
        <is>
          <t>P1</t>
        </is>
      </c>
      <c r="G10" s="8" t="inlineStr">
        <is>
          <t>True/False/Unknown (tri-state)</t>
        </is>
      </c>
      <c r="H10" s="8" t="inlineStr">
        <is>
          <t>TYPE:BOOLEAN|ALLOWED:TRUE,FALSE,UNKNOWN</t>
        </is>
      </c>
      <c r="I10" s="8" t="inlineStr">
        <is>
          <t>Effective-dated</t>
        </is>
      </c>
      <c r="J10" s="8" t="inlineStr">
        <is>
          <t>One-to-one</t>
        </is>
      </c>
      <c r="K10" s="8" t="inlineStr">
        <is>
          <t>N/A — not a one-to-many numeric field</t>
        </is>
      </c>
      <c r="L10" s="8" t="inlineStr">
        <is>
          <t>Annual Report / 10-K Filing (SEC EDGAR, Company IR Site)</t>
        </is>
      </c>
      <c r="M10" s="8" t="inlineStr">
        <is>
          <t>CIL Architecture Team</t>
        </is>
      </c>
      <c r="N10" s="8" t="inlineStr">
        <is>
          <t>2026-06-21</t>
        </is>
      </c>
      <c r="O10" s="8" t="inlineStr">
        <is>
          <t>CorpStage CIL Registry v1.0</t>
        </is>
      </c>
      <c r="P10" s="8" t="inlineStr">
        <is>
          <t>Group only (single enterprise-wide fact, does not repeat per node)</t>
        </is>
      </c>
      <c r="Q10" s="8" t="inlineStr">
        <is>
          <t>Global</t>
        </is>
      </c>
      <c r="R10" s="8" t="inlineStr">
        <is>
          <t>Tier 1 (Standard) — available to all frameworks and all customers</t>
        </is>
      </c>
      <c r="S1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" ht="15" customHeight="1" s="6">
      <c r="A11" s="8" t="inlineStr">
        <is>
          <t>CDE-R010</t>
        </is>
      </c>
      <c r="B11" s="8" t="inlineStr">
        <is>
          <t>First Line of Defense Owner</t>
        </is>
      </c>
      <c r="C11" s="8" t="inlineStr">
        <is>
          <t>Text</t>
        </is>
      </c>
      <c r="D11" s="8" t="inlineStr">
        <is>
          <t>Recommended</t>
        </is>
      </c>
      <c r="E11" s="8" t="inlineStr">
        <is>
          <t>Optional</t>
        </is>
      </c>
      <c r="F11" s="8" t="inlineStr">
        <is>
          <t>P2</t>
        </is>
      </c>
      <c r="G11" s="8" t="inlineStr">
        <is>
          <t>Non-empty text</t>
        </is>
      </c>
      <c r="H11" s="8" t="inlineStr">
        <is>
          <t>TYPE:TEXT</t>
        </is>
      </c>
      <c r="I11" s="8" t="inlineStr">
        <is>
          <t>Point-in-time</t>
        </is>
      </c>
      <c r="J11" s="8" t="inlineStr">
        <is>
          <t>One-to-one</t>
        </is>
      </c>
      <c r="K11" s="8" t="inlineStr">
        <is>
          <t>N/A — not a one-to-many numeric field</t>
        </is>
      </c>
      <c r="L11" s="8" t="inlineStr">
        <is>
          <t>User Validation</t>
        </is>
      </c>
      <c r="M11" s="8" t="inlineStr">
        <is>
          <t>CIL Architecture Team</t>
        </is>
      </c>
      <c r="N11" s="8" t="inlineStr">
        <is>
          <t>2026-06-21</t>
        </is>
      </c>
      <c r="O11" s="8" t="inlineStr">
        <is>
          <t>CorpStage CIL Registry v1.0</t>
        </is>
      </c>
      <c r="P11" s="8" t="inlineStr">
        <is>
          <t>Group only (single enterprise-wide fact, does not repeat per node)</t>
        </is>
      </c>
      <c r="Q11" s="8" t="inlineStr">
        <is>
          <t>Global</t>
        </is>
      </c>
      <c r="R11" s="8" t="inlineStr">
        <is>
          <t>Tier 1 (Standard) — available to all frameworks and all customers</t>
        </is>
      </c>
      <c r="S1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" ht="15" customHeight="1" s="6">
      <c r="A12" s="8" t="inlineStr">
        <is>
          <t>CDE-R011</t>
        </is>
      </c>
      <c r="B12" s="8" t="inlineStr">
        <is>
          <t>Internal Audit Function Independence Confirmed</t>
        </is>
      </c>
      <c r="C12" s="8" t="inlineStr">
        <is>
          <t>Boolean</t>
        </is>
      </c>
      <c r="D12" s="8" t="inlineStr">
        <is>
          <t>Recommended</t>
        </is>
      </c>
      <c r="E12" s="8" t="inlineStr">
        <is>
          <t>Multi</t>
        </is>
      </c>
      <c r="F12" s="8" t="inlineStr">
        <is>
          <t>P2</t>
        </is>
      </c>
      <c r="G12" s="8" t="inlineStr">
        <is>
          <t>True/False/Unknown (tri-state)</t>
        </is>
      </c>
      <c r="H12" s="8" t="inlineStr">
        <is>
          <t>TYPE:BOOLEAN|ALLOWED:TRUE,FALSE,UNKNOWN</t>
        </is>
      </c>
      <c r="I12" s="8" t="inlineStr">
        <is>
          <t>Effective-dated</t>
        </is>
      </c>
      <c r="J12" s="8" t="inlineStr">
        <is>
          <t>One-to-one</t>
        </is>
      </c>
      <c r="K12" s="8" t="inlineStr">
        <is>
          <t>N/A — not a one-to-many numeric field</t>
        </is>
      </c>
      <c r="L12" s="8" t="inlineStr">
        <is>
          <t>Annual Report / 10-K Filing (SEC EDGAR, Company IR Site)</t>
        </is>
      </c>
      <c r="M12" s="8" t="inlineStr">
        <is>
          <t>CIL Architecture Team</t>
        </is>
      </c>
      <c r="N12" s="8" t="inlineStr">
        <is>
          <t>2026-06-21</t>
        </is>
      </c>
      <c r="O12" s="8" t="inlineStr">
        <is>
          <t>CorpStage CIL Registry v1.0</t>
        </is>
      </c>
      <c r="P12" s="8" t="inlineStr">
        <is>
          <t>Group only (single enterprise-wide fact, does not repeat per node)</t>
        </is>
      </c>
      <c r="Q12" s="8" t="inlineStr">
        <is>
          <t>Global</t>
        </is>
      </c>
      <c r="R12" s="8" t="inlineStr">
        <is>
          <t>Tier 1 (Standard) — available to all frameworks and all customers</t>
        </is>
      </c>
      <c r="S1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" ht="15" customHeight="1" s="6">
      <c r="A13" s="8" t="inlineStr">
        <is>
          <t>CDE-R012</t>
        </is>
      </c>
      <c r="B13" s="8" t="inlineStr">
        <is>
          <t>Risk Reporting Frequency to Board</t>
        </is>
      </c>
      <c r="C13" s="8" t="inlineStr">
        <is>
          <t>Text</t>
        </is>
      </c>
      <c r="D13" s="8" t="inlineStr">
        <is>
          <t>Required</t>
        </is>
      </c>
      <c r="E13" s="8" t="inlineStr">
        <is>
          <t>Universal</t>
        </is>
      </c>
      <c r="F13" s="8" t="inlineStr">
        <is>
          <t>P1</t>
        </is>
      </c>
      <c r="G13" s="8" t="inlineStr">
        <is>
          <t>Annual/Semi-Annual/Quarterly/Monthly</t>
        </is>
      </c>
      <c r="H13" s="8" t="inlineStr">
        <is>
          <t>TYPE:ENUM|ALLOWED:ANNUAL,SEMI_ANNUAL,QUARTERLY,MONTHLY</t>
        </is>
      </c>
      <c r="I13" s="8" t="inlineStr">
        <is>
          <t>Effective-dated</t>
        </is>
      </c>
      <c r="J13" s="8" t="inlineStr">
        <is>
          <t>One-to-one</t>
        </is>
      </c>
      <c r="K13" s="8" t="inlineStr">
        <is>
          <t>N/A — not a one-to-many numeric field</t>
        </is>
      </c>
      <c r="L13" s="8" t="inlineStr">
        <is>
          <t>Board Portal / Governance Records (Diligent, BoardEffect)</t>
        </is>
      </c>
      <c r="M13" s="8" t="inlineStr">
        <is>
          <t>CIL Architecture Team</t>
        </is>
      </c>
      <c r="N13" s="8" t="inlineStr">
        <is>
          <t>2026-06-21</t>
        </is>
      </c>
      <c r="O13" s="8" t="inlineStr">
        <is>
          <t>CorpStage CIL Registry v1.0</t>
        </is>
      </c>
      <c r="P13" s="8" t="inlineStr">
        <is>
          <t>Group only (single enterprise-wide fact, does not repeat per node)</t>
        </is>
      </c>
      <c r="Q13" s="8" t="inlineStr">
        <is>
          <t>Global</t>
        </is>
      </c>
      <c r="R13" s="8" t="inlineStr">
        <is>
          <t>Tier 1 (Standard) — available to all frameworks and all customers</t>
        </is>
      </c>
      <c r="S1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" ht="15" customHeight="1" s="6">
      <c r="A14" s="8" t="inlineStr">
        <is>
          <t>CDE-R013</t>
        </is>
      </c>
      <c r="B14" s="8" t="inlineStr">
        <is>
          <t>Risk Report Format/Structure</t>
        </is>
      </c>
      <c r="C14" s="8" t="inlineStr">
        <is>
          <t>Text</t>
        </is>
      </c>
      <c r="D14" s="8" t="inlineStr">
        <is>
          <t>Recommended</t>
        </is>
      </c>
      <c r="E14" s="8" t="inlineStr">
        <is>
          <t>Optional</t>
        </is>
      </c>
      <c r="F14" s="8" t="inlineStr">
        <is>
          <t>P2</t>
        </is>
      </c>
      <c r="G14" s="8" t="inlineStr">
        <is>
          <t>Non-empty text</t>
        </is>
      </c>
      <c r="H14" s="8" t="inlineStr">
        <is>
          <t>TYPE:TEXT</t>
        </is>
      </c>
      <c r="I14" s="8" t="inlineStr">
        <is>
          <t>Point-in-time</t>
        </is>
      </c>
      <c r="J14" s="8" t="inlineStr">
        <is>
          <t>One-to-one</t>
        </is>
      </c>
      <c r="K14" s="8" t="inlineStr">
        <is>
          <t>N/A — not a one-to-many numeric field</t>
        </is>
      </c>
      <c r="L14" s="8" t="inlineStr">
        <is>
          <t>Board Portal / Governance Records (Diligent, BoardEffect)</t>
        </is>
      </c>
      <c r="M14" s="8" t="inlineStr">
        <is>
          <t>CIL Architecture Team</t>
        </is>
      </c>
      <c r="N14" s="8" t="inlineStr">
        <is>
          <t>2026-06-21</t>
        </is>
      </c>
      <c r="O14" s="8" t="inlineStr">
        <is>
          <t>CorpStage CIL Registry v1.0</t>
        </is>
      </c>
      <c r="P14" s="8" t="inlineStr">
        <is>
          <t>Group only (single enterprise-wide fact, does not repeat per node)</t>
        </is>
      </c>
      <c r="Q14" s="8" t="inlineStr">
        <is>
          <t>Global</t>
        </is>
      </c>
      <c r="R14" s="8" t="inlineStr">
        <is>
          <t>Tier 1 (Standard) — available to all frameworks and all customers</t>
        </is>
      </c>
      <c r="S1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" ht="15" customHeight="1" s="6">
      <c r="A15" s="8" t="inlineStr">
        <is>
          <t>CDE-R014</t>
        </is>
      </c>
      <c r="B15" s="8" t="inlineStr">
        <is>
          <t>Last Board Risk Report Date</t>
        </is>
      </c>
      <c r="C15" s="8" t="inlineStr">
        <is>
          <t>Date</t>
        </is>
      </c>
      <c r="D15" s="8" t="inlineStr">
        <is>
          <t>Supplemental</t>
        </is>
      </c>
      <c r="E15" s="8" t="inlineStr">
        <is>
          <t>Optional</t>
        </is>
      </c>
      <c r="F15" s="8" t="inlineStr">
        <is>
          <t>P3</t>
        </is>
      </c>
      <c r="G15" s="8" t="inlineStr">
        <is>
          <t>Valid date</t>
        </is>
      </c>
      <c r="H15" s="8" t="inlineStr">
        <is>
          <t>TYPE:DATE</t>
        </is>
      </c>
      <c r="I15" s="8" t="inlineStr">
        <is>
          <t>Point-in-time</t>
        </is>
      </c>
      <c r="J15" s="8" t="inlineStr">
        <is>
          <t>One-to-one</t>
        </is>
      </c>
      <c r="K15" s="8" t="inlineStr">
        <is>
          <t>N/A — not a one-to-many numeric field</t>
        </is>
      </c>
      <c r="L15" s="8" t="inlineStr">
        <is>
          <t>Board Portal / Governance Records (Diligent, BoardEffect)</t>
        </is>
      </c>
      <c r="M15" s="8" t="inlineStr">
        <is>
          <t>CIL Architecture Team</t>
        </is>
      </c>
      <c r="N15" s="8" t="inlineStr">
        <is>
          <t>2026-06-21</t>
        </is>
      </c>
      <c r="O15" s="8" t="inlineStr">
        <is>
          <t>CorpStage CIL Registry v1.0</t>
        </is>
      </c>
      <c r="P15" s="8" t="inlineStr">
        <is>
          <t>Group only (single enterprise-wide fact, does not repeat per node)</t>
        </is>
      </c>
      <c r="Q15" s="8" t="inlineStr">
        <is>
          <t>Global</t>
        </is>
      </c>
      <c r="R15" s="8" t="inlineStr">
        <is>
          <t>Tier 1 (Standard) — available to all frameworks and all customers</t>
        </is>
      </c>
      <c r="S1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" ht="15" customHeight="1" s="6">
      <c r="A16" s="8" t="inlineStr">
        <is>
          <t>CDE-R015</t>
        </is>
      </c>
      <c r="B16" s="8" t="inlineStr">
        <is>
          <t>Stated Risk Culture Description</t>
        </is>
      </c>
      <c r="C16" s="8" t="inlineStr">
        <is>
          <t>Text</t>
        </is>
      </c>
      <c r="D16" s="8" t="inlineStr">
        <is>
          <t>Required</t>
        </is>
      </c>
      <c r="E16" s="8" t="inlineStr">
        <is>
          <t>Optional</t>
        </is>
      </c>
      <c r="F16" s="8" t="inlineStr">
        <is>
          <t>P1</t>
        </is>
      </c>
      <c r="G16" s="8" t="inlineStr">
        <is>
          <t>Non-empty text</t>
        </is>
      </c>
      <c r="H16" s="8" t="inlineStr">
        <is>
          <t>TYPE:TEXT</t>
        </is>
      </c>
      <c r="I16" s="8" t="inlineStr">
        <is>
          <t>Point-in-time</t>
        </is>
      </c>
      <c r="J16" s="8" t="inlineStr">
        <is>
          <t>One-to-one</t>
        </is>
      </c>
      <c r="K16" s="8" t="inlineStr">
        <is>
          <t>N/A — not a one-to-many numeric field</t>
        </is>
      </c>
      <c r="L16" s="8" t="inlineStr">
        <is>
          <t>Annual Report / 10-K Filing (SEC EDGAR, Company IR Site)</t>
        </is>
      </c>
      <c r="M16" s="8" t="inlineStr">
        <is>
          <t>CIL Architecture Team</t>
        </is>
      </c>
      <c r="N16" s="8" t="inlineStr">
        <is>
          <t>2026-06-21</t>
        </is>
      </c>
      <c r="O16" s="8" t="inlineStr">
        <is>
          <t>CorpStage CIL Registry v1.0</t>
        </is>
      </c>
      <c r="P16" s="8" t="inlineStr">
        <is>
          <t>Group only (single enterprise-wide fact, does not repeat per node)</t>
        </is>
      </c>
      <c r="Q16" s="8" t="inlineStr">
        <is>
          <t>Global</t>
        </is>
      </c>
      <c r="R16" s="8" t="inlineStr">
        <is>
          <t>Tier 1 (Standard) — available to all frameworks and all customers</t>
        </is>
      </c>
      <c r="S1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" ht="15" customHeight="1" s="6">
      <c r="A17" s="8" t="inlineStr">
        <is>
          <t>CDE-R016</t>
        </is>
      </c>
      <c r="B17" s="8" t="inlineStr">
        <is>
          <t>Risk Management Linked to Executive Compensation</t>
        </is>
      </c>
      <c r="C17" s="8" t="inlineStr">
        <is>
          <t>Boolean</t>
        </is>
      </c>
      <c r="D17" s="8" t="inlineStr">
        <is>
          <t>Recommended</t>
        </is>
      </c>
      <c r="E17" s="8" t="inlineStr">
        <is>
          <t>Multi</t>
        </is>
      </c>
      <c r="F17" s="8" t="inlineStr">
        <is>
          <t>P2</t>
        </is>
      </c>
      <c r="G17" s="8" t="inlineStr">
        <is>
          <t>True/False/Unknown (tri-state)</t>
        </is>
      </c>
      <c r="H17" s="8" t="inlineStr">
        <is>
          <t>TYPE:BOOLEAN|ALLOWED:TRUE,FALSE,UNKNOWN</t>
        </is>
      </c>
      <c r="I17" s="8" t="inlineStr">
        <is>
          <t>Effective-dated</t>
        </is>
      </c>
      <c r="J17" s="8" t="inlineStr">
        <is>
          <t>One-to-one</t>
        </is>
      </c>
      <c r="K17" s="8" t="inlineStr">
        <is>
          <t>N/A — not a one-to-many numeric field</t>
        </is>
      </c>
      <c r="L17" s="8" t="inlineStr">
        <is>
          <t>Annual Report / 10-K Filing (SEC EDGAR, Company IR Site)</t>
        </is>
      </c>
      <c r="M17" s="8" t="inlineStr">
        <is>
          <t>CIL Architecture Team</t>
        </is>
      </c>
      <c r="N17" s="8" t="inlineStr">
        <is>
          <t>2026-06-21</t>
        </is>
      </c>
      <c r="O17" s="8" t="inlineStr">
        <is>
          <t>CorpStage CIL Registry v1.0</t>
        </is>
      </c>
      <c r="P17" s="8" t="inlineStr">
        <is>
          <t>Group only (single enterprise-wide fact, does not repeat per node)</t>
        </is>
      </c>
      <c r="Q17" s="8" t="inlineStr">
        <is>
          <t>Global</t>
        </is>
      </c>
      <c r="R17" s="8" t="inlineStr">
        <is>
          <t>Tier 1 (Standard) — available to all frameworks and all customers</t>
        </is>
      </c>
      <c r="S1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" ht="15" customHeight="1" s="6">
      <c r="A18" s="8" t="inlineStr">
        <is>
          <t>CDE-R017</t>
        </is>
      </c>
      <c r="B18" s="8" t="inlineStr">
        <is>
          <t>Risk Culture Survey Conducted</t>
        </is>
      </c>
      <c r="C18" s="8" t="inlineStr">
        <is>
          <t>Boolean</t>
        </is>
      </c>
      <c r="D18" s="8" t="inlineStr">
        <is>
          <t>Supplemental</t>
        </is>
      </c>
      <c r="E18" s="8" t="inlineStr">
        <is>
          <t>Optional</t>
        </is>
      </c>
      <c r="F18" s="8" t="inlineStr">
        <is>
          <t>P3</t>
        </is>
      </c>
      <c r="G18" s="8" t="inlineStr">
        <is>
          <t>True/False/Unknown (tri-state)</t>
        </is>
      </c>
      <c r="H18" s="8" t="inlineStr">
        <is>
          <t>TYPE:BOOLEAN|ALLOWED:TRUE,FALSE,UNKNOWN</t>
        </is>
      </c>
      <c r="I18" s="8" t="inlineStr">
        <is>
          <t>Point-in-time</t>
        </is>
      </c>
      <c r="J18" s="8" t="inlineStr">
        <is>
          <t>One-to-one</t>
        </is>
      </c>
      <c r="K18" s="8" t="inlineStr">
        <is>
          <t>N/A — not a one-to-many numeric field</t>
        </is>
      </c>
      <c r="L18" s="8" t="inlineStr">
        <is>
          <t>User Validation</t>
        </is>
      </c>
      <c r="M18" s="8" t="inlineStr">
        <is>
          <t>CIL Architecture Team</t>
        </is>
      </c>
      <c r="N18" s="8" t="inlineStr">
        <is>
          <t>2026-06-21</t>
        </is>
      </c>
      <c r="O18" s="8" t="inlineStr">
        <is>
          <t>CorpStage CIL Registry v1.0</t>
        </is>
      </c>
      <c r="P18" s="8" t="inlineStr">
        <is>
          <t>Group only (single enterprise-wide fact, does not repeat per node)</t>
        </is>
      </c>
      <c r="Q18" s="8" t="inlineStr">
        <is>
          <t>Global</t>
        </is>
      </c>
      <c r="R18" s="8" t="inlineStr">
        <is>
          <t>Tier 1 (Standard) — available to all frameworks and all customers</t>
        </is>
      </c>
      <c r="S1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" ht="15" customHeight="1" s="6">
      <c r="A19" s="8" t="inlineStr">
        <is>
          <t>CDE-R018</t>
        </is>
      </c>
      <c r="B19" s="8" t="inlineStr">
        <is>
          <t>Risk Escalation Channel Exists (e.g. whistleblower-adjacent)</t>
        </is>
      </c>
      <c r="C19" s="8" t="inlineStr">
        <is>
          <t>Boolean</t>
        </is>
      </c>
      <c r="D19" s="8" t="inlineStr">
        <is>
          <t>Recommended</t>
        </is>
      </c>
      <c r="E19" s="8" t="inlineStr">
        <is>
          <t>Multi</t>
        </is>
      </c>
      <c r="F19" s="8" t="inlineStr">
        <is>
          <t>P2</t>
        </is>
      </c>
      <c r="G19" s="8" t="inlineStr">
        <is>
          <t>True/False/Unknown (tri-state)</t>
        </is>
      </c>
      <c r="H19" s="8" t="inlineStr">
        <is>
          <t>TYPE:BOOLEAN|ALLOWED:TRUE,FALSE,UNKNOWN</t>
        </is>
      </c>
      <c r="I19" s="8" t="inlineStr">
        <is>
          <t>Effective-dated</t>
        </is>
      </c>
      <c r="J19" s="8" t="inlineStr">
        <is>
          <t>One-to-one</t>
        </is>
      </c>
      <c r="K19" s="8" t="inlineStr">
        <is>
          <t>N/A — not a one-to-many numeric field</t>
        </is>
      </c>
      <c r="L19" s="8" t="inlineStr">
        <is>
          <t>User Validation</t>
        </is>
      </c>
      <c r="M19" s="8" t="inlineStr">
        <is>
          <t>CIL Architecture Team</t>
        </is>
      </c>
      <c r="N19" s="8" t="inlineStr">
        <is>
          <t>2026-06-21</t>
        </is>
      </c>
      <c r="O19" s="8" t="inlineStr">
        <is>
          <t>CorpStage CIL Registry v1.0</t>
        </is>
      </c>
      <c r="P19" s="8" t="inlineStr">
        <is>
          <t>Group only (single enterprise-wide fact, does not repeat per node)</t>
        </is>
      </c>
      <c r="Q19" s="8" t="inlineStr">
        <is>
          <t>Global</t>
        </is>
      </c>
      <c r="R19" s="8" t="inlineStr">
        <is>
          <t>Tier 1 (Standard) — available to all frameworks and all customers</t>
        </is>
      </c>
      <c r="S1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" ht="15" customHeight="1" s="6">
      <c r="A20" s="8" t="inlineStr">
        <is>
          <t>CDE-R019</t>
        </is>
      </c>
      <c r="B20" s="8" t="inlineStr">
        <is>
          <t>Risk Escalation Volume (count per period)</t>
        </is>
      </c>
      <c r="C20" s="8" t="inlineStr">
        <is>
          <t>Numeric</t>
        </is>
      </c>
      <c r="D20" s="8" t="inlineStr">
        <is>
          <t>Supplemental</t>
        </is>
      </c>
      <c r="E20" s="8" t="inlineStr">
        <is>
          <t>Optional</t>
        </is>
      </c>
      <c r="F20" s="8" t="inlineStr">
        <is>
          <t>P3</t>
        </is>
      </c>
      <c r="G20" s="8" t="inlineStr">
        <is>
          <t>&gt;=0, integer</t>
        </is>
      </c>
      <c r="H20" s="8" t="inlineStr">
        <is>
          <t>TYPE:INTEGER|MIN:0</t>
        </is>
      </c>
      <c r="I20" s="8" t="inlineStr">
        <is>
          <t>Effective-dated</t>
        </is>
      </c>
      <c r="J20" s="8" t="inlineStr">
        <is>
          <t>One-to-one</t>
        </is>
      </c>
      <c r="K20" s="8" t="inlineStr">
        <is>
          <t>N/A — not a one-to-many numeric field</t>
        </is>
      </c>
      <c r="L20" s="8" t="inlineStr">
        <is>
          <t>User Validation</t>
        </is>
      </c>
      <c r="M20" s="8" t="inlineStr">
        <is>
          <t>CIL Architecture Team</t>
        </is>
      </c>
      <c r="N20" s="8" t="inlineStr">
        <is>
          <t>2026-06-21</t>
        </is>
      </c>
      <c r="O20" s="8" t="inlineStr">
        <is>
          <t>CorpStage CIL Registry v1.0</t>
        </is>
      </c>
      <c r="P20" s="8" t="inlineStr">
        <is>
          <t>Group only (single enterprise-wide fact, does not repeat per node)</t>
        </is>
      </c>
      <c r="Q20" s="8" t="inlineStr">
        <is>
          <t>Global</t>
        </is>
      </c>
      <c r="R20" s="8" t="inlineStr">
        <is>
          <t>Tier 1 (Standard) — available to all frameworks and all customers</t>
        </is>
      </c>
      <c r="S2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" ht="15" customHeight="1" s="6">
      <c r="A21" s="8" t="inlineStr">
        <is>
          <t>CDE-R020</t>
        </is>
      </c>
      <c r="B21" s="8" t="inlineStr">
        <is>
          <t>Escalation Behavior Measured/Tracked</t>
        </is>
      </c>
      <c r="C21" s="8" t="inlineStr">
        <is>
          <t>Boolean</t>
        </is>
      </c>
      <c r="D21" s="8" t="inlineStr">
        <is>
          <t>Supplemental</t>
        </is>
      </c>
      <c r="E21" s="8" t="inlineStr">
        <is>
          <t>Optional</t>
        </is>
      </c>
      <c r="F21" s="8" t="inlineStr">
        <is>
          <t>P3</t>
        </is>
      </c>
      <c r="G21" s="8" t="inlineStr">
        <is>
          <t>True/False/Unknown (tri-state)</t>
        </is>
      </c>
      <c r="H21" s="8" t="inlineStr">
        <is>
          <t>TYPE:BOOLEAN|ALLOWED:TRUE,FALSE,UNKNOWN</t>
        </is>
      </c>
      <c r="I21" s="8" t="inlineStr">
        <is>
          <t>Point-in-time</t>
        </is>
      </c>
      <c r="J21" s="8" t="inlineStr">
        <is>
          <t>One-to-one</t>
        </is>
      </c>
      <c r="K21" s="8" t="inlineStr">
        <is>
          <t>N/A — not a one-to-many numeric field</t>
        </is>
      </c>
      <c r="L21" s="8" t="inlineStr">
        <is>
          <t>User Validation</t>
        </is>
      </c>
      <c r="M21" s="8" t="inlineStr">
        <is>
          <t>CIL Architecture Team</t>
        </is>
      </c>
      <c r="N21" s="8" t="inlineStr">
        <is>
          <t>2026-06-21</t>
        </is>
      </c>
      <c r="O21" s="8" t="inlineStr">
        <is>
          <t>CorpStage CIL Registry v1.0</t>
        </is>
      </c>
      <c r="P21" s="8" t="inlineStr">
        <is>
          <t>Group only (single enterprise-wide fact, does not repeat per node)</t>
        </is>
      </c>
      <c r="Q21" s="8" t="inlineStr">
        <is>
          <t>Global</t>
        </is>
      </c>
      <c r="R21" s="8" t="inlineStr">
        <is>
          <t>Tier 1 (Standard) — available to all frameworks and all customers</t>
        </is>
      </c>
      <c r="S2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" ht="15" customHeight="1" s="6">
      <c r="A22" s="8" t="inlineStr">
        <is>
          <t>CDE-R021</t>
        </is>
      </c>
      <c r="B22" s="8" t="inlineStr">
        <is>
          <t>Risk Taxonomy Framework Used (e.g. COSO ERM, ISO 31000)</t>
        </is>
      </c>
      <c r="C22" s="8" t="inlineStr">
        <is>
          <t>Text</t>
        </is>
      </c>
      <c r="D22" s="8" t="inlineStr">
        <is>
          <t>Required</t>
        </is>
      </c>
      <c r="E22" s="8" t="inlineStr">
        <is>
          <t>Multi</t>
        </is>
      </c>
      <c r="F22" s="8" t="inlineStr">
        <is>
          <t>P1</t>
        </is>
      </c>
      <c r="G22" s="8" t="inlineStr">
        <is>
          <t>Non-empty text</t>
        </is>
      </c>
      <c r="H22" s="8" t="inlineStr">
        <is>
          <t>TYPE:TEXT</t>
        </is>
      </c>
      <c r="I22" s="8" t="inlineStr">
        <is>
          <t>Effective-dated</t>
        </is>
      </c>
      <c r="J22" s="8" t="inlineStr">
        <is>
          <t>One-to-one</t>
        </is>
      </c>
      <c r="K22" s="8" t="inlineStr">
        <is>
          <t>N/A — not a one-to-many numeric field</t>
        </is>
      </c>
      <c r="L22" s="8" t="inlineStr">
        <is>
          <t>Annual Report / 10-K Filing (SEC EDGAR, Company IR Site)</t>
        </is>
      </c>
      <c r="M22" s="8" t="inlineStr">
        <is>
          <t>CIL Architecture Team</t>
        </is>
      </c>
      <c r="N22" s="8" t="inlineStr">
        <is>
          <t>2026-06-21</t>
        </is>
      </c>
      <c r="O22" s="8" t="inlineStr">
        <is>
          <t>CorpStage CIL Registry v1.0</t>
        </is>
      </c>
      <c r="P22" s="8" t="inlineStr">
        <is>
          <t>Group only (single enterprise-wide fact, does not repeat per node)</t>
        </is>
      </c>
      <c r="Q22" s="8" t="inlineStr">
        <is>
          <t>Global</t>
        </is>
      </c>
      <c r="R22" s="8" t="inlineStr">
        <is>
          <t>Tier 1 (Standard) — available to all frameworks and all customers</t>
        </is>
      </c>
      <c r="S2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" ht="15" customHeight="1" s="6">
      <c r="A23" s="8" t="inlineStr">
        <is>
          <t>CDE-R022</t>
        </is>
      </c>
      <c r="B23" s="8" t="inlineStr">
        <is>
          <t>Number of Top-Level Risk Categories Defined</t>
        </is>
      </c>
      <c r="C23" s="8" t="inlineStr">
        <is>
          <t>Numeric</t>
        </is>
      </c>
      <c r="D23" s="8" t="inlineStr">
        <is>
          <t>Recommended</t>
        </is>
      </c>
      <c r="E23" s="8" t="inlineStr">
        <is>
          <t>Optional</t>
        </is>
      </c>
      <c r="F23" s="8" t="inlineStr">
        <is>
          <t>P2</t>
        </is>
      </c>
      <c r="G23" s="8" t="inlineStr">
        <is>
          <t>&gt;=1, integer</t>
        </is>
      </c>
      <c r="H23" s="8" t="inlineStr">
        <is>
          <t>TYPE:INTEGER|MIN:1</t>
        </is>
      </c>
      <c r="I23" s="8" t="inlineStr">
        <is>
          <t>Effective-dated</t>
        </is>
      </c>
      <c r="J23" s="8" t="inlineStr">
        <is>
          <t>One-to-one</t>
        </is>
      </c>
      <c r="K23" s="8" t="inlineStr">
        <is>
          <t>N/A — not a one-to-many numeric field</t>
        </is>
      </c>
      <c r="L23" s="8" t="inlineStr">
        <is>
          <t>Annual Report / 10-K Filing (SEC EDGAR, Company IR Site)</t>
        </is>
      </c>
      <c r="M23" s="8" t="inlineStr">
        <is>
          <t>CIL Architecture Team</t>
        </is>
      </c>
      <c r="N23" s="8" t="inlineStr">
        <is>
          <t>2026-06-21</t>
        </is>
      </c>
      <c r="O23" s="8" t="inlineStr">
        <is>
          <t>CorpStage CIL Registry v1.0</t>
        </is>
      </c>
      <c r="P23" s="8" t="inlineStr">
        <is>
          <t>Group only (single enterprise-wide fact, does not repeat per node)</t>
        </is>
      </c>
      <c r="Q23" s="8" t="inlineStr">
        <is>
          <t>Global</t>
        </is>
      </c>
      <c r="R23" s="8" t="inlineStr">
        <is>
          <t>Tier 1 (Standard) — available to all frameworks and all customers</t>
        </is>
      </c>
      <c r="S2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4" ht="15" customHeight="1" s="6">
      <c r="A24" s="8" t="inlineStr">
        <is>
          <t>CDE-R023</t>
        </is>
      </c>
      <c r="B24" s="8" t="inlineStr">
        <is>
          <t>Taxonomy Last Reviewed Date</t>
        </is>
      </c>
      <c r="C24" s="8" t="inlineStr">
        <is>
          <t>Date</t>
        </is>
      </c>
      <c r="D24" s="8" t="inlineStr">
        <is>
          <t>Supplemental</t>
        </is>
      </c>
      <c r="E24" s="8" t="inlineStr">
        <is>
          <t>Optional</t>
        </is>
      </c>
      <c r="F24" s="8" t="inlineStr">
        <is>
          <t>P3</t>
        </is>
      </c>
      <c r="G24" s="8" t="inlineStr">
        <is>
          <t>Valid date</t>
        </is>
      </c>
      <c r="H24" s="8" t="inlineStr">
        <is>
          <t>TYPE:DATE</t>
        </is>
      </c>
      <c r="I24" s="8" t="inlineStr">
        <is>
          <t>Point-in-time</t>
        </is>
      </c>
      <c r="J24" s="8" t="inlineStr">
        <is>
          <t>One-to-one</t>
        </is>
      </c>
      <c r="K24" s="8" t="inlineStr">
        <is>
          <t>N/A — not a one-to-many numeric field</t>
        </is>
      </c>
      <c r="L24" s="8" t="inlineStr">
        <is>
          <t>User Validation</t>
        </is>
      </c>
      <c r="M24" s="8" t="inlineStr">
        <is>
          <t>CIL Architecture Team</t>
        </is>
      </c>
      <c r="N24" s="8" t="inlineStr">
        <is>
          <t>2026-06-21</t>
        </is>
      </c>
      <c r="O24" s="8" t="inlineStr">
        <is>
          <t>CorpStage CIL Registry v1.0</t>
        </is>
      </c>
      <c r="P24" s="8" t="inlineStr">
        <is>
          <t>Group only (single enterprise-wide fact, does not repeat per node)</t>
        </is>
      </c>
      <c r="Q24" s="8" t="inlineStr">
        <is>
          <t>Global</t>
        </is>
      </c>
      <c r="R24" s="8" t="inlineStr">
        <is>
          <t>Tier 1 (Standard) — available to all frameworks and all customers</t>
        </is>
      </c>
      <c r="S2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5" ht="15" customHeight="1" s="6">
      <c r="A25" s="8" t="inlineStr">
        <is>
          <t>CDE-R024</t>
        </is>
      </c>
      <c r="B25" s="8" t="inlineStr">
        <is>
          <t>Risk Identification Methodology Description</t>
        </is>
      </c>
      <c r="C25" s="8" t="inlineStr">
        <is>
          <t>Text</t>
        </is>
      </c>
      <c r="D25" s="8" t="inlineStr">
        <is>
          <t>Required</t>
        </is>
      </c>
      <c r="E25" s="8" t="inlineStr">
        <is>
          <t>Optional</t>
        </is>
      </c>
      <c r="F25" s="8" t="inlineStr">
        <is>
          <t>P1</t>
        </is>
      </c>
      <c r="G25" s="8" t="inlineStr">
        <is>
          <t>Non-empty text</t>
        </is>
      </c>
      <c r="H25" s="8" t="inlineStr">
        <is>
          <t>TYPE:TEXT</t>
        </is>
      </c>
      <c r="I25" s="8" t="inlineStr">
        <is>
          <t>Point-in-time</t>
        </is>
      </c>
      <c r="J25" s="8" t="inlineStr">
        <is>
          <t>One-to-one</t>
        </is>
      </c>
      <c r="K25" s="8" t="inlineStr">
        <is>
          <t>N/A — not a one-to-many numeric field</t>
        </is>
      </c>
      <c r="L25" s="8" t="inlineStr">
        <is>
          <t>User Validation</t>
        </is>
      </c>
      <c r="M25" s="8" t="inlineStr">
        <is>
          <t>CIL Architecture Team</t>
        </is>
      </c>
      <c r="N25" s="8" t="inlineStr">
        <is>
          <t>2026-06-21</t>
        </is>
      </c>
      <c r="O25" s="8" t="inlineStr">
        <is>
          <t>CorpStage CIL Registry v1.0</t>
        </is>
      </c>
      <c r="P25" s="8" t="inlineStr">
        <is>
          <t>Group only (single enterprise-wide fact, does not repeat per node)</t>
        </is>
      </c>
      <c r="Q25" s="8" t="inlineStr">
        <is>
          <t>Global</t>
        </is>
      </c>
      <c r="R25" s="8" t="inlineStr">
        <is>
          <t>Tier 1 (Standard) — available to all frameworks and all customers</t>
        </is>
      </c>
      <c r="S2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6" ht="15" customHeight="1" s="6">
      <c r="A26" s="8" t="inlineStr">
        <is>
          <t>CDE-R025</t>
        </is>
      </c>
      <c r="B26" s="8" t="inlineStr">
        <is>
          <t>Bottom-Up Risk Identification Process Exists</t>
        </is>
      </c>
      <c r="C26" s="8" t="inlineStr">
        <is>
          <t>Boolean</t>
        </is>
      </c>
      <c r="D26" s="8" t="inlineStr">
        <is>
          <t>Recommended</t>
        </is>
      </c>
      <c r="E26" s="8" t="inlineStr">
        <is>
          <t>Optional</t>
        </is>
      </c>
      <c r="F26" s="8" t="inlineStr">
        <is>
          <t>P2</t>
        </is>
      </c>
      <c r="G26" s="8" t="inlineStr">
        <is>
          <t>True/False/Unknown (tri-state)</t>
        </is>
      </c>
      <c r="H26" s="8" t="inlineStr">
        <is>
          <t>TYPE:BOOLEAN|ALLOWED:TRUE,FALSE,UNKNOWN</t>
        </is>
      </c>
      <c r="I26" s="8" t="inlineStr">
        <is>
          <t>Effective-dated</t>
        </is>
      </c>
      <c r="J26" s="8" t="inlineStr">
        <is>
          <t>One-to-one</t>
        </is>
      </c>
      <c r="K26" s="8" t="inlineStr">
        <is>
          <t>N/A — not a one-to-many numeric field</t>
        </is>
      </c>
      <c r="L26" s="8" t="inlineStr">
        <is>
          <t>User Validation</t>
        </is>
      </c>
      <c r="M26" s="8" t="inlineStr">
        <is>
          <t>CIL Architecture Team</t>
        </is>
      </c>
      <c r="N26" s="8" t="inlineStr">
        <is>
          <t>2026-06-21</t>
        </is>
      </c>
      <c r="O26" s="8" t="inlineStr">
        <is>
          <t>CorpStage CIL Registry v1.0</t>
        </is>
      </c>
      <c r="P26" s="8" t="inlineStr">
        <is>
          <t>Group only (single enterprise-wide fact, does not repeat per node)</t>
        </is>
      </c>
      <c r="Q26" s="8" t="inlineStr">
        <is>
          <t>Global</t>
        </is>
      </c>
      <c r="R26" s="8" t="inlineStr">
        <is>
          <t>Tier 1 (Standard) — available to all frameworks and all customers</t>
        </is>
      </c>
      <c r="S2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7" ht="15" customHeight="1" s="6">
      <c r="A27" s="8" t="inlineStr">
        <is>
          <t>CDE-R026</t>
        </is>
      </c>
      <c r="B27" s="8" t="inlineStr">
        <is>
          <t>Risk Identification Frequency</t>
        </is>
      </c>
      <c r="C27" s="8" t="inlineStr">
        <is>
          <t>Text</t>
        </is>
      </c>
      <c r="D27" s="8" t="inlineStr">
        <is>
          <t>Recommended</t>
        </is>
      </c>
      <c r="E27" s="8" t="inlineStr">
        <is>
          <t>Optional</t>
        </is>
      </c>
      <c r="F27" s="8" t="inlineStr">
        <is>
          <t>P2</t>
        </is>
      </c>
      <c r="G27" s="8" t="inlineStr">
        <is>
          <t>Continuous/Annual/Ad-hoc</t>
        </is>
      </c>
      <c r="H27" s="8" t="inlineStr">
        <is>
          <t>TYPE:ENUM|ALLOWED:CONTINUOUS,ANNUAL,AD_HOC</t>
        </is>
      </c>
      <c r="I27" s="8" t="inlineStr">
        <is>
          <t>Effective-dated</t>
        </is>
      </c>
      <c r="J27" s="8" t="inlineStr">
        <is>
          <t>One-to-one</t>
        </is>
      </c>
      <c r="K27" s="8" t="inlineStr">
        <is>
          <t>N/A — not a one-to-many numeric field</t>
        </is>
      </c>
      <c r="L27" s="8" t="inlineStr">
        <is>
          <t>User Validation</t>
        </is>
      </c>
      <c r="M27" s="8" t="inlineStr">
        <is>
          <t>CIL Architecture Team</t>
        </is>
      </c>
      <c r="N27" s="8" t="inlineStr">
        <is>
          <t>2026-06-21</t>
        </is>
      </c>
      <c r="O27" s="8" t="inlineStr">
        <is>
          <t>CorpStage CIL Registry v1.0</t>
        </is>
      </c>
      <c r="P27" s="8" t="inlineStr">
        <is>
          <t>Group only (single enterprise-wide fact, does not repeat per node)</t>
        </is>
      </c>
      <c r="Q27" s="8" t="inlineStr">
        <is>
          <t>Global</t>
        </is>
      </c>
      <c r="R27" s="8" t="inlineStr">
        <is>
          <t>Tier 1 (Standard) — available to all frameworks and all customers</t>
        </is>
      </c>
      <c r="S2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8" ht="15" customHeight="1" s="6">
      <c r="A28" s="8" t="inlineStr">
        <is>
          <t>CDE-R027</t>
        </is>
      </c>
      <c r="B28" s="8" t="inlineStr">
        <is>
          <t>Material Risk Name</t>
        </is>
      </c>
      <c r="C28" s="8" t="inlineStr">
        <is>
          <t>Text</t>
        </is>
      </c>
      <c r="D28" s="8" t="inlineStr">
        <is>
          <t>Required</t>
        </is>
      </c>
      <c r="E28" s="8" t="inlineStr">
        <is>
          <t>Multi</t>
        </is>
      </c>
      <c r="F28" s="8" t="inlineStr">
        <is>
          <t>P1</t>
        </is>
      </c>
      <c r="G28" s="8" t="inlineStr">
        <is>
          <t>Non-empty text</t>
        </is>
      </c>
      <c r="H28" s="8" t="inlineStr">
        <is>
          <t>TYPE:TEXT</t>
        </is>
      </c>
      <c r="I28" s="8" t="inlineStr">
        <is>
          <t>Effective-dated</t>
        </is>
      </c>
      <c r="J28" s="8" t="inlineStr">
        <is>
          <t>One-to-many</t>
        </is>
      </c>
      <c r="K28" s="8" t="inlineStr">
        <is>
          <t>N/A — not a one-to-many numeric field</t>
        </is>
      </c>
      <c r="L28" s="8" t="inlineStr">
        <is>
          <t>GRC / Risk Register (ServiceNow Risk, RSA Archer, LogicGate)</t>
        </is>
      </c>
      <c r="M28" s="8" t="inlineStr">
        <is>
          <t>CIL Architecture Team</t>
        </is>
      </c>
      <c r="N28" s="8" t="inlineStr">
        <is>
          <t>2026-06-21</t>
        </is>
      </c>
      <c r="O28" s="8" t="inlineStr">
        <is>
          <t>CorpStage CIL Registry v1.0</t>
        </is>
      </c>
      <c r="P28" s="8" t="inlineStr">
        <is>
          <t>Company, Group (collected per legal entity, not below Company level)</t>
        </is>
      </c>
      <c r="Q28" s="8" t="inlineStr">
        <is>
          <t>Global</t>
        </is>
      </c>
      <c r="R28" s="8" t="inlineStr">
        <is>
          <t>Tier 1 (Standard) — available to all frameworks and all customers</t>
        </is>
      </c>
      <c r="S2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9" ht="15" customHeight="1" s="6">
      <c r="A29" s="8" t="inlineStr">
        <is>
          <t>CDE-R028</t>
        </is>
      </c>
      <c r="B29" s="8" t="inlineStr">
        <is>
          <t>Material Risk Category</t>
        </is>
      </c>
      <c r="C29" s="8" t="inlineStr">
        <is>
          <t>Text</t>
        </is>
      </c>
      <c r="D29" s="8" t="inlineStr">
        <is>
          <t>Required</t>
        </is>
      </c>
      <c r="E29" s="8" t="inlineStr">
        <is>
          <t>Multi</t>
        </is>
      </c>
      <c r="F29" s="8" t="inlineStr">
        <is>
          <t>P1</t>
        </is>
      </c>
      <c r="G29" s="8" t="inlineStr">
        <is>
          <t>Non-empty text</t>
        </is>
      </c>
      <c r="H29" s="8" t="inlineStr">
        <is>
          <t>TYPE:TEXT</t>
        </is>
      </c>
      <c r="I29" s="8" t="inlineStr">
        <is>
          <t>Effective-dated</t>
        </is>
      </c>
      <c r="J29" s="8" t="inlineStr">
        <is>
          <t>One-to-many</t>
        </is>
      </c>
      <c r="K29" s="8" t="inlineStr">
        <is>
          <t>N/A — not a one-to-many numeric field</t>
        </is>
      </c>
      <c r="L29" s="8" t="inlineStr">
        <is>
          <t>GRC / Risk Register (ServiceNow Risk, RSA Archer, LogicGate)</t>
        </is>
      </c>
      <c r="M29" s="8" t="inlineStr">
        <is>
          <t>CIL Architecture Team</t>
        </is>
      </c>
      <c r="N29" s="8" t="inlineStr">
        <is>
          <t>2026-06-21</t>
        </is>
      </c>
      <c r="O29" s="8" t="inlineStr">
        <is>
          <t>CorpStage CIL Registry v1.0</t>
        </is>
      </c>
      <c r="P29" s="8" t="inlineStr">
        <is>
          <t>Company, Group (collected per legal entity, not below Company level)</t>
        </is>
      </c>
      <c r="Q29" s="8" t="inlineStr">
        <is>
          <t>Global</t>
        </is>
      </c>
      <c r="R29" s="8" t="inlineStr">
        <is>
          <t>Tier 1 (Standard) — available to all frameworks and all customers</t>
        </is>
      </c>
      <c r="S2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0" ht="15" customHeight="1" s="6">
      <c r="A30" s="8" t="inlineStr">
        <is>
          <t>CDE-R029</t>
        </is>
      </c>
      <c r="B30" s="8" t="inlineStr">
        <is>
          <t>Total Material Risks Identified</t>
        </is>
      </c>
      <c r="C30" s="8" t="inlineStr">
        <is>
          <t>Numeric</t>
        </is>
      </c>
      <c r="D30" s="8" t="inlineStr">
        <is>
          <t>Recommended</t>
        </is>
      </c>
      <c r="E30" s="8" t="inlineStr">
        <is>
          <t>Optional</t>
        </is>
      </c>
      <c r="F30" s="8" t="inlineStr">
        <is>
          <t>P2</t>
        </is>
      </c>
      <c r="G30" s="8" t="inlineStr">
        <is>
          <t>&gt;=0, integer</t>
        </is>
      </c>
      <c r="H30" s="8" t="inlineStr">
        <is>
          <t>TYPE:INTEGER|MIN:0</t>
        </is>
      </c>
      <c r="I30" s="8" t="inlineStr">
        <is>
          <t>Effective-dated</t>
        </is>
      </c>
      <c r="J30" s="8" t="inlineStr">
        <is>
          <t>One-to-one</t>
        </is>
      </c>
      <c r="K30" s="8" t="inlineStr">
        <is>
          <t>SUM of Material Risk Name rows should equal this total; TOLERANCE: exact match</t>
        </is>
      </c>
      <c r="L30" s="8" t="inlineStr">
        <is>
          <t>GRC / Risk Register (ServiceNow Risk, RSA Archer, LogicGate)</t>
        </is>
      </c>
      <c r="M30" s="8" t="inlineStr">
        <is>
          <t>CIL Architecture Team</t>
        </is>
      </c>
      <c r="N30" s="8" t="inlineStr">
        <is>
          <t>2026-06-21</t>
        </is>
      </c>
      <c r="O30" s="8" t="inlineStr">
        <is>
          <t>CorpStage CIL Registry v1.0</t>
        </is>
      </c>
      <c r="P30" s="8" t="inlineStr">
        <is>
          <t>Group only (single enterprise-wide fact, does not repeat per node)</t>
        </is>
      </c>
      <c r="Q30" s="8" t="inlineStr">
        <is>
          <t>Global</t>
        </is>
      </c>
      <c r="R30" s="8" t="inlineStr">
        <is>
          <t>Tier 1 (Standard) — available to all frameworks and all customers</t>
        </is>
      </c>
      <c r="S3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1" ht="15" customHeight="1" s="6">
      <c r="A31" s="8" t="inlineStr">
        <is>
          <t>CDE-R030</t>
        </is>
      </c>
      <c r="B31" s="8" t="inlineStr">
        <is>
          <t>Risk Register Review Frequency</t>
        </is>
      </c>
      <c r="C31" s="8" t="inlineStr">
        <is>
          <t>Text</t>
        </is>
      </c>
      <c r="D31" s="8" t="inlineStr">
        <is>
          <t>Required</t>
        </is>
      </c>
      <c r="E31" s="8" t="inlineStr">
        <is>
          <t>Universal</t>
        </is>
      </c>
      <c r="F31" s="8" t="inlineStr">
        <is>
          <t>P1</t>
        </is>
      </c>
      <c r="G31" s="8" t="inlineStr">
        <is>
          <t>Continuous/Quarterly/Annual</t>
        </is>
      </c>
      <c r="H31" s="8" t="inlineStr">
        <is>
          <t>TYPE:ENUM|ALLOWED:CONTINUOUS,QUARTERLY,ANNUAL</t>
        </is>
      </c>
      <c r="I31" s="8" t="inlineStr">
        <is>
          <t>Effective-dated</t>
        </is>
      </c>
      <c r="J31" s="8" t="inlineStr">
        <is>
          <t>One-to-one</t>
        </is>
      </c>
      <c r="K31" s="8" t="inlineStr">
        <is>
          <t>N/A — not a one-to-many numeric field</t>
        </is>
      </c>
      <c r="L31" s="8" t="inlineStr">
        <is>
          <t>User Validation</t>
        </is>
      </c>
      <c r="M31" s="8" t="inlineStr">
        <is>
          <t>CIL Architecture Team</t>
        </is>
      </c>
      <c r="N31" s="8" t="inlineStr">
        <is>
          <t>2026-06-21</t>
        </is>
      </c>
      <c r="O31" s="8" t="inlineStr">
        <is>
          <t>CorpStage CIL Registry v1.0</t>
        </is>
      </c>
      <c r="P31" s="8" t="inlineStr">
        <is>
          <t>Group only (single enterprise-wide fact, does not repeat per node)</t>
        </is>
      </c>
      <c r="Q31" s="8" t="inlineStr">
        <is>
          <t>Global</t>
        </is>
      </c>
      <c r="R31" s="8" t="inlineStr">
        <is>
          <t>Tier 1 (Standard) — available to all frameworks and all customers</t>
        </is>
      </c>
      <c r="S3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2" ht="15" customHeight="1" s="6">
      <c r="A32" s="8" t="inlineStr">
        <is>
          <t>CDE-R031</t>
        </is>
      </c>
      <c r="B32" s="8" t="inlineStr">
        <is>
          <t>Risk Register Last Updated Date</t>
        </is>
      </c>
      <c r="C32" s="8" t="inlineStr">
        <is>
          <t>Date</t>
        </is>
      </c>
      <c r="D32" s="8" t="inlineStr">
        <is>
          <t>Recommended</t>
        </is>
      </c>
      <c r="E32" s="8" t="inlineStr">
        <is>
          <t>Optional</t>
        </is>
      </c>
      <c r="F32" s="8" t="inlineStr">
        <is>
          <t>P2</t>
        </is>
      </c>
      <c r="G32" s="8" t="inlineStr">
        <is>
          <t>Valid date</t>
        </is>
      </c>
      <c r="H32" s="8" t="inlineStr">
        <is>
          <t>TYPE:DATE</t>
        </is>
      </c>
      <c r="I32" s="8" t="inlineStr">
        <is>
          <t>Point-in-time</t>
        </is>
      </c>
      <c r="J32" s="8" t="inlineStr">
        <is>
          <t>One-to-one</t>
        </is>
      </c>
      <c r="K32" s="8" t="inlineStr">
        <is>
          <t>N/A — not a one-to-many numeric field</t>
        </is>
      </c>
      <c r="L32" s="8" t="inlineStr">
        <is>
          <t>GRC / Risk Register (ServiceNow Risk, RSA Archer, LogicGate)</t>
        </is>
      </c>
      <c r="M32" s="8" t="inlineStr">
        <is>
          <t>CIL Architecture Team</t>
        </is>
      </c>
      <c r="N32" s="8" t="inlineStr">
        <is>
          <t>2026-06-21</t>
        </is>
      </c>
      <c r="O32" s="8" t="inlineStr">
        <is>
          <t>CorpStage CIL Registry v1.0</t>
        </is>
      </c>
      <c r="P32" s="8" t="inlineStr">
        <is>
          <t>Group only (single enterprise-wide fact, does not repeat per node)</t>
        </is>
      </c>
      <c r="Q32" s="8" t="inlineStr">
        <is>
          <t>Global</t>
        </is>
      </c>
      <c r="R32" s="8" t="inlineStr">
        <is>
          <t>Tier 1 (Standard) — available to all frameworks and all customers</t>
        </is>
      </c>
      <c r="S3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3" ht="15" customHeight="1" s="6">
      <c r="A33" s="8" t="inlineStr">
        <is>
          <t>CDE-R032</t>
        </is>
      </c>
      <c r="B33" s="8" t="inlineStr">
        <is>
          <t>Risk Owner Name/Function</t>
        </is>
      </c>
      <c r="C33" s="8" t="inlineStr">
        <is>
          <t>Text</t>
        </is>
      </c>
      <c r="D33" s="8" t="inlineStr">
        <is>
          <t>Required</t>
        </is>
      </c>
      <c r="E33" s="8" t="inlineStr">
        <is>
          <t>Multi</t>
        </is>
      </c>
      <c r="F33" s="8" t="inlineStr">
        <is>
          <t>P1</t>
        </is>
      </c>
      <c r="G33" s="8" t="inlineStr">
        <is>
          <t>Non-empty text</t>
        </is>
      </c>
      <c r="H33" s="8" t="inlineStr">
        <is>
          <t>TYPE:TEXT</t>
        </is>
      </c>
      <c r="I33" s="8" t="inlineStr">
        <is>
          <t>Effective-dated</t>
        </is>
      </c>
      <c r="J33" s="8" t="inlineStr">
        <is>
          <t>One-to-many</t>
        </is>
      </c>
      <c r="K33" s="8" t="inlineStr">
        <is>
          <t>N/A — not a one-to-many numeric field</t>
        </is>
      </c>
      <c r="L33" s="8" t="inlineStr">
        <is>
          <t>GRC / Risk Register (ServiceNow Risk, RSA Archer, LogicGate)</t>
        </is>
      </c>
      <c r="M33" s="8" t="inlineStr">
        <is>
          <t>CIL Architecture Team</t>
        </is>
      </c>
      <c r="N33" s="8" t="inlineStr">
        <is>
          <t>2026-06-21</t>
        </is>
      </c>
      <c r="O33" s="8" t="inlineStr">
        <is>
          <t>CorpStage CIL Registry v1.0</t>
        </is>
      </c>
      <c r="P33" s="8" t="inlineStr">
        <is>
          <t>Company, Group (collected per legal entity, not below Company level)</t>
        </is>
      </c>
      <c r="Q33" s="8" t="inlineStr">
        <is>
          <t>Global</t>
        </is>
      </c>
      <c r="R33" s="8" t="inlineStr">
        <is>
          <t>Tier 1 (Standard) — available to all frameworks and all customers</t>
        </is>
      </c>
      <c r="S3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4" ht="15" customHeight="1" s="6">
      <c r="A34" s="8" t="inlineStr">
        <is>
          <t>CDE-R033</t>
        </is>
      </c>
      <c r="B34" s="8" t="inlineStr">
        <is>
          <t>Risk Ownership Assignment Coverage %</t>
        </is>
      </c>
      <c r="C34" s="8" t="inlineStr">
        <is>
          <t>Numeric</t>
        </is>
      </c>
      <c r="D34" s="8" t="inlineStr">
        <is>
          <t>Recommended</t>
        </is>
      </c>
      <c r="E34" s="8" t="inlineStr">
        <is>
          <t>Optional</t>
        </is>
      </c>
      <c r="F34" s="8" t="inlineStr">
        <is>
          <t>P2</t>
        </is>
      </c>
      <c r="G34" s="8" t="inlineStr">
        <is>
          <t>0-100, numeric</t>
        </is>
      </c>
      <c r="H34" s="8" t="inlineStr">
        <is>
          <t>TYPE:NUMERIC|MIN:0|MAX:100</t>
        </is>
      </c>
      <c r="I34" s="8" t="inlineStr">
        <is>
          <t>Effective-dated</t>
        </is>
      </c>
      <c r="J34" s="8" t="inlineStr">
        <is>
          <t>One-to-one</t>
        </is>
      </c>
      <c r="K34" s="8" t="inlineStr">
        <is>
          <t>N/A — not a one-to-many numeric field</t>
        </is>
      </c>
      <c r="L34" s="8" t="inlineStr">
        <is>
          <t>GRC / Risk Register (ServiceNow Risk, RSA Archer, LogicGate)</t>
        </is>
      </c>
      <c r="M34" s="8" t="inlineStr">
        <is>
          <t>CIL Architecture Team</t>
        </is>
      </c>
      <c r="N34" s="8" t="inlineStr">
        <is>
          <t>2026-06-21</t>
        </is>
      </c>
      <c r="O34" s="8" t="inlineStr">
        <is>
          <t>CorpStage CIL Registry v1.0</t>
        </is>
      </c>
      <c r="P34" s="8" t="inlineStr">
        <is>
          <t>Group only (single enterprise-wide fact, does not repeat per node)</t>
        </is>
      </c>
      <c r="Q34" s="8" t="inlineStr">
        <is>
          <t>Global</t>
        </is>
      </c>
      <c r="R34" s="8" t="inlineStr">
        <is>
          <t>Tier 1 (Standard) — available to all frameworks and all customers</t>
        </is>
      </c>
      <c r="S3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5" ht="15" customHeight="1" s="6">
      <c r="A35" s="8" t="inlineStr">
        <is>
          <t>CDE-R034</t>
        </is>
      </c>
      <c r="B35" s="8" t="inlineStr">
        <is>
          <t>Risk Appetite Statement Board-Approved</t>
        </is>
      </c>
      <c r="C35" s="8" t="inlineStr">
        <is>
          <t>Boolean</t>
        </is>
      </c>
      <c r="D35" s="8" t="inlineStr">
        <is>
          <t>Required</t>
        </is>
      </c>
      <c r="E35" s="8" t="inlineStr">
        <is>
          <t>Universal</t>
        </is>
      </c>
      <c r="F35" s="8" t="inlineStr">
        <is>
          <t>P1</t>
        </is>
      </c>
      <c r="G35" s="8" t="inlineStr">
        <is>
          <t>True/False/Unknown (tri-state)</t>
        </is>
      </c>
      <c r="H35" s="8" t="inlineStr">
        <is>
          <t>TYPE:BOOLEAN|ALLOWED:TRUE,FALSE,UNKNOWN</t>
        </is>
      </c>
      <c r="I35" s="8" t="inlineStr">
        <is>
          <t>Effective-dated</t>
        </is>
      </c>
      <c r="J35" s="8" t="inlineStr">
        <is>
          <t>One-to-one</t>
        </is>
      </c>
      <c r="K35" s="8" t="inlineStr">
        <is>
          <t>N/A — not a one-to-many numeric field</t>
        </is>
      </c>
      <c r="L35" s="8" t="inlineStr">
        <is>
          <t>Board Portal / Governance Records (Diligent, BoardEffect)</t>
        </is>
      </c>
      <c r="M35" s="8" t="inlineStr">
        <is>
          <t>CIL Architecture Team</t>
        </is>
      </c>
      <c r="N35" s="8" t="inlineStr">
        <is>
          <t>2026-06-21</t>
        </is>
      </c>
      <c r="O35" s="8" t="inlineStr">
        <is>
          <t>CorpStage CIL Registry v1.0</t>
        </is>
      </c>
      <c r="P35" s="8" t="inlineStr">
        <is>
          <t>Group only (single enterprise-wide fact, does not repeat per node)</t>
        </is>
      </c>
      <c r="Q35" s="8" t="inlineStr">
        <is>
          <t>Global</t>
        </is>
      </c>
      <c r="R35" s="8" t="inlineStr">
        <is>
          <t>Tier 1 (Standard) — available to all frameworks and all customers</t>
        </is>
      </c>
      <c r="S3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6" ht="15" customHeight="1" s="6">
      <c r="A36" s="8" t="inlineStr">
        <is>
          <t>CDE-R035</t>
        </is>
      </c>
      <c r="B36" s="8" t="inlineStr">
        <is>
          <t>Risk Appetite Statement Approval Date</t>
        </is>
      </c>
      <c r="C36" s="8" t="inlineStr">
        <is>
          <t>Date</t>
        </is>
      </c>
      <c r="D36" s="8" t="inlineStr">
        <is>
          <t>Recommended</t>
        </is>
      </c>
      <c r="E36" s="8" t="inlineStr">
        <is>
          <t>Optional</t>
        </is>
      </c>
      <c r="F36" s="8" t="inlineStr">
        <is>
          <t>P2</t>
        </is>
      </c>
      <c r="G36" s="8" t="inlineStr">
        <is>
          <t>Valid date</t>
        </is>
      </c>
      <c r="H36" s="8" t="inlineStr">
        <is>
          <t>TYPE:DATE</t>
        </is>
      </c>
      <c r="I36" s="8" t="inlineStr">
        <is>
          <t>Point-in-time</t>
        </is>
      </c>
      <c r="J36" s="8" t="inlineStr">
        <is>
          <t>One-to-one</t>
        </is>
      </c>
      <c r="K36" s="8" t="inlineStr">
        <is>
          <t>N/A — not a one-to-many numeric field</t>
        </is>
      </c>
      <c r="L36" s="8" t="inlineStr">
        <is>
          <t>Board Portal / Governance Records (Diligent, BoardEffect)</t>
        </is>
      </c>
      <c r="M36" s="8" t="inlineStr">
        <is>
          <t>CIL Architecture Team</t>
        </is>
      </c>
      <c r="N36" s="8" t="inlineStr">
        <is>
          <t>2026-06-21</t>
        </is>
      </c>
      <c r="O36" s="8" t="inlineStr">
        <is>
          <t>CorpStage CIL Registry v1.0</t>
        </is>
      </c>
      <c r="P36" s="8" t="inlineStr">
        <is>
          <t>Group only (single enterprise-wide fact, does not repeat per node)</t>
        </is>
      </c>
      <c r="Q36" s="8" t="inlineStr">
        <is>
          <t>Global</t>
        </is>
      </c>
      <c r="R36" s="8" t="inlineStr">
        <is>
          <t>Tier 1 (Standard) — available to all frameworks and all customers</t>
        </is>
      </c>
      <c r="S3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7" ht="15" customHeight="1" s="6">
      <c r="A37" s="8" t="inlineStr">
        <is>
          <t>CDE-R036</t>
        </is>
      </c>
      <c r="B37" s="8" t="inlineStr">
        <is>
          <t>Risk Appetite Statement Text Summary</t>
        </is>
      </c>
      <c r="C37" s="8" t="inlineStr">
        <is>
          <t>Text</t>
        </is>
      </c>
      <c r="D37" s="8" t="inlineStr">
        <is>
          <t>Recommended</t>
        </is>
      </c>
      <c r="E37" s="8" t="inlineStr">
        <is>
          <t>Optional</t>
        </is>
      </c>
      <c r="F37" s="8" t="inlineStr">
        <is>
          <t>P2</t>
        </is>
      </c>
      <c r="G37" s="8" t="inlineStr">
        <is>
          <t>Non-empty text</t>
        </is>
      </c>
      <c r="H37" s="8" t="inlineStr">
        <is>
          <t>TYPE:TEXT</t>
        </is>
      </c>
      <c r="I37" s="8" t="inlineStr">
        <is>
          <t>Point-in-time</t>
        </is>
      </c>
      <c r="J37" s="8" t="inlineStr">
        <is>
          <t>One-to-one</t>
        </is>
      </c>
      <c r="K37" s="8" t="inlineStr">
        <is>
          <t>N/A — not a one-to-many numeric field</t>
        </is>
      </c>
      <c r="L37" s="8" t="inlineStr">
        <is>
          <t>Annual Report / 10-K Filing (SEC EDGAR, Company IR Site)</t>
        </is>
      </c>
      <c r="M37" s="8" t="inlineStr">
        <is>
          <t>CIL Architecture Team</t>
        </is>
      </c>
      <c r="N37" s="8" t="inlineStr">
        <is>
          <t>2026-06-21</t>
        </is>
      </c>
      <c r="O37" s="8" t="inlineStr">
        <is>
          <t>CorpStage CIL Registry v1.0</t>
        </is>
      </c>
      <c r="P37" s="8" t="inlineStr">
        <is>
          <t>Group only (single enterprise-wide fact, does not repeat per node)</t>
        </is>
      </c>
      <c r="Q37" s="8" t="inlineStr">
        <is>
          <t>Global</t>
        </is>
      </c>
      <c r="R37" s="8" t="inlineStr">
        <is>
          <t>Tier 1 (Standard) — available to all frameworks and all customers</t>
        </is>
      </c>
      <c r="S3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8" ht="15" customHeight="1" s="6">
      <c r="A38" s="8" t="inlineStr">
        <is>
          <t>CDE-R037</t>
        </is>
      </c>
      <c r="B38" s="8" t="inlineStr">
        <is>
          <t>Risk Category with Defined Tolerance</t>
        </is>
      </c>
      <c r="C38" s="8" t="inlineStr">
        <is>
          <t>Text</t>
        </is>
      </c>
      <c r="D38" s="8" t="inlineStr">
        <is>
          <t>Required</t>
        </is>
      </c>
      <c r="E38" s="8" t="inlineStr">
        <is>
          <t>Multi</t>
        </is>
      </c>
      <c r="F38" s="8" t="inlineStr">
        <is>
          <t>P1</t>
        </is>
      </c>
      <c r="G38" s="8" t="inlineStr">
        <is>
          <t>Non-empty text</t>
        </is>
      </c>
      <c r="H38" s="8" t="inlineStr">
        <is>
          <t>TYPE:TEXT</t>
        </is>
      </c>
      <c r="I38" s="8" t="inlineStr">
        <is>
          <t>Effective-dated</t>
        </is>
      </c>
      <c r="J38" s="8" t="inlineStr">
        <is>
          <t>One-to-many</t>
        </is>
      </c>
      <c r="K38" s="8" t="inlineStr">
        <is>
          <t>N/A — not a one-to-many numeric field</t>
        </is>
      </c>
      <c r="L38" s="8" t="inlineStr">
        <is>
          <t>Board Portal / Governance Records (Diligent, BoardEffect)</t>
        </is>
      </c>
      <c r="M38" s="8" t="inlineStr">
        <is>
          <t>CIL Architecture Team</t>
        </is>
      </c>
      <c r="N38" s="8" t="inlineStr">
        <is>
          <t>2026-06-21</t>
        </is>
      </c>
      <c r="O38" s="8" t="inlineStr">
        <is>
          <t>CorpStage CIL Registry v1.0</t>
        </is>
      </c>
      <c r="P38" s="8" t="inlineStr">
        <is>
          <t>Company, Group (collected per legal entity, not below Company level)</t>
        </is>
      </c>
      <c r="Q38" s="8" t="inlineStr">
        <is>
          <t>Global</t>
        </is>
      </c>
      <c r="R38" s="8" t="inlineStr">
        <is>
          <t>Tier 1 (Standard) — available to all frameworks and all customers</t>
        </is>
      </c>
      <c r="S3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39" ht="15" customHeight="1" s="6">
      <c r="A39" s="8" t="inlineStr">
        <is>
          <t>CDE-R038</t>
        </is>
      </c>
      <c r="B39" s="8" t="inlineStr">
        <is>
          <t>Risk Tolerance Threshold Value</t>
        </is>
      </c>
      <c r="C39" s="8" t="inlineStr">
        <is>
          <t>Numeric</t>
        </is>
      </c>
      <c r="D39" s="8" t="inlineStr">
        <is>
          <t>Recommended</t>
        </is>
      </c>
      <c r="E39" s="8" t="inlineStr">
        <is>
          <t>Multi</t>
        </is>
      </c>
      <c r="F39" s="8" t="inlineStr">
        <is>
          <t>P2</t>
        </is>
      </c>
      <c r="G39" s="8" t="inlineStr">
        <is>
          <t>&gt;=0, numeric</t>
        </is>
      </c>
      <c r="H39" s="8" t="inlineStr">
        <is>
          <t>TYPE:NUMERIC|MIN:0</t>
        </is>
      </c>
      <c r="I39" s="8" t="inlineStr">
        <is>
          <t>Effective-dated</t>
        </is>
      </c>
      <c r="J39" s="8" t="inlineStr">
        <is>
          <t>One-to-many</t>
        </is>
      </c>
      <c r="K39" s="8" t="inlineStr">
        <is>
          <t>Independent per risk category; thresholds use different units/scales, not summed</t>
        </is>
      </c>
      <c r="L39" s="8" t="inlineStr">
        <is>
          <t>Board Portal / Governance Records (Diligent, BoardEffect)</t>
        </is>
      </c>
      <c r="M39" s="8" t="inlineStr">
        <is>
          <t>CIL Architecture Team</t>
        </is>
      </c>
      <c r="N39" s="8" t="inlineStr">
        <is>
          <t>2026-06-21</t>
        </is>
      </c>
      <c r="O39" s="8" t="inlineStr">
        <is>
          <t>CorpStage CIL Registry v1.0</t>
        </is>
      </c>
      <c r="P39" s="8" t="inlineStr">
        <is>
          <t>Company, Group (collected per legal entity, not below Company level)</t>
        </is>
      </c>
      <c r="Q39" s="8" t="inlineStr">
        <is>
          <t>Global</t>
        </is>
      </c>
      <c r="R39" s="8" t="inlineStr">
        <is>
          <t>Tier 1 (Standard) — available to all frameworks and all customers</t>
        </is>
      </c>
      <c r="S3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0" ht="15" customHeight="1" s="6">
      <c r="A40" s="8" t="inlineStr">
        <is>
          <t>CDE-R039</t>
        </is>
      </c>
      <c r="B40" s="8" t="inlineStr">
        <is>
          <t>Risk Tolerance Threshold Unit/Basis</t>
        </is>
      </c>
      <c r="C40" s="8" t="inlineStr">
        <is>
          <t>Text</t>
        </is>
      </c>
      <c r="D40" s="8" t="inlineStr">
        <is>
          <t>Recommended</t>
        </is>
      </c>
      <c r="E40" s="8" t="inlineStr">
        <is>
          <t>Optional</t>
        </is>
      </c>
      <c r="F40" s="8" t="inlineStr">
        <is>
          <t>P2</t>
        </is>
      </c>
      <c r="G40" s="8" t="inlineStr">
        <is>
          <t>Non-empty text</t>
        </is>
      </c>
      <c r="H40" s="8" t="inlineStr">
        <is>
          <t>TYPE:TEXT</t>
        </is>
      </c>
      <c r="I40" s="8" t="inlineStr">
        <is>
          <t>Point-in-time</t>
        </is>
      </c>
      <c r="J40" s="8" t="inlineStr">
        <is>
          <t>One-to-many</t>
        </is>
      </c>
      <c r="K40" s="8" t="inlineStr">
        <is>
          <t>N/A — not a one-to-many numeric field</t>
        </is>
      </c>
      <c r="L40" s="8" t="inlineStr">
        <is>
          <t>Board Portal / Governance Records (Diligent, BoardEffect)</t>
        </is>
      </c>
      <c r="M40" s="8" t="inlineStr">
        <is>
          <t>CIL Architecture Team</t>
        </is>
      </c>
      <c r="N40" s="8" t="inlineStr">
        <is>
          <t>2026-06-21</t>
        </is>
      </c>
      <c r="O40" s="8" t="inlineStr">
        <is>
          <t>CorpStage CIL Registry v1.0</t>
        </is>
      </c>
      <c r="P40" s="8" t="inlineStr">
        <is>
          <t>Company, Group (collected per legal entity, not below Company level)</t>
        </is>
      </c>
      <c r="Q40" s="8" t="inlineStr">
        <is>
          <t>Global</t>
        </is>
      </c>
      <c r="R40" s="8" t="inlineStr">
        <is>
          <t>Tier 1 (Standard) — available to all frameworks and all customers</t>
        </is>
      </c>
      <c r="S4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1" ht="15" customHeight="1" s="6">
      <c r="A41" s="8" t="inlineStr">
        <is>
          <t>CDE-R040</t>
        </is>
      </c>
      <c r="B41" s="8" t="inlineStr">
        <is>
          <t>Risk Appetite Breached in Current Period</t>
        </is>
      </c>
      <c r="C41" s="8" t="inlineStr">
        <is>
          <t>Boolean</t>
        </is>
      </c>
      <c r="D41" s="8" t="inlineStr">
        <is>
          <t>Required</t>
        </is>
      </c>
      <c r="E41" s="8" t="inlineStr">
        <is>
          <t>Optional</t>
        </is>
      </c>
      <c r="F41" s="8" t="inlineStr">
        <is>
          <t>P1</t>
        </is>
      </c>
      <c r="G41" s="8" t="inlineStr">
        <is>
          <t>True/False/Unknown (tri-state)</t>
        </is>
      </c>
      <c r="H41" s="8" t="inlineStr">
        <is>
          <t>TYPE:BOOLEAN|ALLOWED:TRUE,FALSE,UNKNOWN</t>
        </is>
      </c>
      <c r="I41" s="8" t="inlineStr">
        <is>
          <t>Effective-dated</t>
        </is>
      </c>
      <c r="J41" s="8" t="inlineStr">
        <is>
          <t>One-to-one</t>
        </is>
      </c>
      <c r="K41" s="8" t="inlineStr">
        <is>
          <t>N/A — not a one-to-many numeric field</t>
        </is>
      </c>
      <c r="L41" s="8" t="inlineStr">
        <is>
          <t>Board Portal / Governance Records (Diligent, BoardEffect)</t>
        </is>
      </c>
      <c r="M41" s="8" t="inlineStr">
        <is>
          <t>CIL Architecture Team</t>
        </is>
      </c>
      <c r="N41" s="8" t="inlineStr">
        <is>
          <t>2026-06-21</t>
        </is>
      </c>
      <c r="O41" s="8" t="inlineStr">
        <is>
          <t>CorpStage CIL Registry v1.0</t>
        </is>
      </c>
      <c r="P41" s="8" t="inlineStr">
        <is>
          <t>Group only (single enterprise-wide fact, does not repeat per node)</t>
        </is>
      </c>
      <c r="Q41" s="8" t="inlineStr">
        <is>
          <t>Global</t>
        </is>
      </c>
      <c r="R41" s="8" t="inlineStr">
        <is>
          <t>Tier 1 (Standard) — available to all frameworks and all customers</t>
        </is>
      </c>
      <c r="S4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2" ht="15" customHeight="1" s="6">
      <c r="A42" s="8" t="inlineStr">
        <is>
          <t>CDE-R041</t>
        </is>
      </c>
      <c r="B42" s="8" t="inlineStr">
        <is>
          <t>Risk Category Breached</t>
        </is>
      </c>
      <c r="C42" s="8" t="inlineStr">
        <is>
          <t>Text</t>
        </is>
      </c>
      <c r="D42" s="8" t="inlineStr">
        <is>
          <t>Recommended</t>
        </is>
      </c>
      <c r="E42" s="8" t="inlineStr">
        <is>
          <t>Optional</t>
        </is>
      </c>
      <c r="F42" s="8" t="inlineStr">
        <is>
          <t>P2</t>
        </is>
      </c>
      <c r="G42" s="8" t="inlineStr">
        <is>
          <t>Non-empty text</t>
        </is>
      </c>
      <c r="H42" s="8" t="inlineStr">
        <is>
          <t>TYPE:TEXT</t>
        </is>
      </c>
      <c r="I42" s="8" t="inlineStr">
        <is>
          <t>Point-in-time</t>
        </is>
      </c>
      <c r="J42" s="8" t="inlineStr">
        <is>
          <t>One-to-many</t>
        </is>
      </c>
      <c r="K42" s="8" t="inlineStr">
        <is>
          <t>N/A — not a one-to-many numeric field</t>
        </is>
      </c>
      <c r="L42" s="8" t="inlineStr">
        <is>
          <t>Board Portal / Governance Records (Diligent, BoardEffect)</t>
        </is>
      </c>
      <c r="M42" s="8" t="inlineStr">
        <is>
          <t>CIL Architecture Team</t>
        </is>
      </c>
      <c r="N42" s="8" t="inlineStr">
        <is>
          <t>2026-06-21</t>
        </is>
      </c>
      <c r="O42" s="8" t="inlineStr">
        <is>
          <t>CorpStage CIL Registry v1.0</t>
        </is>
      </c>
      <c r="P42" s="8" t="inlineStr">
        <is>
          <t>Company, Group (collected per legal entity, not below Company level)</t>
        </is>
      </c>
      <c r="Q42" s="8" t="inlineStr">
        <is>
          <t>Global</t>
        </is>
      </c>
      <c r="R42" s="8" t="inlineStr">
        <is>
          <t>Tier 1 (Standard) — available to all frameworks and all customers</t>
        </is>
      </c>
      <c r="S4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3" ht="15" customHeight="1" s="6">
      <c r="A43" s="8" t="inlineStr">
        <is>
          <t>CDE-R042</t>
        </is>
      </c>
      <c r="B43" s="8" t="inlineStr">
        <is>
          <t>Breach Magnitude (% over threshold)</t>
        </is>
      </c>
      <c r="C43" s="8" t="inlineStr">
        <is>
          <t>Numeric</t>
        </is>
      </c>
      <c r="D43" s="8" t="inlineStr">
        <is>
          <t>Supplemental</t>
        </is>
      </c>
      <c r="E43" s="8" t="inlineStr">
        <is>
          <t>Optional</t>
        </is>
      </c>
      <c r="F43" s="8" t="inlineStr">
        <is>
          <t>P3</t>
        </is>
      </c>
      <c r="G43" s="8" t="inlineStr">
        <is>
          <t>&gt;=0, numeric</t>
        </is>
      </c>
      <c r="H43" s="8" t="inlineStr">
        <is>
          <t>TYPE:NUMERIC|MIN:0</t>
        </is>
      </c>
      <c r="I43" s="8" t="inlineStr">
        <is>
          <t>Point-in-time</t>
        </is>
      </c>
      <c r="J43" s="8" t="inlineStr">
        <is>
          <t>One-to-many</t>
        </is>
      </c>
      <c r="K43" s="8" t="inlineStr">
        <is>
          <t>Independent per breach event; magnitude figures use different bases per risk category, not aggregated</t>
        </is>
      </c>
      <c r="L43" s="8" t="inlineStr">
        <is>
          <t>Board Portal / Governance Records (Diligent, BoardEffect)</t>
        </is>
      </c>
      <c r="M43" s="8" t="inlineStr">
        <is>
          <t>CIL Architecture Team</t>
        </is>
      </c>
      <c r="N43" s="8" t="inlineStr">
        <is>
          <t>2026-06-21</t>
        </is>
      </c>
      <c r="O43" s="8" t="inlineStr">
        <is>
          <t>CorpStage CIL Registry v1.0</t>
        </is>
      </c>
      <c r="P43" s="8" t="inlineStr">
        <is>
          <t>Company, Group (collected per legal entity, not below Company level)</t>
        </is>
      </c>
      <c r="Q43" s="8" t="inlineStr">
        <is>
          <t>Global</t>
        </is>
      </c>
      <c r="R43" s="8" t="inlineStr">
        <is>
          <t>Tier 1 (Standard) — available to all frameworks and all customers</t>
        </is>
      </c>
      <c r="S4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4" ht="15" customHeight="1" s="6">
      <c r="A44" s="8" t="inlineStr">
        <is>
          <t>CDE-R043</t>
        </is>
      </c>
      <c r="B44" s="8" t="inlineStr">
        <is>
          <t>Breach Escalation Process Exists</t>
        </is>
      </c>
      <c r="C44" s="8" t="inlineStr">
        <is>
          <t>Boolean</t>
        </is>
      </c>
      <c r="D44" s="8" t="inlineStr">
        <is>
          <t>Required</t>
        </is>
      </c>
      <c r="E44" s="8" t="inlineStr">
        <is>
          <t>Optional</t>
        </is>
      </c>
      <c r="F44" s="8" t="inlineStr">
        <is>
          <t>P1</t>
        </is>
      </c>
      <c r="G44" s="8" t="inlineStr">
        <is>
          <t>True/False/Unknown (tri-state)</t>
        </is>
      </c>
      <c r="H44" s="8" t="inlineStr">
        <is>
          <t>TYPE:BOOLEAN|ALLOWED:TRUE,FALSE,UNKNOWN</t>
        </is>
      </c>
      <c r="I44" s="8" t="inlineStr">
        <is>
          <t>Effective-dated</t>
        </is>
      </c>
      <c r="J44" s="8" t="inlineStr">
        <is>
          <t>One-to-one</t>
        </is>
      </c>
      <c r="K44" s="8" t="inlineStr">
        <is>
          <t>N/A — not a one-to-many numeric field</t>
        </is>
      </c>
      <c r="L44" s="8" t="inlineStr">
        <is>
          <t>User Validation</t>
        </is>
      </c>
      <c r="M44" s="8" t="inlineStr">
        <is>
          <t>CIL Architecture Team</t>
        </is>
      </c>
      <c r="N44" s="8" t="inlineStr">
        <is>
          <t>2026-06-21</t>
        </is>
      </c>
      <c r="O44" s="8" t="inlineStr">
        <is>
          <t>CorpStage CIL Registry v1.0</t>
        </is>
      </c>
      <c r="P44" s="8" t="inlineStr">
        <is>
          <t>Group only (single enterprise-wide fact, does not repeat per node)</t>
        </is>
      </c>
      <c r="Q44" s="8" t="inlineStr">
        <is>
          <t>Global</t>
        </is>
      </c>
      <c r="R44" s="8" t="inlineStr">
        <is>
          <t>Tier 1 (Standard) — available to all frameworks and all customers</t>
        </is>
      </c>
      <c r="S4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5" ht="15" customHeight="1" s="6">
      <c r="A45" s="8" t="inlineStr">
        <is>
          <t>CDE-R044</t>
        </is>
      </c>
      <c r="B45" s="8" t="inlineStr">
        <is>
          <t>Breach Escalation Authority (who is notified)</t>
        </is>
      </c>
      <c r="C45" s="8" t="inlineStr">
        <is>
          <t>Text</t>
        </is>
      </c>
      <c r="D45" s="8" t="inlineStr">
        <is>
          <t>Recommended</t>
        </is>
      </c>
      <c r="E45" s="8" t="inlineStr">
        <is>
          <t>Optional</t>
        </is>
      </c>
      <c r="F45" s="8" t="inlineStr">
        <is>
          <t>P2</t>
        </is>
      </c>
      <c r="G45" s="8" t="inlineStr">
        <is>
          <t>Non-empty text</t>
        </is>
      </c>
      <c r="H45" s="8" t="inlineStr">
        <is>
          <t>TYPE:TEXT</t>
        </is>
      </c>
      <c r="I45" s="8" t="inlineStr">
        <is>
          <t>Point-in-time</t>
        </is>
      </c>
      <c r="J45" s="8" t="inlineStr">
        <is>
          <t>One-to-one</t>
        </is>
      </c>
      <c r="K45" s="8" t="inlineStr">
        <is>
          <t>N/A — not a one-to-many numeric field</t>
        </is>
      </c>
      <c r="L45" s="8" t="inlineStr">
        <is>
          <t>User Validation</t>
        </is>
      </c>
      <c r="M45" s="8" t="inlineStr">
        <is>
          <t>CIL Architecture Team</t>
        </is>
      </c>
      <c r="N45" s="8" t="inlineStr">
        <is>
          <t>2026-06-21</t>
        </is>
      </c>
      <c r="O45" s="8" t="inlineStr">
        <is>
          <t>CorpStage CIL Registry v1.0</t>
        </is>
      </c>
      <c r="P45" s="8" t="inlineStr">
        <is>
          <t>Group only (single enterprise-wide fact, does not repeat per node)</t>
        </is>
      </c>
      <c r="Q45" s="8" t="inlineStr">
        <is>
          <t>Global</t>
        </is>
      </c>
      <c r="R45" s="8" t="inlineStr">
        <is>
          <t>Tier 1 (Standard) — available to all frameworks and all customers</t>
        </is>
      </c>
      <c r="S4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6" ht="15" customHeight="1" s="6">
      <c r="A46" s="8" t="inlineStr">
        <is>
          <t>CDE-R045</t>
        </is>
      </c>
      <c r="B46" s="8" t="inlineStr">
        <is>
          <t>Breach Resolution Timeframe Required</t>
        </is>
      </c>
      <c r="C46" s="8" t="inlineStr">
        <is>
          <t>Text</t>
        </is>
      </c>
      <c r="D46" s="8" t="inlineStr">
        <is>
          <t>Supplemental</t>
        </is>
      </c>
      <c r="E46" s="8" t="inlineStr">
        <is>
          <t>Optional</t>
        </is>
      </c>
      <c r="F46" s="8" t="inlineStr">
        <is>
          <t>P3</t>
        </is>
      </c>
      <c r="G46" s="8" t="inlineStr">
        <is>
          <t>Non-empty text</t>
        </is>
      </c>
      <c r="H46" s="8" t="inlineStr">
        <is>
          <t>TYPE:TEXT</t>
        </is>
      </c>
      <c r="I46" s="8" t="inlineStr">
        <is>
          <t>Point-in-time</t>
        </is>
      </c>
      <c r="J46" s="8" t="inlineStr">
        <is>
          <t>One-to-one</t>
        </is>
      </c>
      <c r="K46" s="8" t="inlineStr">
        <is>
          <t>N/A — not a one-to-many numeric field</t>
        </is>
      </c>
      <c r="L46" s="8" t="inlineStr">
        <is>
          <t>User Validation</t>
        </is>
      </c>
      <c r="M46" s="8" t="inlineStr">
        <is>
          <t>CIL Architecture Team</t>
        </is>
      </c>
      <c r="N46" s="8" t="inlineStr">
        <is>
          <t>2026-06-21</t>
        </is>
      </c>
      <c r="O46" s="8" t="inlineStr">
        <is>
          <t>CorpStage CIL Registry v1.0</t>
        </is>
      </c>
      <c r="P46" s="8" t="inlineStr">
        <is>
          <t>Group only (single enterprise-wide fact, does not repeat per node)</t>
        </is>
      </c>
      <c r="Q46" s="8" t="inlineStr">
        <is>
          <t>Global</t>
        </is>
      </c>
      <c r="R46" s="8" t="inlineStr">
        <is>
          <t>Tier 1 (Standard) — available to all frameworks and all customers</t>
        </is>
      </c>
      <c r="S4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7" ht="15" customHeight="1" s="6">
      <c r="A47" s="8" t="inlineStr">
        <is>
          <t>CDE-R046</t>
        </is>
      </c>
      <c r="B47" s="8" t="inlineStr">
        <is>
          <t>Risk Appetite Statement Last Revised Date</t>
        </is>
      </c>
      <c r="C47" s="8" t="inlineStr">
        <is>
          <t>Date</t>
        </is>
      </c>
      <c r="D47" s="8" t="inlineStr">
        <is>
          <t>Required</t>
        </is>
      </c>
      <c r="E47" s="8" t="inlineStr">
        <is>
          <t>Optional</t>
        </is>
      </c>
      <c r="F47" s="8" t="inlineStr">
        <is>
          <t>P1</t>
        </is>
      </c>
      <c r="G47" s="8" t="inlineStr">
        <is>
          <t>Valid date</t>
        </is>
      </c>
      <c r="H47" s="8" t="inlineStr">
        <is>
          <t>TYPE:DATE</t>
        </is>
      </c>
      <c r="I47" s="8" t="inlineStr">
        <is>
          <t>Point-in-time</t>
        </is>
      </c>
      <c r="J47" s="8" t="inlineStr">
        <is>
          <t>One-to-one</t>
        </is>
      </c>
      <c r="K47" s="8" t="inlineStr">
        <is>
          <t>N/A — not a one-to-many numeric field</t>
        </is>
      </c>
      <c r="L47" s="8" t="inlineStr">
        <is>
          <t>Board Portal / Governance Records (Diligent, BoardEffect)</t>
        </is>
      </c>
      <c r="M47" s="8" t="inlineStr">
        <is>
          <t>CIL Architecture Team</t>
        </is>
      </c>
      <c r="N47" s="8" t="inlineStr">
        <is>
          <t>2026-06-21</t>
        </is>
      </c>
      <c r="O47" s="8" t="inlineStr">
        <is>
          <t>CorpStage CIL Registry v1.0</t>
        </is>
      </c>
      <c r="P47" s="8" t="inlineStr">
        <is>
          <t>Group only (single enterprise-wide fact, does not repeat per node)</t>
        </is>
      </c>
      <c r="Q47" s="8" t="inlineStr">
        <is>
          <t>Global</t>
        </is>
      </c>
      <c r="R47" s="8" t="inlineStr">
        <is>
          <t>Tier 1 (Standard) — available to all frameworks and all customers</t>
        </is>
      </c>
      <c r="S4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8" ht="15" customHeight="1" s="6">
      <c r="A48" s="8" t="inlineStr">
        <is>
          <t>CDE-R047</t>
        </is>
      </c>
      <c r="B48" s="8" t="inlineStr">
        <is>
          <t>Risk Appetite Review Cycle Frequency</t>
        </is>
      </c>
      <c r="C48" s="8" t="inlineStr">
        <is>
          <t>Text</t>
        </is>
      </c>
      <c r="D48" s="8" t="inlineStr">
        <is>
          <t>Recommended</t>
        </is>
      </c>
      <c r="E48" s="8" t="inlineStr">
        <is>
          <t>Optional</t>
        </is>
      </c>
      <c r="F48" s="8" t="inlineStr">
        <is>
          <t>P2</t>
        </is>
      </c>
      <c r="G48" s="8" t="inlineStr">
        <is>
          <t>Annual/Biennial/Ad-hoc</t>
        </is>
      </c>
      <c r="H48" s="8" t="inlineStr">
        <is>
          <t>TYPE:ENUM|ALLOWED:ANNUAL,BIENNIAL,AD_HOC</t>
        </is>
      </c>
      <c r="I48" s="8" t="inlineStr">
        <is>
          <t>Effective-dated</t>
        </is>
      </c>
      <c r="J48" s="8" t="inlineStr">
        <is>
          <t>One-to-one</t>
        </is>
      </c>
      <c r="K48" s="8" t="inlineStr">
        <is>
          <t>N/A — not a one-to-many numeric field</t>
        </is>
      </c>
      <c r="L48" s="8" t="inlineStr">
        <is>
          <t>User Validation</t>
        </is>
      </c>
      <c r="M48" s="8" t="inlineStr">
        <is>
          <t>CIL Architecture Team</t>
        </is>
      </c>
      <c r="N48" s="8" t="inlineStr">
        <is>
          <t>2026-06-21</t>
        </is>
      </c>
      <c r="O48" s="8" t="inlineStr">
        <is>
          <t>CorpStage CIL Registry v1.0</t>
        </is>
      </c>
      <c r="P48" s="8" t="inlineStr">
        <is>
          <t>Group only (single enterprise-wide fact, does not repeat per node)</t>
        </is>
      </c>
      <c r="Q48" s="8" t="inlineStr">
        <is>
          <t>Global</t>
        </is>
      </c>
      <c r="R48" s="8" t="inlineStr">
        <is>
          <t>Tier 1 (Standard) — available to all frameworks and all customers</t>
        </is>
      </c>
      <c r="S4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49" ht="15" customHeight="1" s="6">
      <c r="A49" s="8" t="inlineStr">
        <is>
          <t>CDE-R048</t>
        </is>
      </c>
      <c r="B49" s="8" t="inlineStr">
        <is>
          <t>Risk Quantification Methodology (e.g. Monte Carlo, scenario-based, qualitative scoring)</t>
        </is>
      </c>
      <c r="C49" s="8" t="inlineStr">
        <is>
          <t>Text</t>
        </is>
      </c>
      <c r="D49" s="8" t="inlineStr">
        <is>
          <t>Required</t>
        </is>
      </c>
      <c r="E49" s="8" t="inlineStr">
        <is>
          <t>Multi</t>
        </is>
      </c>
      <c r="F49" s="8" t="inlineStr">
        <is>
          <t>P1</t>
        </is>
      </c>
      <c r="G49" s="8" t="inlineStr">
        <is>
          <t>Non-empty text</t>
        </is>
      </c>
      <c r="H49" s="8" t="inlineStr">
        <is>
          <t>TYPE:TEXT</t>
        </is>
      </c>
      <c r="I49" s="8" t="inlineStr">
        <is>
          <t>Effective-dated</t>
        </is>
      </c>
      <c r="J49" s="8" t="inlineStr">
        <is>
          <t>One-to-one</t>
        </is>
      </c>
      <c r="K49" s="8" t="inlineStr">
        <is>
          <t>N/A — not a one-to-many numeric field</t>
        </is>
      </c>
      <c r="L49" s="8" t="inlineStr">
        <is>
          <t>User Validation</t>
        </is>
      </c>
      <c r="M49" s="8" t="inlineStr">
        <is>
          <t>CIL Architecture Team</t>
        </is>
      </c>
      <c r="N49" s="8" t="inlineStr">
        <is>
          <t>2026-06-21</t>
        </is>
      </c>
      <c r="O49" s="8" t="inlineStr">
        <is>
          <t>CorpStage CIL Registry v1.0</t>
        </is>
      </c>
      <c r="P49" s="8" t="inlineStr">
        <is>
          <t>Group only (single enterprise-wide fact, does not repeat per node)</t>
        </is>
      </c>
      <c r="Q49" s="8" t="inlineStr">
        <is>
          <t>Global</t>
        </is>
      </c>
      <c r="R49" s="8" t="inlineStr">
        <is>
          <t>Tier 1 (Standard) — available to all frameworks and all customers</t>
        </is>
      </c>
      <c r="S4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0" ht="15" customHeight="1" s="6">
      <c r="A50" s="8" t="inlineStr">
        <is>
          <t>CDE-R049</t>
        </is>
      </c>
      <c r="B50" s="8" t="inlineStr">
        <is>
          <t>Probability Scale Used (e.g. 1-5, %)</t>
        </is>
      </c>
      <c r="C50" s="8" t="inlineStr">
        <is>
          <t>Text</t>
        </is>
      </c>
      <c r="D50" s="8" t="inlineStr">
        <is>
          <t>Recommended</t>
        </is>
      </c>
      <c r="E50" s="8" t="inlineStr">
        <is>
          <t>Optional</t>
        </is>
      </c>
      <c r="F50" s="8" t="inlineStr">
        <is>
          <t>P2</t>
        </is>
      </c>
      <c r="G50" s="8" t="inlineStr">
        <is>
          <t>Non-empty text</t>
        </is>
      </c>
      <c r="H50" s="8" t="inlineStr">
        <is>
          <t>TYPE:TEXT</t>
        </is>
      </c>
      <c r="I50" s="8" t="inlineStr">
        <is>
          <t>Point-in-time</t>
        </is>
      </c>
      <c r="J50" s="8" t="inlineStr">
        <is>
          <t>One-to-one</t>
        </is>
      </c>
      <c r="K50" s="8" t="inlineStr">
        <is>
          <t>N/A — not a one-to-many numeric field</t>
        </is>
      </c>
      <c r="L50" s="8" t="inlineStr">
        <is>
          <t>GRC / Risk Register (ServiceNow Risk, RSA Archer, LogicGate)</t>
        </is>
      </c>
      <c r="M50" s="8" t="inlineStr">
        <is>
          <t>CIL Architecture Team</t>
        </is>
      </c>
      <c r="N50" s="8" t="inlineStr">
        <is>
          <t>2026-06-21</t>
        </is>
      </c>
      <c r="O50" s="8" t="inlineStr">
        <is>
          <t>CorpStage CIL Registry v1.0</t>
        </is>
      </c>
      <c r="P50" s="8" t="inlineStr">
        <is>
          <t>Group only (single enterprise-wide fact, does not repeat per node)</t>
        </is>
      </c>
      <c r="Q50" s="8" t="inlineStr">
        <is>
          <t>Global</t>
        </is>
      </c>
      <c r="R50" s="8" t="inlineStr">
        <is>
          <t>Tier 1 (Standard) — available to all frameworks and all customers</t>
        </is>
      </c>
      <c r="S5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1" ht="15" customHeight="1" s="6">
      <c r="A51" s="8" t="inlineStr">
        <is>
          <t>CDE-R050</t>
        </is>
      </c>
      <c r="B51" s="8" t="inlineStr">
        <is>
          <t>Severity Scale Used</t>
        </is>
      </c>
      <c r="C51" s="8" t="inlineStr">
        <is>
          <t>Text</t>
        </is>
      </c>
      <c r="D51" s="8" t="inlineStr">
        <is>
          <t>Recommended</t>
        </is>
      </c>
      <c r="E51" s="8" t="inlineStr">
        <is>
          <t>Optional</t>
        </is>
      </c>
      <c r="F51" s="8" t="inlineStr">
        <is>
          <t>P2</t>
        </is>
      </c>
      <c r="G51" s="8" t="inlineStr">
        <is>
          <t>Non-empty text</t>
        </is>
      </c>
      <c r="H51" s="8" t="inlineStr">
        <is>
          <t>TYPE:TEXT</t>
        </is>
      </c>
      <c r="I51" s="8" t="inlineStr">
        <is>
          <t>Point-in-time</t>
        </is>
      </c>
      <c r="J51" s="8" t="inlineStr">
        <is>
          <t>One-to-one</t>
        </is>
      </c>
      <c r="K51" s="8" t="inlineStr">
        <is>
          <t>N/A — not a one-to-many numeric field</t>
        </is>
      </c>
      <c r="L51" s="8" t="inlineStr">
        <is>
          <t>GRC / Risk Register (ServiceNow Risk, RSA Archer, LogicGate)</t>
        </is>
      </c>
      <c r="M51" s="8" t="inlineStr">
        <is>
          <t>CIL Architecture Team</t>
        </is>
      </c>
      <c r="N51" s="8" t="inlineStr">
        <is>
          <t>2026-06-21</t>
        </is>
      </c>
      <c r="O51" s="8" t="inlineStr">
        <is>
          <t>CorpStage CIL Registry v1.0</t>
        </is>
      </c>
      <c r="P51" s="8" t="inlineStr">
        <is>
          <t>Group only (single enterprise-wide fact, does not repeat per node)</t>
        </is>
      </c>
      <c r="Q51" s="8" t="inlineStr">
        <is>
          <t>Global</t>
        </is>
      </c>
      <c r="R51" s="8" t="inlineStr">
        <is>
          <t>Tier 1 (Standard) — available to all frameworks and all customers</t>
        </is>
      </c>
      <c r="S5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2" ht="15" customHeight="1" s="6">
      <c r="A52" s="8" t="inlineStr">
        <is>
          <t>CDE-R051</t>
        </is>
      </c>
      <c r="B52" s="8" t="inlineStr">
        <is>
          <t>Risk Probability Score</t>
        </is>
      </c>
      <c r="C52" s="8" t="inlineStr">
        <is>
          <t>Numeric</t>
        </is>
      </c>
      <c r="D52" s="8" t="inlineStr">
        <is>
          <t>Required</t>
        </is>
      </c>
      <c r="E52" s="8" t="inlineStr">
        <is>
          <t>Multi</t>
        </is>
      </c>
      <c r="F52" s="8" t="inlineStr">
        <is>
          <t>P1</t>
        </is>
      </c>
      <c r="G52" s="8" t="inlineStr">
        <is>
          <t>0-100, numeric</t>
        </is>
      </c>
      <c r="H52" s="8" t="inlineStr">
        <is>
          <t>TYPE:NUMERIC|MIN:0|MAX:100</t>
        </is>
      </c>
      <c r="I52" s="8" t="inlineStr">
        <is>
          <t>Effective-dated</t>
        </is>
      </c>
      <c r="J52" s="8" t="inlineStr">
        <is>
          <t>One-to-many</t>
        </is>
      </c>
      <c r="K52" s="8" t="inlineStr">
        <is>
          <t>Independent per risk; not aggregated (probabilities of different risks are not additive)</t>
        </is>
      </c>
      <c r="L52" s="8" t="inlineStr">
        <is>
          <t>GRC / Risk Register (ServiceNow Risk, RSA Archer, LogicGate)</t>
        </is>
      </c>
      <c r="M52" s="8" t="inlineStr">
        <is>
          <t>CIL Architecture Team</t>
        </is>
      </c>
      <c r="N52" s="8" t="inlineStr">
        <is>
          <t>2026-06-21</t>
        </is>
      </c>
      <c r="O52" s="8" t="inlineStr">
        <is>
          <t>CorpStage CIL Registry v1.0</t>
        </is>
      </c>
      <c r="P52" s="8" t="inlineStr">
        <is>
          <t>Company, Group (collected per legal entity, not below Company level)</t>
        </is>
      </c>
      <c r="Q52" s="8" t="inlineStr">
        <is>
          <t>Global</t>
        </is>
      </c>
      <c r="R52" s="8" t="inlineStr">
        <is>
          <t>Tier 1 (Standard) — available to all frameworks and all customers</t>
        </is>
      </c>
      <c r="S5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3" ht="15" customHeight="1" s="6">
      <c r="A53" s="8" t="inlineStr">
        <is>
          <t>CDE-R052</t>
        </is>
      </c>
      <c r="B53" s="8" t="inlineStr">
        <is>
          <t>Risk Financial Exposure — Low Estimate</t>
        </is>
      </c>
      <c r="C53" s="8" t="inlineStr">
        <is>
          <t>Numeric</t>
        </is>
      </c>
      <c r="D53" s="8" t="inlineStr">
        <is>
          <t>Required</t>
        </is>
      </c>
      <c r="E53" s="8" t="inlineStr">
        <is>
          <t>Multi</t>
        </is>
      </c>
      <c r="F53" s="8" t="inlineStr">
        <is>
          <t>P1</t>
        </is>
      </c>
      <c r="G53" s="8" t="inlineStr">
        <is>
          <t>&gt;=0, numeric</t>
        </is>
      </c>
      <c r="H53" s="8" t="inlineStr">
        <is>
          <t>TYPE:NUMERIC|MIN:0</t>
        </is>
      </c>
      <c r="I53" s="8" t="inlineStr">
        <is>
          <t>Effective-dated</t>
        </is>
      </c>
      <c r="J53" s="8" t="inlineStr">
        <is>
          <t>One-to-many</t>
        </is>
      </c>
      <c r="K53" s="8" t="inlineStr">
        <is>
          <t>SUM across risks gives aggregate low-estimate exposure if reporting total enterprise risk exposure</t>
        </is>
      </c>
      <c r="L53" s="8" t="inlineStr">
        <is>
          <t>GRC / Risk Register (ServiceNow Risk, RSA Archer, LogicGate)</t>
        </is>
      </c>
      <c r="M53" s="8" t="inlineStr">
        <is>
          <t>CIL Architecture Team</t>
        </is>
      </c>
      <c r="N53" s="8" t="inlineStr">
        <is>
          <t>2026-06-21</t>
        </is>
      </c>
      <c r="O53" s="8" t="inlineStr">
        <is>
          <t>CorpStage CIL Registry v1.0</t>
        </is>
      </c>
      <c r="P53" s="8" t="inlineStr">
        <is>
          <t>Company, Group (collected per legal entity, not below Company level)</t>
        </is>
      </c>
      <c r="Q53" s="8" t="inlineStr">
        <is>
          <t>Global</t>
        </is>
      </c>
      <c r="R53" s="8" t="inlineStr">
        <is>
          <t>Tier 1 (Standard) — available to all frameworks and all customers</t>
        </is>
      </c>
      <c r="S5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4" ht="15" customHeight="1" s="6">
      <c r="A54" s="8" t="inlineStr">
        <is>
          <t>CDE-R053</t>
        </is>
      </c>
      <c r="B54" s="8" t="inlineStr">
        <is>
          <t>Risk Financial Exposure — High Estimate</t>
        </is>
      </c>
      <c r="C54" s="8" t="inlineStr">
        <is>
          <t>Numeric</t>
        </is>
      </c>
      <c r="D54" s="8" t="inlineStr">
        <is>
          <t>Required</t>
        </is>
      </c>
      <c r="E54" s="8" t="inlineStr">
        <is>
          <t>Multi</t>
        </is>
      </c>
      <c r="F54" s="8" t="inlineStr">
        <is>
          <t>P1</t>
        </is>
      </c>
      <c r="G54" s="8" t="inlineStr">
        <is>
          <t>&gt;=0, numeric</t>
        </is>
      </c>
      <c r="H54" s="8" t="inlineStr">
        <is>
          <t>TYPE:NUMERIC|MIN:0</t>
        </is>
      </c>
      <c r="I54" s="8" t="inlineStr">
        <is>
          <t>Effective-dated</t>
        </is>
      </c>
      <c r="J54" s="8" t="inlineStr">
        <is>
          <t>One-to-many</t>
        </is>
      </c>
      <c r="K54" s="8" t="inlineStr">
        <is>
          <t>SUM across risks gives aggregate high-estimate exposure if reporting total enterprise risk exposure</t>
        </is>
      </c>
      <c r="L54" s="8" t="inlineStr">
        <is>
          <t>GRC / Risk Register (ServiceNow Risk, RSA Archer, LogicGate)</t>
        </is>
      </c>
      <c r="M54" s="8" t="inlineStr">
        <is>
          <t>CIL Architecture Team</t>
        </is>
      </c>
      <c r="N54" s="8" t="inlineStr">
        <is>
          <t>2026-06-21</t>
        </is>
      </c>
      <c r="O54" s="8" t="inlineStr">
        <is>
          <t>CorpStage CIL Registry v1.0</t>
        </is>
      </c>
      <c r="P54" s="8" t="inlineStr">
        <is>
          <t>Company, Group (collected per legal entity, not below Company level)</t>
        </is>
      </c>
      <c r="Q54" s="8" t="inlineStr">
        <is>
          <t>Global</t>
        </is>
      </c>
      <c r="R54" s="8" t="inlineStr">
        <is>
          <t>Tier 1 (Standard) — available to all frameworks and all customers</t>
        </is>
      </c>
      <c r="S5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5" ht="15" customHeight="1" s="6">
      <c r="A55" s="8" t="inlineStr">
        <is>
          <t>CDE-R054</t>
        </is>
      </c>
      <c r="B55" s="8" t="inlineStr">
        <is>
          <t>Insurance Policy Type</t>
        </is>
      </c>
      <c r="C55" s="8" t="inlineStr">
        <is>
          <t>Text</t>
        </is>
      </c>
      <c r="D55" s="8" t="inlineStr">
        <is>
          <t>Required</t>
        </is>
      </c>
      <c r="E55" s="8" t="inlineStr">
        <is>
          <t>Multi</t>
        </is>
      </c>
      <c r="F55" s="8" t="inlineStr">
        <is>
          <t>P1</t>
        </is>
      </c>
      <c r="G55" s="8" t="inlineStr">
        <is>
          <t>Non-empty text</t>
        </is>
      </c>
      <c r="H55" s="8" t="inlineStr">
        <is>
          <t>TYPE:TEXT</t>
        </is>
      </c>
      <c r="I55" s="8" t="inlineStr">
        <is>
          <t>Effective-dated</t>
        </is>
      </c>
      <c r="J55" s="8" t="inlineStr">
        <is>
          <t>One-to-many</t>
        </is>
      </c>
      <c r="K55" s="8" t="inlineStr">
        <is>
          <t>N/A — not a one-to-many numeric field</t>
        </is>
      </c>
      <c r="L55" s="8" t="inlineStr">
        <is>
          <t>Finance / ERP System (SAP S/4HANA, Oracle Fusion, NetSuite)</t>
        </is>
      </c>
      <c r="M55" s="8" t="inlineStr">
        <is>
          <t>CIL Architecture Team</t>
        </is>
      </c>
      <c r="N55" s="8" t="inlineStr">
        <is>
          <t>2026-06-21</t>
        </is>
      </c>
      <c r="O55" s="8" t="inlineStr">
        <is>
          <t>CorpStage CIL Registry v1.0</t>
        </is>
      </c>
      <c r="P55" s="8" t="inlineStr">
        <is>
          <t>Company, Group (collected per legal entity, not below Company level)</t>
        </is>
      </c>
      <c r="Q55" s="8" t="inlineStr">
        <is>
          <t>Global</t>
        </is>
      </c>
      <c r="R55" s="8" t="inlineStr">
        <is>
          <t>Tier 1 (Standard) — available to all frameworks and all customers</t>
        </is>
      </c>
      <c r="S5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6" ht="15" customHeight="1" s="6">
      <c r="A56" s="8" t="inlineStr">
        <is>
          <t>CDE-R055</t>
        </is>
      </c>
      <c r="B56" s="8" t="inlineStr">
        <is>
          <t>Insurance Coverage Limit</t>
        </is>
      </c>
      <c r="C56" s="8" t="inlineStr">
        <is>
          <t>Numeric</t>
        </is>
      </c>
      <c r="D56" s="8" t="inlineStr">
        <is>
          <t>Recommended</t>
        </is>
      </c>
      <c r="E56" s="8" t="inlineStr">
        <is>
          <t>Optional</t>
        </is>
      </c>
      <c r="F56" s="8" t="inlineStr">
        <is>
          <t>P2</t>
        </is>
      </c>
      <c r="G56" s="8" t="inlineStr">
        <is>
          <t>&gt;=0, numeric</t>
        </is>
      </c>
      <c r="H56" s="8" t="inlineStr">
        <is>
          <t>TYPE:NUMERIC|MIN:0</t>
        </is>
      </c>
      <c r="I56" s="8" t="inlineStr">
        <is>
          <t>Effective-dated</t>
        </is>
      </c>
      <c r="J56" s="8" t="inlineStr">
        <is>
          <t>One-to-many</t>
        </is>
      </c>
      <c r="K56" s="8" t="inlineStr">
        <is>
          <t>Independent per policy; not summed across policy types (different coverage scopes)</t>
        </is>
      </c>
      <c r="L56" s="8" t="inlineStr">
        <is>
          <t>Finance / ERP System (SAP S/4HANA, Oracle Fusion, NetSuite)</t>
        </is>
      </c>
      <c r="M56" s="8" t="inlineStr">
        <is>
          <t>CIL Architecture Team</t>
        </is>
      </c>
      <c r="N56" s="8" t="inlineStr">
        <is>
          <t>2026-06-21</t>
        </is>
      </c>
      <c r="O56" s="8" t="inlineStr">
        <is>
          <t>CorpStage CIL Registry v1.0</t>
        </is>
      </c>
      <c r="P56" s="8" t="inlineStr">
        <is>
          <t>Company, Group (collected per legal entity, not below Company level)</t>
        </is>
      </c>
      <c r="Q56" s="8" t="inlineStr">
        <is>
          <t>Global</t>
        </is>
      </c>
      <c r="R56" s="8" t="inlineStr">
        <is>
          <t>Tier 1 (Standard) — available to all frameworks and all customers</t>
        </is>
      </c>
      <c r="S5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7" ht="15" customHeight="1" s="6">
      <c r="A57" s="8" t="inlineStr">
        <is>
          <t>CDE-R056</t>
        </is>
      </c>
      <c r="B57" s="8" t="inlineStr">
        <is>
          <t>Insurance Premium Cost (Annual)</t>
        </is>
      </c>
      <c r="C57" s="8" t="inlineStr">
        <is>
          <t>Numeric</t>
        </is>
      </c>
      <c r="D57" s="8" t="inlineStr">
        <is>
          <t>Recommended</t>
        </is>
      </c>
      <c r="E57" s="8" t="inlineStr">
        <is>
          <t>Optional</t>
        </is>
      </c>
      <c r="F57" s="8" t="inlineStr">
        <is>
          <t>P2</t>
        </is>
      </c>
      <c r="G57" s="8" t="inlineStr">
        <is>
          <t>&gt;=0, numeric</t>
        </is>
      </c>
      <c r="H57" s="8" t="inlineStr">
        <is>
          <t>TYPE:NUMERIC|MIN:0</t>
        </is>
      </c>
      <c r="I57" s="8" t="inlineStr">
        <is>
          <t>Effective-dated</t>
        </is>
      </c>
      <c r="J57" s="8" t="inlineStr">
        <is>
          <t>One-to-many</t>
        </is>
      </c>
      <c r="K57" s="8" t="inlineStr">
        <is>
          <t>SUM across policies gives total annual insurance spend</t>
        </is>
      </c>
      <c r="L57" s="8" t="inlineStr">
        <is>
          <t>Finance / ERP System (SAP S/4HANA, Oracle Fusion, NetSuite)</t>
        </is>
      </c>
      <c r="M57" s="8" t="inlineStr">
        <is>
          <t>CIL Architecture Team</t>
        </is>
      </c>
      <c r="N57" s="8" t="inlineStr">
        <is>
          <t>2026-06-21</t>
        </is>
      </c>
      <c r="O57" s="8" t="inlineStr">
        <is>
          <t>CorpStage CIL Registry v1.0</t>
        </is>
      </c>
      <c r="P57" s="8" t="inlineStr">
        <is>
          <t>Company, Group (collected per legal entity, not below Company level)</t>
        </is>
      </c>
      <c r="Q57" s="8" t="inlineStr">
        <is>
          <t>Global</t>
        </is>
      </c>
      <c r="R57" s="8" t="inlineStr">
        <is>
          <t>Tier 1 (Standard) — available to all frameworks and all customers</t>
        </is>
      </c>
      <c r="S5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8" ht="15" customHeight="1" s="6">
      <c r="A58" s="8" t="inlineStr">
        <is>
          <t>CDE-R057</t>
        </is>
      </c>
      <c r="B58" s="8" t="inlineStr">
        <is>
          <t>Risk Transfer Mechanism Type (Hedge/Contractual/Insurance/Other)</t>
        </is>
      </c>
      <c r="C58" s="8" t="inlineStr">
        <is>
          <t>Text</t>
        </is>
      </c>
      <c r="D58" s="8" t="inlineStr">
        <is>
          <t>Recommended</t>
        </is>
      </c>
      <c r="E58" s="8" t="inlineStr">
        <is>
          <t>Optional</t>
        </is>
      </c>
      <c r="F58" s="8" t="inlineStr">
        <is>
          <t>P2</t>
        </is>
      </c>
      <c r="G58" s="8" t="inlineStr">
        <is>
          <t>Hedge/Contractual/Insurance/Other</t>
        </is>
      </c>
      <c r="H58" s="8" t="inlineStr">
        <is>
          <t>TYPE:ENUM|ALLOWED:HEDGE,CONTRACTUAL,INSURANCE,OTHER</t>
        </is>
      </c>
      <c r="I58" s="8" t="inlineStr">
        <is>
          <t>Point-in-time</t>
        </is>
      </c>
      <c r="J58" s="8" t="inlineStr">
        <is>
          <t>One-to-many</t>
        </is>
      </c>
      <c r="K58" s="8" t="inlineStr">
        <is>
          <t>N/A — not a one-to-many numeric field</t>
        </is>
      </c>
      <c r="L58" s="8" t="inlineStr">
        <is>
          <t>Finance / ERP System (SAP S/4HANA, Oracle Fusion, NetSuite)</t>
        </is>
      </c>
      <c r="M58" s="8" t="inlineStr">
        <is>
          <t>CIL Architecture Team</t>
        </is>
      </c>
      <c r="N58" s="8" t="inlineStr">
        <is>
          <t>2026-06-21</t>
        </is>
      </c>
      <c r="O58" s="8" t="inlineStr">
        <is>
          <t>CorpStage CIL Registry v1.0</t>
        </is>
      </c>
      <c r="P58" s="8" t="inlineStr">
        <is>
          <t>Company, Group (collected per legal entity, not below Company level)</t>
        </is>
      </c>
      <c r="Q58" s="8" t="inlineStr">
        <is>
          <t>Global</t>
        </is>
      </c>
      <c r="R58" s="8" t="inlineStr">
        <is>
          <t>Tier 1 (Standard) — available to all frameworks and all customers</t>
        </is>
      </c>
      <c r="S5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59" ht="15" customHeight="1" s="6">
      <c r="A59" s="8" t="inlineStr">
        <is>
          <t>CDE-R058</t>
        </is>
      </c>
      <c r="B59" s="8" t="inlineStr">
        <is>
          <t>Risk Transfer Mechanism Description</t>
        </is>
      </c>
      <c r="C59" s="8" t="inlineStr">
        <is>
          <t>Text</t>
        </is>
      </c>
      <c r="D59" s="8" t="inlineStr">
        <is>
          <t>Supplemental</t>
        </is>
      </c>
      <c r="E59" s="8" t="inlineStr">
        <is>
          <t>Optional</t>
        </is>
      </c>
      <c r="F59" s="8" t="inlineStr">
        <is>
          <t>P3</t>
        </is>
      </c>
      <c r="G59" s="8" t="inlineStr">
        <is>
          <t>Non-empty text</t>
        </is>
      </c>
      <c r="H59" s="8" t="inlineStr">
        <is>
          <t>TYPE:TEXT</t>
        </is>
      </c>
      <c r="I59" s="8" t="inlineStr">
        <is>
          <t>Point-in-time</t>
        </is>
      </c>
      <c r="J59" s="8" t="inlineStr">
        <is>
          <t>One-to-many</t>
        </is>
      </c>
      <c r="K59" s="8" t="inlineStr">
        <is>
          <t>N/A — not a one-to-many numeric field</t>
        </is>
      </c>
      <c r="L59" s="8" t="inlineStr">
        <is>
          <t>User Validation</t>
        </is>
      </c>
      <c r="M59" s="8" t="inlineStr">
        <is>
          <t>CIL Architecture Team</t>
        </is>
      </c>
      <c r="N59" s="8" t="inlineStr">
        <is>
          <t>2026-06-21</t>
        </is>
      </c>
      <c r="O59" s="8" t="inlineStr">
        <is>
          <t>CorpStage CIL Registry v1.0</t>
        </is>
      </c>
      <c r="P59" s="8" t="inlineStr">
        <is>
          <t>Company, Group (collected per legal entity, not below Company level)</t>
        </is>
      </c>
      <c r="Q59" s="8" t="inlineStr">
        <is>
          <t>Global</t>
        </is>
      </c>
      <c r="R59" s="8" t="inlineStr">
        <is>
          <t>Tier 1 (Standard) — available to all frameworks and all customers</t>
        </is>
      </c>
      <c r="S5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0" ht="15" customHeight="1" s="6">
      <c r="A60" s="8" t="inlineStr">
        <is>
          <t>CDE-R059</t>
        </is>
      </c>
      <c r="B60" s="8" t="inlineStr">
        <is>
          <t>Total Retained (Uninsured) Risk Exposure</t>
        </is>
      </c>
      <c r="C60" s="8" t="inlineStr">
        <is>
          <t>Numeric</t>
        </is>
      </c>
      <c r="D60" s="8" t="inlineStr">
        <is>
          <t>Required</t>
        </is>
      </c>
      <c r="E60" s="8" t="inlineStr">
        <is>
          <t>Optional</t>
        </is>
      </c>
      <c r="F60" s="8" t="inlineStr">
        <is>
          <t>P1</t>
        </is>
      </c>
      <c r="G60" s="8" t="inlineStr">
        <is>
          <t>&gt;=0, numeric</t>
        </is>
      </c>
      <c r="H60" s="8" t="inlineStr">
        <is>
          <t>TYPE:NUMERIC|MIN:0</t>
        </is>
      </c>
      <c r="I60" s="8" t="inlineStr">
        <is>
          <t>Effective-dated</t>
        </is>
      </c>
      <c r="J60" s="8" t="inlineStr">
        <is>
          <t>One-to-one</t>
        </is>
      </c>
      <c r="K60" s="8" t="inlineStr">
        <is>
          <t>N/A — not a one-to-many numeric field</t>
        </is>
      </c>
      <c r="L60" s="8" t="inlineStr">
        <is>
          <t>Finance / ERP System (SAP S/4HANA, Oracle Fusion, NetSuite)</t>
        </is>
      </c>
      <c r="M60" s="8" t="inlineStr">
        <is>
          <t>CIL Architecture Team</t>
        </is>
      </c>
      <c r="N60" s="8" t="inlineStr">
        <is>
          <t>2026-06-21</t>
        </is>
      </c>
      <c r="O60" s="8" t="inlineStr">
        <is>
          <t>CorpStage CIL Registry v1.0</t>
        </is>
      </c>
      <c r="P60" s="8" t="inlineStr">
        <is>
          <t>Group only (single enterprise-wide fact, does not repeat per node)</t>
        </is>
      </c>
      <c r="Q60" s="8" t="inlineStr">
        <is>
          <t>Global</t>
        </is>
      </c>
      <c r="R60" s="8" t="inlineStr">
        <is>
          <t>Tier 1 (Standard) — available to all frameworks and all customers</t>
        </is>
      </c>
      <c r="S6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1" ht="15" customHeight="1" s="6">
      <c r="A61" s="8" t="inlineStr">
        <is>
          <t>CDE-R060</t>
        </is>
      </c>
      <c r="B61" s="8" t="inlineStr">
        <is>
          <t>Retained Risk Exposure as % of Net Worth</t>
        </is>
      </c>
      <c r="C61" s="8" t="inlineStr">
        <is>
          <t>Numeric</t>
        </is>
      </c>
      <c r="D61" s="8" t="inlineStr">
        <is>
          <t>Recommended</t>
        </is>
      </c>
      <c r="E61" s="8" t="inlineStr">
        <is>
          <t>Optional</t>
        </is>
      </c>
      <c r="F61" s="8" t="inlineStr">
        <is>
          <t>P2</t>
        </is>
      </c>
      <c r="G61" s="8" t="inlineStr">
        <is>
          <t>0-100, numeric</t>
        </is>
      </c>
      <c r="H61" s="8" t="inlineStr">
        <is>
          <t>TYPE:NUMERIC|MIN:0|MAX:100</t>
        </is>
      </c>
      <c r="I61" s="8" t="inlineStr">
        <is>
          <t>Effective-dated</t>
        </is>
      </c>
      <c r="J61" s="8" t="inlineStr">
        <is>
          <t>One-to-one</t>
        </is>
      </c>
      <c r="K61" s="8" t="inlineStr">
        <is>
          <t>N/A — not a one-to-many numeric field</t>
        </is>
      </c>
      <c r="L61" s="8" t="inlineStr">
        <is>
          <t>Finance / ERP System (SAP S/4HANA, Oracle Fusion, NetSuite)</t>
        </is>
      </c>
      <c r="M61" s="8" t="inlineStr">
        <is>
          <t>CIL Architecture Team</t>
        </is>
      </c>
      <c r="N61" s="8" t="inlineStr">
        <is>
          <t>2026-06-21</t>
        </is>
      </c>
      <c r="O61" s="8" t="inlineStr">
        <is>
          <t>CorpStage CIL Registry v1.0</t>
        </is>
      </c>
      <c r="P61" s="8" t="inlineStr">
        <is>
          <t>Group only (single enterprise-wide fact, does not repeat per node)</t>
        </is>
      </c>
      <c r="Q61" s="8" t="inlineStr">
        <is>
          <t>Global</t>
        </is>
      </c>
      <c r="R61" s="8" t="inlineStr">
        <is>
          <t>Tier 1 (Standard) — available to all frameworks and all customers</t>
        </is>
      </c>
      <c r="S6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2" ht="15" customHeight="1" s="6">
      <c r="A62" s="8" t="inlineStr">
        <is>
          <t>CDE-R061</t>
        </is>
      </c>
      <c r="B62" s="8" t="inlineStr">
        <is>
          <t>Mitigation Cost for Top Risk</t>
        </is>
      </c>
      <c r="C62" s="8" t="inlineStr">
        <is>
          <t>Numeric</t>
        </is>
      </c>
      <c r="D62" s="8" t="inlineStr">
        <is>
          <t>Recommended</t>
        </is>
      </c>
      <c r="E62" s="8" t="inlineStr">
        <is>
          <t>Optional</t>
        </is>
      </c>
      <c r="F62" s="8" t="inlineStr">
        <is>
          <t>P2</t>
        </is>
      </c>
      <c r="G62" s="8" t="inlineStr">
        <is>
          <t>&gt;=0, numeric</t>
        </is>
      </c>
      <c r="H62" s="8" t="inlineStr">
        <is>
          <t>TYPE:NUMERIC|MIN:0</t>
        </is>
      </c>
      <c r="I62" s="8" t="inlineStr">
        <is>
          <t>Point-in-time</t>
        </is>
      </c>
      <c r="J62" s="8" t="inlineStr">
        <is>
          <t>One-to-many</t>
        </is>
      </c>
      <c r="K62" s="8" t="inlineStr">
        <is>
          <t>Independent per risk; not aggregated across different mitigation efforts</t>
        </is>
      </c>
      <c r="L62" s="8" t="inlineStr">
        <is>
          <t>User Validation</t>
        </is>
      </c>
      <c r="M62" s="8" t="inlineStr">
        <is>
          <t>CIL Architecture Team</t>
        </is>
      </c>
      <c r="N62" s="8" t="inlineStr">
        <is>
          <t>2026-06-21</t>
        </is>
      </c>
      <c r="O62" s="8" t="inlineStr">
        <is>
          <t>CorpStage CIL Registry v1.0</t>
        </is>
      </c>
      <c r="P62" s="8" t="inlineStr">
        <is>
          <t>Company, Group (collected per legal entity, not below Company level)</t>
        </is>
      </c>
      <c r="Q62" s="8" t="inlineStr">
        <is>
          <t>Global</t>
        </is>
      </c>
      <c r="R62" s="8" t="inlineStr">
        <is>
          <t>Tier 1 (Standard) — available to all frameworks and all customers</t>
        </is>
      </c>
      <c r="S6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3" ht="15" customHeight="1" s="6">
      <c r="A63" s="8" t="inlineStr">
        <is>
          <t>CDE-R062</t>
        </is>
      </c>
      <c r="B63" s="8" t="inlineStr">
        <is>
          <t>Exposure-to-Mitigation-Cost Ratio</t>
        </is>
      </c>
      <c r="C63" s="8" t="inlineStr">
        <is>
          <t>Numeric</t>
        </is>
      </c>
      <c r="D63" s="8" t="inlineStr">
        <is>
          <t>Supplemental</t>
        </is>
      </c>
      <c r="E63" s="8" t="inlineStr">
        <is>
          <t>Optional</t>
        </is>
      </c>
      <c r="F63" s="8" t="inlineStr">
        <is>
          <t>P3</t>
        </is>
      </c>
      <c r="G63" s="8" t="inlineStr">
        <is>
          <t>&gt;=0, numeric</t>
        </is>
      </c>
      <c r="H63" s="8" t="inlineStr">
        <is>
          <t>TYPE:NUMERIC|MIN:0</t>
        </is>
      </c>
      <c r="I63" s="8" t="inlineStr">
        <is>
          <t>Point-in-time</t>
        </is>
      </c>
      <c r="J63" s="8" t="inlineStr">
        <is>
          <t>One-to-many</t>
        </is>
      </c>
      <c r="K63" s="8" t="inlineStr">
        <is>
          <t>Independent per risk; ratio is not meaningfully summed or averaged across different risks</t>
        </is>
      </c>
      <c r="L63" s="8" t="inlineStr">
        <is>
          <t>User Validation</t>
        </is>
      </c>
      <c r="M63" s="8" t="inlineStr">
        <is>
          <t>CIL Architecture Team</t>
        </is>
      </c>
      <c r="N63" s="8" t="inlineStr">
        <is>
          <t>2026-06-21</t>
        </is>
      </c>
      <c r="O63" s="8" t="inlineStr">
        <is>
          <t>CorpStage CIL Registry v1.0</t>
        </is>
      </c>
      <c r="P63" s="8" t="inlineStr">
        <is>
          <t>Company, Group (collected per legal entity, not below Company level)</t>
        </is>
      </c>
      <c r="Q63" s="8" t="inlineStr">
        <is>
          <t>Global</t>
        </is>
      </c>
      <c r="R63" s="8" t="inlineStr">
        <is>
          <t>Tier 1 (Standard) — available to all frameworks and all customers</t>
        </is>
      </c>
      <c r="S6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64" ht="15" customHeight="1" s="6">
      <c r="A64" s="8" t="inlineStr">
        <is>
          <t>CDE-R063</t>
        </is>
      </c>
      <c r="B64" s="8" t="inlineStr">
        <is>
          <t>Credit Risk Exposure from Customers/Counterparties</t>
        </is>
      </c>
      <c r="C64" s="8" t="inlineStr">
        <is>
          <t>Numeric</t>
        </is>
      </c>
      <c r="D64" s="8" t="inlineStr">
        <is>
          <t>Required</t>
        </is>
      </c>
      <c r="E64" s="8" t="inlineStr">
        <is>
          <t>Multi</t>
        </is>
      </c>
      <c r="F64" s="8" t="inlineStr">
        <is>
          <t>P1</t>
        </is>
      </c>
      <c r="G64" s="8" t="inlineStr">
        <is>
          <t>&gt;=0, numeric</t>
        </is>
      </c>
      <c r="H64" s="8" t="inlineStr">
        <is>
          <t>TYPE:NUMERIC|MIN:0</t>
        </is>
      </c>
      <c r="I64" s="8" t="inlineStr">
        <is>
          <t>Effective-dated</t>
        </is>
      </c>
      <c r="J64" s="8" t="inlineStr">
        <is>
          <t>One-to-one</t>
        </is>
      </c>
      <c r="K64" s="8" t="inlineStr">
        <is>
          <t>N/A — not a one-to-many numeric field</t>
        </is>
      </c>
      <c r="L64" s="8" t="inlineStr">
        <is>
          <t>Finance / ERP System (SAP S/4HANA, Oracle Fusion, NetSuite)</t>
        </is>
      </c>
      <c r="M64" s="8" t="inlineStr">
        <is>
          <t>CIL Architecture Team</t>
        </is>
      </c>
      <c r="N64" s="8" t="inlineStr">
        <is>
          <t>2026-06-21</t>
        </is>
      </c>
      <c r="O64" s="8" t="inlineStr">
        <is>
          <t>CorpStage CIL Registry v1.0</t>
        </is>
      </c>
      <c r="P64" s="8" t="inlineStr">
        <is>
          <t>Group only (single enterprise-wide fact, does not repeat per node)</t>
        </is>
      </c>
      <c r="Q64" s="8" t="inlineStr">
        <is>
          <t>Global</t>
        </is>
      </c>
      <c r="R64" s="8" t="inlineStr">
        <is>
          <t>Tier 1 (Standard) — available to all frameworks and all customers</t>
        </is>
      </c>
      <c r="S64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65" ht="15" customHeight="1" s="6">
      <c r="A65" s="8" t="inlineStr">
        <is>
          <t>CDE-R064</t>
        </is>
      </c>
      <c r="B65" s="8" t="inlineStr">
        <is>
          <t>Credit Risk Concentration — Top Counterparty %</t>
        </is>
      </c>
      <c r="C65" s="8" t="inlineStr">
        <is>
          <t>Numeric</t>
        </is>
      </c>
      <c r="D65" s="8" t="inlineStr">
        <is>
          <t>Recommended</t>
        </is>
      </c>
      <c r="E65" s="8" t="inlineStr">
        <is>
          <t>Optional</t>
        </is>
      </c>
      <c r="F65" s="8" t="inlineStr">
        <is>
          <t>P2</t>
        </is>
      </c>
      <c r="G65" s="8" t="inlineStr">
        <is>
          <t>0-100, numeric</t>
        </is>
      </c>
      <c r="H65" s="8" t="inlineStr">
        <is>
          <t>TYPE:NUMERIC|MIN:0|MAX:100</t>
        </is>
      </c>
      <c r="I65" s="8" t="inlineStr">
        <is>
          <t>Effective-dated</t>
        </is>
      </c>
      <c r="J65" s="8" t="inlineStr">
        <is>
          <t>One-to-one</t>
        </is>
      </c>
      <c r="K65" s="8" t="inlineStr">
        <is>
          <t>N/A — not a one-to-many numeric field</t>
        </is>
      </c>
      <c r="L65" s="8" t="inlineStr">
        <is>
          <t>Finance / ERP System (SAP S/4HANA, Oracle Fusion, NetSuite)</t>
        </is>
      </c>
      <c r="M65" s="8" t="inlineStr">
        <is>
          <t>CIL Architecture Team</t>
        </is>
      </c>
      <c r="N65" s="8" t="inlineStr">
        <is>
          <t>2026-06-21</t>
        </is>
      </c>
      <c r="O65" s="8" t="inlineStr">
        <is>
          <t>CorpStage CIL Registry v1.0</t>
        </is>
      </c>
      <c r="P65" s="8" t="inlineStr">
        <is>
          <t>Group only (single enterprise-wide fact, does not repeat per node)</t>
        </is>
      </c>
      <c r="Q65" s="8" t="inlineStr">
        <is>
          <t>Global</t>
        </is>
      </c>
      <c r="R65" s="8" t="inlineStr">
        <is>
          <t>Tier 1 (Standard) — available to all frameworks and all customers</t>
        </is>
      </c>
      <c r="S65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66" ht="15" customHeight="1" s="6">
      <c r="A66" s="8" t="inlineStr">
        <is>
          <t>CDE-R065</t>
        </is>
      </c>
      <c r="B66" s="8" t="inlineStr">
        <is>
          <t>Credit Rating of Major Counterparties</t>
        </is>
      </c>
      <c r="C66" s="8" t="inlineStr">
        <is>
          <t>Text</t>
        </is>
      </c>
      <c r="D66" s="8" t="inlineStr">
        <is>
          <t>Supplemental</t>
        </is>
      </c>
      <c r="E66" s="8" t="inlineStr">
        <is>
          <t>Optional</t>
        </is>
      </c>
      <c r="F66" s="8" t="inlineStr">
        <is>
          <t>P3</t>
        </is>
      </c>
      <c r="G66" s="8" t="inlineStr">
        <is>
          <t>Non-empty text</t>
        </is>
      </c>
      <c r="H66" s="8" t="inlineStr">
        <is>
          <t>TYPE:TEXT</t>
        </is>
      </c>
      <c r="I66" s="8" t="inlineStr">
        <is>
          <t>Effective-dated</t>
        </is>
      </c>
      <c r="J66" s="8" t="inlineStr">
        <is>
          <t>One-to-many</t>
        </is>
      </c>
      <c r="K66" s="8" t="inlineStr">
        <is>
          <t>N/A — not a one-to-many numeric field</t>
        </is>
      </c>
      <c r="L66" s="8" t="inlineStr">
        <is>
          <t>Finance / ERP System (SAP S/4HANA, Oracle Fusion, NetSuite)</t>
        </is>
      </c>
      <c r="M66" s="8" t="inlineStr">
        <is>
          <t>CIL Architecture Team</t>
        </is>
      </c>
      <c r="N66" s="8" t="inlineStr">
        <is>
          <t>2026-06-21</t>
        </is>
      </c>
      <c r="O66" s="8" t="inlineStr">
        <is>
          <t>CorpStage CIL Registry v1.0</t>
        </is>
      </c>
      <c r="P66" s="8" t="inlineStr">
        <is>
          <t>Company, Group (collected per legal entity, not below Company level)</t>
        </is>
      </c>
      <c r="Q66" s="8" t="inlineStr">
        <is>
          <t>Global</t>
        </is>
      </c>
      <c r="R66" s="8" t="inlineStr">
        <is>
          <t>Tier 1 (Standard) — available to all frameworks and all customers</t>
        </is>
      </c>
      <c r="S66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67" ht="15" customHeight="1" s="6">
      <c r="A67" s="8" t="inlineStr">
        <is>
          <t>CDE-R066</t>
        </is>
      </c>
      <c r="B67" s="8" t="inlineStr">
        <is>
          <t>Liquidity Risk Identified</t>
        </is>
      </c>
      <c r="C67" s="8" t="inlineStr">
        <is>
          <t>Boolean</t>
        </is>
      </c>
      <c r="D67" s="8" t="inlineStr">
        <is>
          <t>Required</t>
        </is>
      </c>
      <c r="E67" s="8" t="inlineStr">
        <is>
          <t>Universal</t>
        </is>
      </c>
      <c r="F67" s="8" t="inlineStr">
        <is>
          <t>P1</t>
        </is>
      </c>
      <c r="G67" s="8" t="inlineStr">
        <is>
          <t>True/False/Unknown (tri-state)</t>
        </is>
      </c>
      <c r="H67" s="8" t="inlineStr">
        <is>
          <t>TYPE:BOOLEAN|ALLOWED:TRUE,FALSE,UNKNOWN</t>
        </is>
      </c>
      <c r="I67" s="8" t="inlineStr">
        <is>
          <t>Effective-dated</t>
        </is>
      </c>
      <c r="J67" s="8" t="inlineStr">
        <is>
          <t>One-to-one</t>
        </is>
      </c>
      <c r="K67" s="8" t="inlineStr">
        <is>
          <t>N/A — not a one-to-many numeric field</t>
        </is>
      </c>
      <c r="L67" s="8" t="inlineStr">
        <is>
          <t>Finance / ERP System (SAP S/4HANA, Oracle Fusion, NetSuite)</t>
        </is>
      </c>
      <c r="M67" s="8" t="inlineStr">
        <is>
          <t>CIL Architecture Team</t>
        </is>
      </c>
      <c r="N67" s="8" t="inlineStr">
        <is>
          <t>2026-06-21</t>
        </is>
      </c>
      <c r="O67" s="8" t="inlineStr">
        <is>
          <t>CorpStage CIL Registry v1.0</t>
        </is>
      </c>
      <c r="P67" s="8" t="inlineStr">
        <is>
          <t>Group only (single enterprise-wide fact, does not repeat per node)</t>
        </is>
      </c>
      <c r="Q67" s="8" t="inlineStr">
        <is>
          <t>Global</t>
        </is>
      </c>
      <c r="R67" s="8" t="inlineStr">
        <is>
          <t>Tier 1 (Standard) — available to all frameworks and all customers</t>
        </is>
      </c>
      <c r="S67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68" ht="15" customHeight="1" s="6">
      <c r="A68" s="8" t="inlineStr">
        <is>
          <t>CDE-R067</t>
        </is>
      </c>
      <c r="B68" s="8" t="inlineStr">
        <is>
          <t>Liquidity Buffer Maintained (months of operating expense)</t>
        </is>
      </c>
      <c r="C68" s="8" t="inlineStr">
        <is>
          <t>Numeric</t>
        </is>
      </c>
      <c r="D68" s="8" t="inlineStr">
        <is>
          <t>Recommended</t>
        </is>
      </c>
      <c r="E68" s="8" t="inlineStr">
        <is>
          <t>Multi</t>
        </is>
      </c>
      <c r="F68" s="8" t="inlineStr">
        <is>
          <t>P2</t>
        </is>
      </c>
      <c r="G68" s="8" t="inlineStr">
        <is>
          <t>&gt;=0, numeric</t>
        </is>
      </c>
      <c r="H68" s="8" t="inlineStr">
        <is>
          <t>TYPE:NUMERIC|MIN:0</t>
        </is>
      </c>
      <c r="I68" s="8" t="inlineStr">
        <is>
          <t>Effective-dated</t>
        </is>
      </c>
      <c r="J68" s="8" t="inlineStr">
        <is>
          <t>One-to-one</t>
        </is>
      </c>
      <c r="K68" s="8" t="inlineStr">
        <is>
          <t>N/A — not a one-to-many numeric field</t>
        </is>
      </c>
      <c r="L68" s="8" t="inlineStr">
        <is>
          <t>Finance / ERP System (SAP S/4HANA, Oracle Fusion, NetSuite)</t>
        </is>
      </c>
      <c r="M68" s="8" t="inlineStr">
        <is>
          <t>CIL Architecture Team</t>
        </is>
      </c>
      <c r="N68" s="8" t="inlineStr">
        <is>
          <t>2026-06-21</t>
        </is>
      </c>
      <c r="O68" s="8" t="inlineStr">
        <is>
          <t>CorpStage CIL Registry v1.0</t>
        </is>
      </c>
      <c r="P68" s="8" t="inlineStr">
        <is>
          <t>Group only (single enterprise-wide fact, does not repeat per node)</t>
        </is>
      </c>
      <c r="Q68" s="8" t="inlineStr">
        <is>
          <t>Global</t>
        </is>
      </c>
      <c r="R68" s="8" t="inlineStr">
        <is>
          <t>Tier 1 (Standard) — available to all frameworks and all customers</t>
        </is>
      </c>
      <c r="S68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69" ht="15" customHeight="1" s="6">
      <c r="A69" s="8" t="inlineStr">
        <is>
          <t>CDE-R068</t>
        </is>
      </c>
      <c r="B69" s="8" t="inlineStr">
        <is>
          <t>Liquidity Stress Test Conducted</t>
        </is>
      </c>
      <c r="C69" s="8" t="inlineStr">
        <is>
          <t>Boolean</t>
        </is>
      </c>
      <c r="D69" s="8" t="inlineStr">
        <is>
          <t>Supplemental</t>
        </is>
      </c>
      <c r="E69" s="8" t="inlineStr">
        <is>
          <t>Optional</t>
        </is>
      </c>
      <c r="F69" s="8" t="inlineStr">
        <is>
          <t>P3</t>
        </is>
      </c>
      <c r="G69" s="8" t="inlineStr">
        <is>
          <t>True/False/Unknown (tri-state)</t>
        </is>
      </c>
      <c r="H69" s="8" t="inlineStr">
        <is>
          <t>TYPE:BOOLEAN|ALLOWED:TRUE,FALSE,UNKNOWN</t>
        </is>
      </c>
      <c r="I69" s="8" t="inlineStr">
        <is>
          <t>Point-in-time</t>
        </is>
      </c>
      <c r="J69" s="8" t="inlineStr">
        <is>
          <t>One-to-one</t>
        </is>
      </c>
      <c r="K69" s="8" t="inlineStr">
        <is>
          <t>N/A — not a one-to-many numeric field</t>
        </is>
      </c>
      <c r="L69" s="8" t="inlineStr">
        <is>
          <t>User Validation</t>
        </is>
      </c>
      <c r="M69" s="8" t="inlineStr">
        <is>
          <t>CIL Architecture Team</t>
        </is>
      </c>
      <c r="N69" s="8" t="inlineStr">
        <is>
          <t>2026-06-21</t>
        </is>
      </c>
      <c r="O69" s="8" t="inlineStr">
        <is>
          <t>CorpStage CIL Registry v1.0</t>
        </is>
      </c>
      <c r="P69" s="8" t="inlineStr">
        <is>
          <t>Group only (single enterprise-wide fact, does not repeat per node)</t>
        </is>
      </c>
      <c r="Q69" s="8" t="inlineStr">
        <is>
          <t>Global</t>
        </is>
      </c>
      <c r="R69" s="8" t="inlineStr">
        <is>
          <t>Tier 1 (Standard) — available to all frameworks and all customers</t>
        </is>
      </c>
      <c r="S69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0" ht="15" customHeight="1" s="6">
      <c r="A70" s="8" t="inlineStr">
        <is>
          <t>CDE-R069</t>
        </is>
      </c>
      <c r="B70" s="8" t="inlineStr">
        <is>
          <t>FX Risk Exposure Identified as Material</t>
        </is>
      </c>
      <c r="C70" s="8" t="inlineStr">
        <is>
          <t>Boolean</t>
        </is>
      </c>
      <c r="D70" s="8" t="inlineStr">
        <is>
          <t>Required</t>
        </is>
      </c>
      <c r="E70" s="8" t="inlineStr">
        <is>
          <t>Multi</t>
        </is>
      </c>
      <c r="F70" s="8" t="inlineStr">
        <is>
          <t>P1</t>
        </is>
      </c>
      <c r="G70" s="8" t="inlineStr">
        <is>
          <t>True/False/Unknown (tri-state)</t>
        </is>
      </c>
      <c r="H70" s="8" t="inlineStr">
        <is>
          <t>TYPE:BOOLEAN|ALLOWED:TRUE,FALSE,UNKNOWN</t>
        </is>
      </c>
      <c r="I70" s="8" t="inlineStr">
        <is>
          <t>Effective-dated</t>
        </is>
      </c>
      <c r="J70" s="8" t="inlineStr">
        <is>
          <t>One-to-one</t>
        </is>
      </c>
      <c r="K70" s="8" t="inlineStr">
        <is>
          <t>N/A — not a one-to-many numeric field</t>
        </is>
      </c>
      <c r="L70" s="8" t="inlineStr">
        <is>
          <t>Annual Report / 10-K Filing (SEC EDGAR, Company IR Site)</t>
        </is>
      </c>
      <c r="M70" s="8" t="inlineStr">
        <is>
          <t>CIL Architecture Team</t>
        </is>
      </c>
      <c r="N70" s="8" t="inlineStr">
        <is>
          <t>2026-06-21</t>
        </is>
      </c>
      <c r="O70" s="8" t="inlineStr">
        <is>
          <t>CorpStage CIL Registry v1.0</t>
        </is>
      </c>
      <c r="P70" s="8" t="inlineStr">
        <is>
          <t>Group only (single enterprise-wide fact, does not repeat per node)</t>
        </is>
      </c>
      <c r="Q70" s="8" t="inlineStr">
        <is>
          <t>Global</t>
        </is>
      </c>
      <c r="R70" s="8" t="inlineStr">
        <is>
          <t>Tier 1 (Standard) — available to all frameworks and all customers</t>
        </is>
      </c>
      <c r="S70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1" ht="15" customHeight="1" s="6">
      <c r="A71" s="8" t="inlineStr">
        <is>
          <t>CDE-R070</t>
        </is>
      </c>
      <c r="B71" s="8" t="inlineStr">
        <is>
          <t>FX Risk Hedge Ratio %</t>
        </is>
      </c>
      <c r="C71" s="8" t="inlineStr">
        <is>
          <t>Numeric</t>
        </is>
      </c>
      <c r="D71" s="8" t="inlineStr">
        <is>
          <t>Recommended</t>
        </is>
      </c>
      <c r="E71" s="8" t="inlineStr">
        <is>
          <t>Multi</t>
        </is>
      </c>
      <c r="F71" s="8" t="inlineStr">
        <is>
          <t>P2</t>
        </is>
      </c>
      <c r="G71" s="8" t="inlineStr">
        <is>
          <t>0-100, numeric</t>
        </is>
      </c>
      <c r="H71" s="8" t="inlineStr">
        <is>
          <t>TYPE:NUMERIC|MIN:0|MAX:100</t>
        </is>
      </c>
      <c r="I71" s="8" t="inlineStr">
        <is>
          <t>Effective-dated</t>
        </is>
      </c>
      <c r="J71" s="8" t="inlineStr">
        <is>
          <t>One-to-one</t>
        </is>
      </c>
      <c r="K71" s="8" t="inlineStr">
        <is>
          <t>N/A — not a one-to-many numeric field</t>
        </is>
      </c>
      <c r="L71" s="8" t="inlineStr">
        <is>
          <t>Finance / ERP System (SAP S/4HANA, Oracle Fusion, NetSuite)</t>
        </is>
      </c>
      <c r="M71" s="8" t="inlineStr">
        <is>
          <t>CIL Architecture Team</t>
        </is>
      </c>
      <c r="N71" s="8" t="inlineStr">
        <is>
          <t>2026-06-21</t>
        </is>
      </c>
      <c r="O71" s="8" t="inlineStr">
        <is>
          <t>CorpStage CIL Registry v1.0</t>
        </is>
      </c>
      <c r="P71" s="8" t="inlineStr">
        <is>
          <t>Group only (single enterprise-wide fact, does not repeat per node)</t>
        </is>
      </c>
      <c r="Q71" s="8" t="inlineStr">
        <is>
          <t>Global</t>
        </is>
      </c>
      <c r="R71" s="8" t="inlineStr">
        <is>
          <t>Tier 1 (Standard) — available to all frameworks and all customers</t>
        </is>
      </c>
      <c r="S71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2" ht="15" customHeight="1" s="6">
      <c r="A72" s="8" t="inlineStr">
        <is>
          <t>CDE-R071</t>
        </is>
      </c>
      <c r="B72" s="8" t="inlineStr">
        <is>
          <t>Interest Rate Risk Exposure on Variable-Rate Debt %</t>
        </is>
      </c>
      <c r="C72" s="8" t="inlineStr">
        <is>
          <t>Numeric</t>
        </is>
      </c>
      <c r="D72" s="8" t="inlineStr">
        <is>
          <t>Required</t>
        </is>
      </c>
      <c r="E72" s="8" t="inlineStr">
        <is>
          <t>Multi</t>
        </is>
      </c>
      <c r="F72" s="8" t="inlineStr">
        <is>
          <t>P1</t>
        </is>
      </c>
      <c r="G72" s="8" t="inlineStr">
        <is>
          <t>0-100, numeric</t>
        </is>
      </c>
      <c r="H72" s="8" t="inlineStr">
        <is>
          <t>TYPE:NUMERIC|MIN:0|MAX:100</t>
        </is>
      </c>
      <c r="I72" s="8" t="inlineStr">
        <is>
          <t>Effective-dated</t>
        </is>
      </c>
      <c r="J72" s="8" t="inlineStr">
        <is>
          <t>One-to-one</t>
        </is>
      </c>
      <c r="K72" s="8" t="inlineStr">
        <is>
          <t>N/A — not a one-to-many numeric field</t>
        </is>
      </c>
      <c r="L72" s="8" t="inlineStr">
        <is>
          <t>Finance / ERP System (SAP S/4HANA, Oracle Fusion, NetSuite)</t>
        </is>
      </c>
      <c r="M72" s="8" t="inlineStr">
        <is>
          <t>CIL Architecture Team</t>
        </is>
      </c>
      <c r="N72" s="8" t="inlineStr">
        <is>
          <t>2026-06-21</t>
        </is>
      </c>
      <c r="O72" s="8" t="inlineStr">
        <is>
          <t>CorpStage CIL Registry v1.0</t>
        </is>
      </c>
      <c r="P72" s="8" t="inlineStr">
        <is>
          <t>Group only (single enterprise-wide fact, does not repeat per node)</t>
        </is>
      </c>
      <c r="Q72" s="8" t="inlineStr">
        <is>
          <t>Global</t>
        </is>
      </c>
      <c r="R72" s="8" t="inlineStr">
        <is>
          <t>Tier 1 (Standard) — available to all frameworks and all customers</t>
        </is>
      </c>
      <c r="S72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3" ht="15" customHeight="1" s="6">
      <c r="A73" s="8" t="inlineStr">
        <is>
          <t>CDE-R072</t>
        </is>
      </c>
      <c r="B73" s="8" t="inlineStr">
        <is>
          <t>Interest Rate Hedge Instrument Used</t>
        </is>
      </c>
      <c r="C73" s="8" t="inlineStr">
        <is>
          <t>Text</t>
        </is>
      </c>
      <c r="D73" s="8" t="inlineStr">
        <is>
          <t>Supplemental</t>
        </is>
      </c>
      <c r="E73" s="8" t="inlineStr">
        <is>
          <t>Optional</t>
        </is>
      </c>
      <c r="F73" s="8" t="inlineStr">
        <is>
          <t>P3</t>
        </is>
      </c>
      <c r="G73" s="8" t="inlineStr">
        <is>
          <t>Non-empty text</t>
        </is>
      </c>
      <c r="H73" s="8" t="inlineStr">
        <is>
          <t>TYPE:TEXT</t>
        </is>
      </c>
      <c r="I73" s="8" t="inlineStr">
        <is>
          <t>Point-in-time</t>
        </is>
      </c>
      <c r="J73" s="8" t="inlineStr">
        <is>
          <t>One-to-many</t>
        </is>
      </c>
      <c r="K73" s="8" t="inlineStr">
        <is>
          <t>N/A — not a one-to-many numeric field</t>
        </is>
      </c>
      <c r="L73" s="8" t="inlineStr">
        <is>
          <t>Finance / ERP System (SAP S/4HANA, Oracle Fusion, NetSuite)</t>
        </is>
      </c>
      <c r="M73" s="8" t="inlineStr">
        <is>
          <t>CIL Architecture Team</t>
        </is>
      </c>
      <c r="N73" s="8" t="inlineStr">
        <is>
          <t>2026-06-21</t>
        </is>
      </c>
      <c r="O73" s="8" t="inlineStr">
        <is>
          <t>CorpStage CIL Registry v1.0</t>
        </is>
      </c>
      <c r="P73" s="8" t="inlineStr">
        <is>
          <t>Company, Group (collected per legal entity, not below Company level)</t>
        </is>
      </c>
      <c r="Q73" s="8" t="inlineStr">
        <is>
          <t>Global</t>
        </is>
      </c>
      <c r="R73" s="8" t="inlineStr">
        <is>
          <t>Tier 1 (Standard) — available to all frameworks and all customers</t>
        </is>
      </c>
      <c r="S73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4" ht="15" customHeight="1" s="6">
      <c r="A74" s="8" t="inlineStr">
        <is>
          <t>CDE-R073</t>
        </is>
      </c>
      <c r="B74" s="8" t="inlineStr">
        <is>
          <t>Counterparty Default Risk Rating</t>
        </is>
      </c>
      <c r="C74" s="8" t="inlineStr">
        <is>
          <t>Text</t>
        </is>
      </c>
      <c r="D74" s="8" t="inlineStr">
        <is>
          <t>Recommended</t>
        </is>
      </c>
      <c r="E74" s="8" t="inlineStr">
        <is>
          <t>Optional</t>
        </is>
      </c>
      <c r="F74" s="8" t="inlineStr">
        <is>
          <t>P2</t>
        </is>
      </c>
      <c r="G74" s="8" t="inlineStr">
        <is>
          <t>High/Medium/Low</t>
        </is>
      </c>
      <c r="H74" s="8" t="inlineStr">
        <is>
          <t>TYPE:ENUM|ALLOWED:HIGH,MEDIUM,LOW</t>
        </is>
      </c>
      <c r="I74" s="8" t="inlineStr">
        <is>
          <t>Effective-dated</t>
        </is>
      </c>
      <c r="J74" s="8" t="inlineStr">
        <is>
          <t>One-to-many</t>
        </is>
      </c>
      <c r="K74" s="8" t="inlineStr">
        <is>
          <t>N/A — not a one-to-many numeric field</t>
        </is>
      </c>
      <c r="L74" s="8" t="inlineStr">
        <is>
          <t>Finance / ERP System (SAP S/4HANA, Oracle Fusion, NetSuite)</t>
        </is>
      </c>
      <c r="M74" s="8" t="inlineStr">
        <is>
          <t>CIL Architecture Team</t>
        </is>
      </c>
      <c r="N74" s="8" t="inlineStr">
        <is>
          <t>2026-06-21</t>
        </is>
      </c>
      <c r="O74" s="8" t="inlineStr">
        <is>
          <t>CorpStage CIL Registry v1.0</t>
        </is>
      </c>
      <c r="P74" s="8" t="inlineStr">
        <is>
          <t>Company, Group (collected per legal entity, not below Company level)</t>
        </is>
      </c>
      <c r="Q74" s="8" t="inlineStr">
        <is>
          <t>Global</t>
        </is>
      </c>
      <c r="R74" s="8" t="inlineStr">
        <is>
          <t>Tier 1 (Standard) — available to all frameworks and all customers</t>
        </is>
      </c>
      <c r="S74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5" ht="15" customHeight="1" s="6">
      <c r="A75" s="8" t="inlineStr">
        <is>
          <t>CDE-R074</t>
        </is>
      </c>
      <c r="B75" s="8" t="inlineStr">
        <is>
          <t>Maximum Single-Counterparty Default Exposure</t>
        </is>
      </c>
      <c r="C75" s="8" t="inlineStr">
        <is>
          <t>Numeric</t>
        </is>
      </c>
      <c r="D75" s="8" t="inlineStr">
        <is>
          <t>Required</t>
        </is>
      </c>
      <c r="E75" s="8" t="inlineStr">
        <is>
          <t>Optional</t>
        </is>
      </c>
      <c r="F75" s="8" t="inlineStr">
        <is>
          <t>P1</t>
        </is>
      </c>
      <c r="G75" s="8" t="inlineStr">
        <is>
          <t>&gt;=0, numeric</t>
        </is>
      </c>
      <c r="H75" s="8" t="inlineStr">
        <is>
          <t>TYPE:NUMERIC|MIN:0</t>
        </is>
      </c>
      <c r="I75" s="8" t="inlineStr">
        <is>
          <t>Effective-dated</t>
        </is>
      </c>
      <c r="J75" s="8" t="inlineStr">
        <is>
          <t>One-to-one</t>
        </is>
      </c>
      <c r="K75" s="8" t="inlineStr">
        <is>
          <t>N/A — not a one-to-many numeric field</t>
        </is>
      </c>
      <c r="L75" s="8" t="inlineStr">
        <is>
          <t>Finance / ERP System (SAP S/4HANA, Oracle Fusion, NetSuite)</t>
        </is>
      </c>
      <c r="M75" s="8" t="inlineStr">
        <is>
          <t>CIL Architecture Team</t>
        </is>
      </c>
      <c r="N75" s="8" t="inlineStr">
        <is>
          <t>2026-06-21</t>
        </is>
      </c>
      <c r="O75" s="8" t="inlineStr">
        <is>
          <t>CorpStage CIL Registry v1.0</t>
        </is>
      </c>
      <c r="P75" s="8" t="inlineStr">
        <is>
          <t>Group only (single enterprise-wide fact, does not repeat per node)</t>
        </is>
      </c>
      <c r="Q75" s="8" t="inlineStr">
        <is>
          <t>Global</t>
        </is>
      </c>
      <c r="R75" s="8" t="inlineStr">
        <is>
          <t>Tier 1 (Standard) — available to all frameworks and all customers</t>
        </is>
      </c>
      <c r="S75" s="8" t="inlineStr">
        <is>
          <t>Owned by Risk Intelligence per Binding 6(a) — captures the RISK-QUANTIFICATION view of this financial fact, distinct from a future Domain 3 Financial Intelligence's BALANCE-SHEET/operational facts (e.g. actual debt levels, actual credit terms). Domain 3 must reference this CDE for the risk-exposure framing, not create a duplicate.</t>
        </is>
      </c>
    </row>
    <row r="76" ht="15" customHeight="1" s="6">
      <c r="A76" s="8" t="inlineStr">
        <is>
          <t>CDE-R075</t>
        </is>
      </c>
      <c r="B76" s="8" t="inlineStr">
        <is>
          <t>Process Failure Risk Identified</t>
        </is>
      </c>
      <c r="C76" s="8" t="inlineStr">
        <is>
          <t>Text</t>
        </is>
      </c>
      <c r="D76" s="8" t="inlineStr">
        <is>
          <t>Required</t>
        </is>
      </c>
      <c r="E76" s="8" t="inlineStr">
        <is>
          <t>Optional</t>
        </is>
      </c>
      <c r="F76" s="8" t="inlineStr">
        <is>
          <t>P1</t>
        </is>
      </c>
      <c r="G76" s="8" t="inlineStr">
        <is>
          <t>Non-empty text</t>
        </is>
      </c>
      <c r="H76" s="8" t="inlineStr">
        <is>
          <t>TYPE:TEXT</t>
        </is>
      </c>
      <c r="I76" s="8" t="inlineStr">
        <is>
          <t>Effective-dated</t>
        </is>
      </c>
      <c r="J76" s="8" t="inlineStr">
        <is>
          <t>One-to-many</t>
        </is>
      </c>
      <c r="K76" s="8" t="inlineStr">
        <is>
          <t>N/A — not a one-to-many numeric field</t>
        </is>
      </c>
      <c r="L76" s="8" t="inlineStr">
        <is>
          <t>GRC / Risk Register (ServiceNow Risk, RSA Archer, LogicGate)</t>
        </is>
      </c>
      <c r="M76" s="8" t="inlineStr">
        <is>
          <t>CIL Architecture Team</t>
        </is>
      </c>
      <c r="N76" s="8" t="inlineStr">
        <is>
          <t>2026-06-21</t>
        </is>
      </c>
      <c r="O76" s="8" t="inlineStr">
        <is>
          <t>CorpStage CIL Registry v1.0</t>
        </is>
      </c>
      <c r="P76" s="8" t="inlineStr">
        <is>
          <t>Company, Group (collected per legal entity, not below Company level)</t>
        </is>
      </c>
      <c r="Q76" s="8" t="inlineStr">
        <is>
          <t>Global</t>
        </is>
      </c>
      <c r="R76" s="8" t="inlineStr">
        <is>
          <t>Tier 1 (Standard) — available to all frameworks and all customers</t>
        </is>
      </c>
      <c r="S7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77" ht="15" customHeight="1" s="6">
      <c r="A77" s="8" t="inlineStr">
        <is>
          <t>CDE-R076</t>
        </is>
      </c>
      <c r="B77" s="8" t="inlineStr">
        <is>
          <t>Process Failure Risk Severity Rating</t>
        </is>
      </c>
      <c r="C77" s="8" t="inlineStr">
        <is>
          <t>Text</t>
        </is>
      </c>
      <c r="D77" s="8" t="inlineStr">
        <is>
          <t>Recommended</t>
        </is>
      </c>
      <c r="E77" s="8" t="inlineStr">
        <is>
          <t>Optional</t>
        </is>
      </c>
      <c r="F77" s="8" t="inlineStr">
        <is>
          <t>P2</t>
        </is>
      </c>
      <c r="G77" s="8" t="inlineStr">
        <is>
          <t>High/Medium/Low</t>
        </is>
      </c>
      <c r="H77" s="8" t="inlineStr">
        <is>
          <t>TYPE:ENUM|ALLOWED:HIGH,MEDIUM,LOW</t>
        </is>
      </c>
      <c r="I77" s="8" t="inlineStr">
        <is>
          <t>Effective-dated</t>
        </is>
      </c>
      <c r="J77" s="8" t="inlineStr">
        <is>
          <t>One-to-many</t>
        </is>
      </c>
      <c r="K77" s="8" t="inlineStr">
        <is>
          <t>N/A — not a one-to-many numeric field</t>
        </is>
      </c>
      <c r="L77" s="8" t="inlineStr">
        <is>
          <t>GRC / Risk Register (ServiceNow Risk, RSA Archer, LogicGate)</t>
        </is>
      </c>
      <c r="M77" s="8" t="inlineStr">
        <is>
          <t>CIL Architecture Team</t>
        </is>
      </c>
      <c r="N77" s="8" t="inlineStr">
        <is>
          <t>2026-06-21</t>
        </is>
      </c>
      <c r="O77" s="8" t="inlineStr">
        <is>
          <t>CorpStage CIL Registry v1.0</t>
        </is>
      </c>
      <c r="P77" s="8" t="inlineStr">
        <is>
          <t>Company, Group (collected per legal entity, not below Company level)</t>
        </is>
      </c>
      <c r="Q77" s="8" t="inlineStr">
        <is>
          <t>Global</t>
        </is>
      </c>
      <c r="R77" s="8" t="inlineStr">
        <is>
          <t>Tier 1 (Standard) — available to all frameworks and all customers</t>
        </is>
      </c>
      <c r="S7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78" ht="15" customHeight="1" s="6">
      <c r="A78" s="8" t="inlineStr">
        <is>
          <t>CDE-R077</t>
        </is>
      </c>
      <c r="B78" s="8" t="inlineStr">
        <is>
          <t>Process Control Mitigation in Place</t>
        </is>
      </c>
      <c r="C78" s="8" t="inlineStr">
        <is>
          <t>Boolean</t>
        </is>
      </c>
      <c r="D78" s="8" t="inlineStr">
        <is>
          <t>Recommended</t>
        </is>
      </c>
      <c r="E78" s="8" t="inlineStr">
        <is>
          <t>Optional</t>
        </is>
      </c>
      <c r="F78" s="8" t="inlineStr">
        <is>
          <t>P2</t>
        </is>
      </c>
      <c r="G78" s="8" t="inlineStr">
        <is>
          <t>True/False/Unknown (tri-state)</t>
        </is>
      </c>
      <c r="H78" s="8" t="inlineStr">
        <is>
          <t>TYPE:BOOLEAN|ALLOWED:TRUE,FALSE,UNKNOWN</t>
        </is>
      </c>
      <c r="I78" s="8" t="inlineStr">
        <is>
          <t>Effective-dated</t>
        </is>
      </c>
      <c r="J78" s="8" t="inlineStr">
        <is>
          <t>One-to-many</t>
        </is>
      </c>
      <c r="K78" s="8" t="inlineStr">
        <is>
          <t>N/A — not a one-to-many numeric field</t>
        </is>
      </c>
      <c r="L78" s="8" t="inlineStr">
        <is>
          <t>User Validation</t>
        </is>
      </c>
      <c r="M78" s="8" t="inlineStr">
        <is>
          <t>CIL Architecture Team</t>
        </is>
      </c>
      <c r="N78" s="8" t="inlineStr">
        <is>
          <t>2026-06-21</t>
        </is>
      </c>
      <c r="O78" s="8" t="inlineStr">
        <is>
          <t>CorpStage CIL Registry v1.0</t>
        </is>
      </c>
      <c r="P78" s="8" t="inlineStr">
        <is>
          <t>Company, Group (collected per legal entity, not below Company level)</t>
        </is>
      </c>
      <c r="Q78" s="8" t="inlineStr">
        <is>
          <t>Global</t>
        </is>
      </c>
      <c r="R78" s="8" t="inlineStr">
        <is>
          <t>Tier 1 (Standard) — available to all frameworks and all customers</t>
        </is>
      </c>
      <c r="S7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79" ht="15" customHeight="1" s="6">
      <c r="A79" s="8" t="inlineStr">
        <is>
          <t>CDE-R078</t>
        </is>
      </c>
      <c r="B79" s="8" t="inlineStr">
        <is>
          <t>Key-Person Risk Identified for Critical Role</t>
        </is>
      </c>
      <c r="C79" s="8" t="inlineStr">
        <is>
          <t>Text</t>
        </is>
      </c>
      <c r="D79" s="8" t="inlineStr">
        <is>
          <t>Required</t>
        </is>
      </c>
      <c r="E79" s="8" t="inlineStr">
        <is>
          <t>Optional</t>
        </is>
      </c>
      <c r="F79" s="8" t="inlineStr">
        <is>
          <t>P1</t>
        </is>
      </c>
      <c r="G79" s="8" t="inlineStr">
        <is>
          <t>Non-empty text</t>
        </is>
      </c>
      <c r="H79" s="8" t="inlineStr">
        <is>
          <t>TYPE:TEXT</t>
        </is>
      </c>
      <c r="I79" s="8" t="inlineStr">
        <is>
          <t>Effective-dated</t>
        </is>
      </c>
      <c r="J79" s="8" t="inlineStr">
        <is>
          <t>One-to-many</t>
        </is>
      </c>
      <c r="K79" s="8" t="inlineStr">
        <is>
          <t>N/A — not a one-to-many numeric field</t>
        </is>
      </c>
      <c r="L79" s="8" t="inlineStr">
        <is>
          <t>User Validation</t>
        </is>
      </c>
      <c r="M79" s="8" t="inlineStr">
        <is>
          <t>CIL Architecture Team</t>
        </is>
      </c>
      <c r="N79" s="8" t="inlineStr">
        <is>
          <t>2026-06-21</t>
        </is>
      </c>
      <c r="O79" s="8" t="inlineStr">
        <is>
          <t>CorpStage CIL Registry v1.0</t>
        </is>
      </c>
      <c r="P79" s="8" t="inlineStr">
        <is>
          <t>Company, Group (collected per legal entity, not below Company level)</t>
        </is>
      </c>
      <c r="Q79" s="8" t="inlineStr">
        <is>
          <t>Global</t>
        </is>
      </c>
      <c r="R79" s="8" t="inlineStr">
        <is>
          <t>Tier 1 (Standard) — available to all frameworks and all customers</t>
        </is>
      </c>
      <c r="S7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0" ht="15" customHeight="1" s="6">
      <c r="A80" s="8" t="inlineStr">
        <is>
          <t>CDE-R079</t>
        </is>
      </c>
      <c r="B80" s="8" t="inlineStr">
        <is>
          <t>Succession Plan Exists for Key Role</t>
        </is>
      </c>
      <c r="C80" s="8" t="inlineStr">
        <is>
          <t>Boolean</t>
        </is>
      </c>
      <c r="D80" s="8" t="inlineStr">
        <is>
          <t>Recommended</t>
        </is>
      </c>
      <c r="E80" s="8" t="inlineStr">
        <is>
          <t>Optional</t>
        </is>
      </c>
      <c r="F80" s="8" t="inlineStr">
        <is>
          <t>P2</t>
        </is>
      </c>
      <c r="G80" s="8" t="inlineStr">
        <is>
          <t>True/False/Unknown (tri-state)</t>
        </is>
      </c>
      <c r="H80" s="8" t="inlineStr">
        <is>
          <t>TYPE:BOOLEAN|ALLOWED:TRUE,FALSE,UNKNOWN</t>
        </is>
      </c>
      <c r="I80" s="8" t="inlineStr">
        <is>
          <t>Effective-dated</t>
        </is>
      </c>
      <c r="J80" s="8" t="inlineStr">
        <is>
          <t>One-to-many</t>
        </is>
      </c>
      <c r="K80" s="8" t="inlineStr">
        <is>
          <t>N/A — not a one-to-many numeric field</t>
        </is>
      </c>
      <c r="L80" s="8" t="inlineStr">
        <is>
          <t>User Validation</t>
        </is>
      </c>
      <c r="M80" s="8" t="inlineStr">
        <is>
          <t>CIL Architecture Team</t>
        </is>
      </c>
      <c r="N80" s="8" t="inlineStr">
        <is>
          <t>2026-06-21</t>
        </is>
      </c>
      <c r="O80" s="8" t="inlineStr">
        <is>
          <t>CorpStage CIL Registry v1.0</t>
        </is>
      </c>
      <c r="P80" s="8" t="inlineStr">
        <is>
          <t>Company, Group (collected per legal entity, not below Company level)</t>
        </is>
      </c>
      <c r="Q80" s="8" t="inlineStr">
        <is>
          <t>Global</t>
        </is>
      </c>
      <c r="R80" s="8" t="inlineStr">
        <is>
          <t>Tier 1 (Standard) — available to all frameworks and all customers</t>
        </is>
      </c>
      <c r="S8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1" ht="15" customHeight="1" s="6">
      <c r="A81" s="8" t="inlineStr">
        <is>
          <t>CDE-R080</t>
        </is>
      </c>
      <c r="B81" s="8" t="inlineStr">
        <is>
          <t>Critical Role Vacancy Risk Rating</t>
        </is>
      </c>
      <c r="C81" s="8" t="inlineStr">
        <is>
          <t>Text</t>
        </is>
      </c>
      <c r="D81" s="8" t="inlineStr">
        <is>
          <t>Supplemental</t>
        </is>
      </c>
      <c r="E81" s="8" t="inlineStr">
        <is>
          <t>Optional</t>
        </is>
      </c>
      <c r="F81" s="8" t="inlineStr">
        <is>
          <t>P3</t>
        </is>
      </c>
      <c r="G81" s="8" t="inlineStr">
        <is>
          <t>High/Medium/Low</t>
        </is>
      </c>
      <c r="H81" s="8" t="inlineStr">
        <is>
          <t>TYPE:ENUM|ALLOWED:HIGH,MEDIUM,LOW</t>
        </is>
      </c>
      <c r="I81" s="8" t="inlineStr">
        <is>
          <t>Point-in-time</t>
        </is>
      </c>
      <c r="J81" s="8" t="inlineStr">
        <is>
          <t>One-to-many</t>
        </is>
      </c>
      <c r="K81" s="8" t="inlineStr">
        <is>
          <t>N/A — not a one-to-many numeric field</t>
        </is>
      </c>
      <c r="L81" s="8" t="inlineStr">
        <is>
          <t>User Validation</t>
        </is>
      </c>
      <c r="M81" s="8" t="inlineStr">
        <is>
          <t>CIL Architecture Team</t>
        </is>
      </c>
      <c r="N81" s="8" t="inlineStr">
        <is>
          <t>2026-06-21</t>
        </is>
      </c>
      <c r="O81" s="8" t="inlineStr">
        <is>
          <t>CorpStage CIL Registry v1.0</t>
        </is>
      </c>
      <c r="P81" s="8" t="inlineStr">
        <is>
          <t>Company, Group (collected per legal entity, not below Company level)</t>
        </is>
      </c>
      <c r="Q81" s="8" t="inlineStr">
        <is>
          <t>Global</t>
        </is>
      </c>
      <c r="R81" s="8" t="inlineStr">
        <is>
          <t>Tier 1 (Standard) — available to all frameworks and all customers</t>
        </is>
      </c>
      <c r="S8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2" ht="15" customHeight="1" s="6">
      <c r="A82" s="8" t="inlineStr">
        <is>
          <t>CDE-R081</t>
        </is>
      </c>
      <c r="B82" s="8" t="inlineStr">
        <is>
          <t>Mission-Critical System Failure Risk Identified</t>
        </is>
      </c>
      <c r="C82" s="8" t="inlineStr">
        <is>
          <t>Text</t>
        </is>
      </c>
      <c r="D82" s="8" t="inlineStr">
        <is>
          <t>Required</t>
        </is>
      </c>
      <c r="E82" s="8" t="inlineStr">
        <is>
          <t>Optional</t>
        </is>
      </c>
      <c r="F82" s="8" t="inlineStr">
        <is>
          <t>P1</t>
        </is>
      </c>
      <c r="G82" s="8" t="inlineStr">
        <is>
          <t>Non-empty text</t>
        </is>
      </c>
      <c r="H82" s="8" t="inlineStr">
        <is>
          <t>TYPE:TEXT</t>
        </is>
      </c>
      <c r="I82" s="8" t="inlineStr">
        <is>
          <t>Effective-dated</t>
        </is>
      </c>
      <c r="J82" s="8" t="inlineStr">
        <is>
          <t>One-to-many</t>
        </is>
      </c>
      <c r="K82" s="8" t="inlineStr">
        <is>
          <t>N/A — not a one-to-many numeric field</t>
        </is>
      </c>
      <c r="L82" s="8" t="inlineStr">
        <is>
          <t>GRC / Risk Register (ServiceNow Risk, RSA Archer, LogicGate)</t>
        </is>
      </c>
      <c r="M82" s="8" t="inlineStr">
        <is>
          <t>CIL Architecture Team</t>
        </is>
      </c>
      <c r="N82" s="8" t="inlineStr">
        <is>
          <t>2026-06-21</t>
        </is>
      </c>
      <c r="O82" s="8" t="inlineStr">
        <is>
          <t>CorpStage CIL Registry v1.0</t>
        </is>
      </c>
      <c r="P82" s="8" t="inlineStr">
        <is>
          <t>Company, Group (collected per legal entity, not below Company level)</t>
        </is>
      </c>
      <c r="Q82" s="8" t="inlineStr">
        <is>
          <t>Global</t>
        </is>
      </c>
      <c r="R82" s="8" t="inlineStr">
        <is>
          <t>Tier 1 (Standard) — available to all frameworks and all customers</t>
        </is>
      </c>
      <c r="S8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3" ht="15" customHeight="1" s="6">
      <c r="A83" s="8" t="inlineStr">
        <is>
          <t>CDE-R082</t>
        </is>
      </c>
      <c r="B83" s="8" t="inlineStr">
        <is>
          <t>System Redundancy/Failover Exists</t>
        </is>
      </c>
      <c r="C83" s="8" t="inlineStr">
        <is>
          <t>Boolean</t>
        </is>
      </c>
      <c r="D83" s="8" t="inlineStr">
        <is>
          <t>Recommended</t>
        </is>
      </c>
      <c r="E83" s="8" t="inlineStr">
        <is>
          <t>Optional</t>
        </is>
      </c>
      <c r="F83" s="8" t="inlineStr">
        <is>
          <t>P2</t>
        </is>
      </c>
      <c r="G83" s="8" t="inlineStr">
        <is>
          <t>True/False/Unknown (tri-state)</t>
        </is>
      </c>
      <c r="H83" s="8" t="inlineStr">
        <is>
          <t>TYPE:BOOLEAN|ALLOWED:TRUE,FALSE,UNKNOWN</t>
        </is>
      </c>
      <c r="I83" s="8" t="inlineStr">
        <is>
          <t>Effective-dated</t>
        </is>
      </c>
      <c r="J83" s="8" t="inlineStr">
        <is>
          <t>One-to-many</t>
        </is>
      </c>
      <c r="K83" s="8" t="inlineStr">
        <is>
          <t>N/A — not a one-to-many numeric field</t>
        </is>
      </c>
      <c r="L83" s="8" t="inlineStr">
        <is>
          <t>User Validation</t>
        </is>
      </c>
      <c r="M83" s="8" t="inlineStr">
        <is>
          <t>CIL Architecture Team</t>
        </is>
      </c>
      <c r="N83" s="8" t="inlineStr">
        <is>
          <t>2026-06-21</t>
        </is>
      </c>
      <c r="O83" s="8" t="inlineStr">
        <is>
          <t>CorpStage CIL Registry v1.0</t>
        </is>
      </c>
      <c r="P83" s="8" t="inlineStr">
        <is>
          <t>Company, Group (collected per legal entity, not below Company level)</t>
        </is>
      </c>
      <c r="Q83" s="8" t="inlineStr">
        <is>
          <t>Global</t>
        </is>
      </c>
      <c r="R83" s="8" t="inlineStr">
        <is>
          <t>Tier 1 (Standard) — available to all frameworks and all customers</t>
        </is>
      </c>
      <c r="S8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4" ht="15" customHeight="1" s="6">
      <c r="A84" s="8" t="inlineStr">
        <is>
          <t>CDE-R083</t>
        </is>
      </c>
      <c r="B84" s="8" t="inlineStr">
        <is>
          <t>System Downtime Historical Frequency (events per year)</t>
        </is>
      </c>
      <c r="C84" s="8" t="inlineStr">
        <is>
          <t>Numeric</t>
        </is>
      </c>
      <c r="D84" s="8" t="inlineStr">
        <is>
          <t>Supplemental</t>
        </is>
      </c>
      <c r="E84" s="8" t="inlineStr">
        <is>
          <t>Optional</t>
        </is>
      </c>
      <c r="F84" s="8" t="inlineStr">
        <is>
          <t>P3</t>
        </is>
      </c>
      <c r="G84" s="8" t="inlineStr">
        <is>
          <t>&gt;=0, numeric</t>
        </is>
      </c>
      <c r="H84" s="8" t="inlineStr">
        <is>
          <t>TYPE:NUMERIC|MIN:0</t>
        </is>
      </c>
      <c r="I84" s="8" t="inlineStr">
        <is>
          <t>Effective-dated</t>
        </is>
      </c>
      <c r="J84" s="8" t="inlineStr">
        <is>
          <t>One-to-many</t>
        </is>
      </c>
      <c r="K84" s="8" t="inlineStr">
        <is>
          <t>Independent per system; SUM across systems gives total downtime event count if reporting aggregate operational risk frequency</t>
        </is>
      </c>
      <c r="L84" s="8" t="inlineStr">
        <is>
          <t>User Validation</t>
        </is>
      </c>
      <c r="M84" s="8" t="inlineStr">
        <is>
          <t>CIL Architecture Team</t>
        </is>
      </c>
      <c r="N84" s="8" t="inlineStr">
        <is>
          <t>2026-06-21</t>
        </is>
      </c>
      <c r="O84" s="8" t="inlineStr">
        <is>
          <t>CorpStage CIL Registry v1.0</t>
        </is>
      </c>
      <c r="P84" s="8" t="inlineStr">
        <is>
          <t>Company, Group (collected per legal entity, not below Company level)</t>
        </is>
      </c>
      <c r="Q84" s="8" t="inlineStr">
        <is>
          <t>Global</t>
        </is>
      </c>
      <c r="R84" s="8" t="inlineStr">
        <is>
          <t>Tier 1 (Standard) — available to all frameworks and all customers</t>
        </is>
      </c>
      <c r="S8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5" ht="15" customHeight="1" s="6">
      <c r="A85" s="8" t="inlineStr">
        <is>
          <t>CDE-R084</t>
        </is>
      </c>
      <c r="B85" s="8" t="inlineStr">
        <is>
          <t>Fraud Risk Assessment Conducted</t>
        </is>
      </c>
      <c r="C85" s="8" t="inlineStr">
        <is>
          <t>Boolean</t>
        </is>
      </c>
      <c r="D85" s="8" t="inlineStr">
        <is>
          <t>Required</t>
        </is>
      </c>
      <c r="E85" s="8" t="inlineStr">
        <is>
          <t>Multi</t>
        </is>
      </c>
      <c r="F85" s="8" t="inlineStr">
        <is>
          <t>P1</t>
        </is>
      </c>
      <c r="G85" s="8" t="inlineStr">
        <is>
          <t>True/False/Unknown (tri-state)</t>
        </is>
      </c>
      <c r="H85" s="8" t="inlineStr">
        <is>
          <t>TYPE:BOOLEAN|ALLOWED:TRUE,FALSE,UNKNOWN</t>
        </is>
      </c>
      <c r="I85" s="8" t="inlineStr">
        <is>
          <t>Effective-dated</t>
        </is>
      </c>
      <c r="J85" s="8" t="inlineStr">
        <is>
          <t>One-to-one</t>
        </is>
      </c>
      <c r="K85" s="8" t="inlineStr">
        <is>
          <t>N/A — not a one-to-many numeric field</t>
        </is>
      </c>
      <c r="L85" s="8" t="inlineStr">
        <is>
          <t>Annual Report / 10-K Filing (SEC EDGAR, Company IR Site)</t>
        </is>
      </c>
      <c r="M85" s="8" t="inlineStr">
        <is>
          <t>CIL Architecture Team</t>
        </is>
      </c>
      <c r="N85" s="8" t="inlineStr">
        <is>
          <t>2026-06-21</t>
        </is>
      </c>
      <c r="O85" s="8" t="inlineStr">
        <is>
          <t>CorpStage CIL Registry v1.0</t>
        </is>
      </c>
      <c r="P85" s="8" t="inlineStr">
        <is>
          <t>Group only (single enterprise-wide fact, does not repeat per node)</t>
        </is>
      </c>
      <c r="Q85" s="8" t="inlineStr">
        <is>
          <t>Global</t>
        </is>
      </c>
      <c r="R85" s="8" t="inlineStr">
        <is>
          <t>Tier 1 (Standard) — available to all frameworks and all customers</t>
        </is>
      </c>
      <c r="S8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6" ht="15" customHeight="1" s="6">
      <c r="A86" s="8" t="inlineStr">
        <is>
          <t>CDE-R085</t>
        </is>
      </c>
      <c r="B86" s="8" t="inlineStr">
        <is>
          <t>Internal Control Material Weakness Identified</t>
        </is>
      </c>
      <c r="C86" s="8" t="inlineStr">
        <is>
          <t>Boolean</t>
        </is>
      </c>
      <c r="D86" s="8" t="inlineStr">
        <is>
          <t>Required</t>
        </is>
      </c>
      <c r="E86" s="8" t="inlineStr">
        <is>
          <t>Universal</t>
        </is>
      </c>
      <c r="F86" s="8" t="inlineStr">
        <is>
          <t>P1</t>
        </is>
      </c>
      <c r="G86" s="8" t="inlineStr">
        <is>
          <t>True/False</t>
        </is>
      </c>
      <c r="H86" s="8" t="inlineStr">
        <is>
          <t>TYPE:BOOLEAN|ALLOWED:TRUE,FALSE</t>
        </is>
      </c>
      <c r="I86" s="8" t="inlineStr">
        <is>
          <t>Effective-dated</t>
        </is>
      </c>
      <c r="J86" s="8" t="inlineStr">
        <is>
          <t>One-to-one</t>
        </is>
      </c>
      <c r="K86" s="8" t="inlineStr">
        <is>
          <t>N/A — not a one-to-many numeric field</t>
        </is>
      </c>
      <c r="L86" s="8" t="inlineStr">
        <is>
          <t>Annual Report / 10-K Filing (SEC EDGAR, Company IR Site)</t>
        </is>
      </c>
      <c r="M86" s="8" t="inlineStr">
        <is>
          <t>CIL Architecture Team</t>
        </is>
      </c>
      <c r="N86" s="8" t="inlineStr">
        <is>
          <t>2026-06-21</t>
        </is>
      </c>
      <c r="O86" s="8" t="inlineStr">
        <is>
          <t>CorpStage CIL Registry v1.0</t>
        </is>
      </c>
      <c r="P86" s="8" t="inlineStr">
        <is>
          <t>Group only (single enterprise-wide fact, does not repeat per node)</t>
        </is>
      </c>
      <c r="Q86" s="8" t="inlineStr">
        <is>
          <t>Global</t>
        </is>
      </c>
      <c r="R86" s="8" t="inlineStr">
        <is>
          <t>Tier 1 (Standard) — available to all frameworks and all customers</t>
        </is>
      </c>
      <c r="S8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7" ht="15" customHeight="1" s="6">
      <c r="A87" s="8" t="inlineStr">
        <is>
          <t>CDE-R086</t>
        </is>
      </c>
      <c r="B87" s="8" t="inlineStr">
        <is>
          <t>Fraud Incident Count (Current Period)</t>
        </is>
      </c>
      <c r="C87" s="8" t="inlineStr">
        <is>
          <t>Numeric</t>
        </is>
      </c>
      <c r="D87" s="8" t="inlineStr">
        <is>
          <t>Recommended</t>
        </is>
      </c>
      <c r="E87" s="8" t="inlineStr">
        <is>
          <t>Optional</t>
        </is>
      </c>
      <c r="F87" s="8" t="inlineStr">
        <is>
          <t>P2</t>
        </is>
      </c>
      <c r="G87" s="8" t="inlineStr">
        <is>
          <t>&gt;=0, integer</t>
        </is>
      </c>
      <c r="H87" s="8" t="inlineStr">
        <is>
          <t>TYPE:INTEGER|MIN:0</t>
        </is>
      </c>
      <c r="I87" s="8" t="inlineStr">
        <is>
          <t>Effective-dated</t>
        </is>
      </c>
      <c r="J87" s="8" t="inlineStr">
        <is>
          <t>One-to-one</t>
        </is>
      </c>
      <c r="K87" s="8" t="inlineStr">
        <is>
          <t>N/A — not a one-to-many numeric field</t>
        </is>
      </c>
      <c r="L87" s="8" t="inlineStr">
        <is>
          <t>Annual Report / 10-K Filing (SEC EDGAR, Company IR Site)</t>
        </is>
      </c>
      <c r="M87" s="8" t="inlineStr">
        <is>
          <t>CIL Architecture Team</t>
        </is>
      </c>
      <c r="N87" s="8" t="inlineStr">
        <is>
          <t>2026-06-21</t>
        </is>
      </c>
      <c r="O87" s="8" t="inlineStr">
        <is>
          <t>CorpStage CIL Registry v1.0</t>
        </is>
      </c>
      <c r="P87" s="8" t="inlineStr">
        <is>
          <t>Group only (single enterprise-wide fact, does not repeat per node)</t>
        </is>
      </c>
      <c r="Q87" s="8" t="inlineStr">
        <is>
          <t>Global</t>
        </is>
      </c>
      <c r="R87" s="8" t="inlineStr">
        <is>
          <t>Tier 1 (Standard) — available to all frameworks and all customers</t>
        </is>
      </c>
      <c r="S8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8" ht="15" customHeight="1" s="6">
      <c r="A88" s="8" t="inlineStr">
        <is>
          <t>CDE-R087</t>
        </is>
      </c>
      <c r="B88" s="8" t="inlineStr">
        <is>
          <t>Operational Risk Event Historical Frequency (per year)</t>
        </is>
      </c>
      <c r="C88" s="8" t="inlineStr">
        <is>
          <t>Numeric</t>
        </is>
      </c>
      <c r="D88" s="8" t="inlineStr">
        <is>
          <t>Recommended</t>
        </is>
      </c>
      <c r="E88" s="8" t="inlineStr">
        <is>
          <t>Optional</t>
        </is>
      </c>
      <c r="F88" s="8" t="inlineStr">
        <is>
          <t>P2</t>
        </is>
      </c>
      <c r="G88" s="8" t="inlineStr">
        <is>
          <t>&gt;=0, numeric</t>
        </is>
      </c>
      <c r="H88" s="8" t="inlineStr">
        <is>
          <t>TYPE:NUMERIC|MIN:0</t>
        </is>
      </c>
      <c r="I88" s="8" t="inlineStr">
        <is>
          <t>Effective-dated</t>
        </is>
      </c>
      <c r="J88" s="8" t="inlineStr">
        <is>
          <t>One-to-one</t>
        </is>
      </c>
      <c r="K88" s="8" t="inlineStr">
        <is>
          <t>N/A — not a one-to-many numeric field</t>
        </is>
      </c>
      <c r="L88" s="8" t="inlineStr">
        <is>
          <t>GRC / Risk Register (ServiceNow Risk, RSA Archer, LogicGate)</t>
        </is>
      </c>
      <c r="M88" s="8" t="inlineStr">
        <is>
          <t>CIL Architecture Team</t>
        </is>
      </c>
      <c r="N88" s="8" t="inlineStr">
        <is>
          <t>2026-06-21</t>
        </is>
      </c>
      <c r="O88" s="8" t="inlineStr">
        <is>
          <t>CorpStage CIL Registry v1.0</t>
        </is>
      </c>
      <c r="P88" s="8" t="inlineStr">
        <is>
          <t>Group only (single enterprise-wide fact, does not repeat per node)</t>
        </is>
      </c>
      <c r="Q88" s="8" t="inlineStr">
        <is>
          <t>Global</t>
        </is>
      </c>
      <c r="R88" s="8" t="inlineStr">
        <is>
          <t>Tier 1 (Standard) — available to all frameworks and all customers</t>
        </is>
      </c>
      <c r="S8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89" ht="15" customHeight="1" s="6">
      <c r="A89" s="8" t="inlineStr">
        <is>
          <t>CDE-R088</t>
        </is>
      </c>
      <c r="B89" s="8" t="inlineStr">
        <is>
          <t>Operational Risk Event Historical Cost (Annual)</t>
        </is>
      </c>
      <c r="C89" s="8" t="inlineStr">
        <is>
          <t>Numeric</t>
        </is>
      </c>
      <c r="D89" s="8" t="inlineStr">
        <is>
          <t>Recommended</t>
        </is>
      </c>
      <c r="E89" s="8" t="inlineStr">
        <is>
          <t>Optional</t>
        </is>
      </c>
      <c r="F89" s="8" t="inlineStr">
        <is>
          <t>P2</t>
        </is>
      </c>
      <c r="G89" s="8" t="inlineStr">
        <is>
          <t>&gt;=0, numeric</t>
        </is>
      </c>
      <c r="H89" s="8" t="inlineStr">
        <is>
          <t>TYPE:NUMERIC|MIN:0</t>
        </is>
      </c>
      <c r="I89" s="8" t="inlineStr">
        <is>
          <t>Effective-dated</t>
        </is>
      </c>
      <c r="J89" s="8" t="inlineStr">
        <is>
          <t>One-to-one</t>
        </is>
      </c>
      <c r="K89" s="8" t="inlineStr">
        <is>
          <t>N/A — not a one-to-many numeric field</t>
        </is>
      </c>
      <c r="L89" s="8" t="inlineStr">
        <is>
          <t>Finance / ERP System (SAP S/4HANA, Oracle Fusion, NetSuite)</t>
        </is>
      </c>
      <c r="M89" s="8" t="inlineStr">
        <is>
          <t>CIL Architecture Team</t>
        </is>
      </c>
      <c r="N89" s="8" t="inlineStr">
        <is>
          <t>2026-06-21</t>
        </is>
      </c>
      <c r="O89" s="8" t="inlineStr">
        <is>
          <t>CorpStage CIL Registry v1.0</t>
        </is>
      </c>
      <c r="P89" s="8" t="inlineStr">
        <is>
          <t>Group only (single enterprise-wide fact, does not repeat per node)</t>
        </is>
      </c>
      <c r="Q89" s="8" t="inlineStr">
        <is>
          <t>Global</t>
        </is>
      </c>
      <c r="R89" s="8" t="inlineStr">
        <is>
          <t>Tier 1 (Standard) — available to all frameworks and all customers</t>
        </is>
      </c>
      <c r="S8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0" ht="15" customHeight="1" s="6">
      <c r="A90" s="8" t="inlineStr">
        <is>
          <t>CDE-R089</t>
        </is>
      </c>
      <c r="B90" s="8" t="inlineStr">
        <is>
          <t>Risk That Could Derail Strategic Plan</t>
        </is>
      </c>
      <c r="C90" s="8" t="inlineStr">
        <is>
          <t>Text</t>
        </is>
      </c>
      <c r="D90" s="8" t="inlineStr">
        <is>
          <t>Required</t>
        </is>
      </c>
      <c r="E90" s="8" t="inlineStr">
        <is>
          <t>Optional</t>
        </is>
      </c>
      <c r="F90" s="8" t="inlineStr">
        <is>
          <t>P1</t>
        </is>
      </c>
      <c r="G90" s="8" t="inlineStr">
        <is>
          <t>Non-empty text</t>
        </is>
      </c>
      <c r="H90" s="8" t="inlineStr">
        <is>
          <t>TYPE:TEXT</t>
        </is>
      </c>
      <c r="I90" s="8" t="inlineStr">
        <is>
          <t>Effective-dated</t>
        </is>
      </c>
      <c r="J90" s="8" t="inlineStr">
        <is>
          <t>One-to-many</t>
        </is>
      </c>
      <c r="K90" s="8" t="inlineStr">
        <is>
          <t>N/A — not a one-to-many numeric field</t>
        </is>
      </c>
      <c r="L90" s="8" t="inlineStr">
        <is>
          <t>GRC / Risk Register (ServiceNow Risk, RSA Archer, LogicGate)</t>
        </is>
      </c>
      <c r="M90" s="8" t="inlineStr">
        <is>
          <t>CIL Architecture Team</t>
        </is>
      </c>
      <c r="N90" s="8" t="inlineStr">
        <is>
          <t>2026-06-21</t>
        </is>
      </c>
      <c r="O90" s="8" t="inlineStr">
        <is>
          <t>CorpStage CIL Registry v1.0</t>
        </is>
      </c>
      <c r="P90" s="8" t="inlineStr">
        <is>
          <t>Company, Group (collected per legal entity, not below Company level)</t>
        </is>
      </c>
      <c r="Q90" s="8" t="inlineStr">
        <is>
          <t>Global</t>
        </is>
      </c>
      <c r="R90" s="8" t="inlineStr">
        <is>
          <t>Tier 1 (Standard) — available to all frameworks and all customers</t>
        </is>
      </c>
      <c r="S90" s="8" t="inlineStr">
        <is>
          <t>Owned by Risk Intelligence per Binding 6(b) — captures the RISK-QUANTIFICATION view (probability/severity/financial exposure) of a threat to strategy, distinct from Domain 2 Strategy Intelligence's CDE-S080/081 (Top Strategic Risk Description/Rank), which capture the same risks from the STRATEGY-FORMATION perspective (how the plan accounts for them). Domain 2 must reference this CDE for quantified exposure figures, not duplicate the quantification.</t>
        </is>
      </c>
    </row>
    <row r="91" ht="15" customHeight="1" s="6">
      <c r="A91" s="8" t="inlineStr">
        <is>
          <t>CDE-R090</t>
        </is>
      </c>
      <c r="B91" s="8" t="inlineStr">
        <is>
          <t>Strategic Risk Probability Score</t>
        </is>
      </c>
      <c r="C91" s="8" t="inlineStr">
        <is>
          <t>Numeric</t>
        </is>
      </c>
      <c r="D91" s="8" t="inlineStr">
        <is>
          <t>Recommended</t>
        </is>
      </c>
      <c r="E91" s="8" t="inlineStr">
        <is>
          <t>Optional</t>
        </is>
      </c>
      <c r="F91" s="8" t="inlineStr">
        <is>
          <t>P2</t>
        </is>
      </c>
      <c r="G91" s="8" t="inlineStr">
        <is>
          <t>0-100, numeric</t>
        </is>
      </c>
      <c r="H91" s="8" t="inlineStr">
        <is>
          <t>TYPE:NUMERIC|MIN:0|MAX:100</t>
        </is>
      </c>
      <c r="I91" s="8" t="inlineStr">
        <is>
          <t>Effective-dated</t>
        </is>
      </c>
      <c r="J91" s="8" t="inlineStr">
        <is>
          <t>One-to-many</t>
        </is>
      </c>
      <c r="K91" s="8" t="inlineStr">
        <is>
          <t>Independent per risk; not aggregated</t>
        </is>
      </c>
      <c r="L91" s="8" t="inlineStr">
        <is>
          <t>GRC / Risk Register (ServiceNow Risk, RSA Archer, LogicGate)</t>
        </is>
      </c>
      <c r="M91" s="8" t="inlineStr">
        <is>
          <t>CIL Architecture Team</t>
        </is>
      </c>
      <c r="N91" s="8" t="inlineStr">
        <is>
          <t>2026-06-21</t>
        </is>
      </c>
      <c r="O91" s="8" t="inlineStr">
        <is>
          <t>CorpStage CIL Registry v1.0</t>
        </is>
      </c>
      <c r="P91" s="8" t="inlineStr">
        <is>
          <t>Company, Group (collected per legal entity, not below Company level)</t>
        </is>
      </c>
      <c r="Q91" s="8" t="inlineStr">
        <is>
          <t>Global</t>
        </is>
      </c>
      <c r="R91" s="8" t="inlineStr">
        <is>
          <t>Tier 1 (Standard) — available to all frameworks and all customers</t>
        </is>
      </c>
      <c r="S91" s="8" t="inlineStr">
        <is>
          <t>Owned by Risk Intelligence per Binding 6(b) — captures the RISK-QUANTIFICATION view (probability/severity/financial exposure) of a threat to strategy, distinct from Domain 2 Strategy Intelligence's CDE-S080/081 (Top Strategic Risk Description/Rank), which capture the same risks from the STRATEGY-FORMATION perspective (how the plan accounts for them). Domain 2 must reference this CDE for quantified exposure figures, not duplicate the quantification.</t>
        </is>
      </c>
    </row>
    <row r="92" ht="15" customHeight="1" s="6">
      <c r="A92" s="8" t="inlineStr">
        <is>
          <t>CDE-R091</t>
        </is>
      </c>
      <c r="B92" s="8" t="inlineStr">
        <is>
          <t>Strategic Risk Financial Exposure</t>
        </is>
      </c>
      <c r="C92" s="8" t="inlineStr">
        <is>
          <t>Numeric</t>
        </is>
      </c>
      <c r="D92" s="8" t="inlineStr">
        <is>
          <t>Recommended</t>
        </is>
      </c>
      <c r="E92" s="8" t="inlineStr">
        <is>
          <t>Optional</t>
        </is>
      </c>
      <c r="F92" s="8" t="inlineStr">
        <is>
          <t>P2</t>
        </is>
      </c>
      <c r="G92" s="8" t="inlineStr">
        <is>
          <t>&gt;=0, numeric</t>
        </is>
      </c>
      <c r="H92" s="8" t="inlineStr">
        <is>
          <t>TYPE:NUMERIC|MIN:0</t>
        </is>
      </c>
      <c r="I92" s="8" t="inlineStr">
        <is>
          <t>Effective-dated</t>
        </is>
      </c>
      <c r="J92" s="8" t="inlineStr">
        <is>
          <t>One-to-many</t>
        </is>
      </c>
      <c r="K92" s="8" t="inlineStr">
        <is>
          <t>SUM gives aggregate strategic risk exposure if reporting total</t>
        </is>
      </c>
      <c r="L92" s="8" t="inlineStr">
        <is>
          <t>GRC / Risk Register (ServiceNow Risk, RSA Archer, LogicGate)</t>
        </is>
      </c>
      <c r="M92" s="8" t="inlineStr">
        <is>
          <t>CIL Architecture Team</t>
        </is>
      </c>
      <c r="N92" s="8" t="inlineStr">
        <is>
          <t>2026-06-21</t>
        </is>
      </c>
      <c r="O92" s="8" t="inlineStr">
        <is>
          <t>CorpStage CIL Registry v1.0</t>
        </is>
      </c>
      <c r="P92" s="8" t="inlineStr">
        <is>
          <t>Company, Group (collected per legal entity, not below Company level)</t>
        </is>
      </c>
      <c r="Q92" s="8" t="inlineStr">
        <is>
          <t>Global</t>
        </is>
      </c>
      <c r="R92" s="8" t="inlineStr">
        <is>
          <t>Tier 1 (Standard) — available to all frameworks and all customers</t>
        </is>
      </c>
      <c r="S92" s="8" t="inlineStr">
        <is>
          <t>Owned by Risk Intelligence per Binding 6(b) — captures the RISK-QUANTIFICATION view (probability/severity/financial exposure) of a threat to strategy, distinct from Domain 2 Strategy Intelligence's CDE-S080/081 (Top Strategic Risk Description/Rank), which capture the same risks from the STRATEGY-FORMATION perspective (how the plan accounts for them). Domain 2 must reference this CDE for quantified exposure figures, not duplicate the quantification.</t>
        </is>
      </c>
    </row>
    <row r="93" ht="15" customHeight="1" s="6">
      <c r="A93" s="8" t="inlineStr">
        <is>
          <t>CDE-R092</t>
        </is>
      </c>
      <c r="B93" s="8" t="inlineStr">
        <is>
          <t>Reputational Risk Identified</t>
        </is>
      </c>
      <c r="C93" s="8" t="inlineStr">
        <is>
          <t>Text</t>
        </is>
      </c>
      <c r="D93" s="8" t="inlineStr">
        <is>
          <t>Required</t>
        </is>
      </c>
      <c r="E93" s="8" t="inlineStr">
        <is>
          <t>Optional</t>
        </is>
      </c>
      <c r="F93" s="8" t="inlineStr">
        <is>
          <t>P1</t>
        </is>
      </c>
      <c r="G93" s="8" t="inlineStr">
        <is>
          <t>Non-empty text</t>
        </is>
      </c>
      <c r="H93" s="8" t="inlineStr">
        <is>
          <t>TYPE:TEXT</t>
        </is>
      </c>
      <c r="I93" s="8" t="inlineStr">
        <is>
          <t>Effective-dated</t>
        </is>
      </c>
      <c r="J93" s="8" t="inlineStr">
        <is>
          <t>One-to-many</t>
        </is>
      </c>
      <c r="K93" s="8" t="inlineStr">
        <is>
          <t>N/A — not a one-to-many numeric field</t>
        </is>
      </c>
      <c r="L93" s="8" t="inlineStr">
        <is>
          <t>GRC / Risk Register (ServiceNow Risk, RSA Archer, LogicGate)</t>
        </is>
      </c>
      <c r="M93" s="8" t="inlineStr">
        <is>
          <t>CIL Architecture Team</t>
        </is>
      </c>
      <c r="N93" s="8" t="inlineStr">
        <is>
          <t>2026-06-21</t>
        </is>
      </c>
      <c r="O93" s="8" t="inlineStr">
        <is>
          <t>CorpStage CIL Registry v1.0</t>
        </is>
      </c>
      <c r="P93" s="8" t="inlineStr">
        <is>
          <t>Company, Group (collected per legal entity, not below Company level)</t>
        </is>
      </c>
      <c r="Q93" s="8" t="inlineStr">
        <is>
          <t>Global</t>
        </is>
      </c>
      <c r="R93" s="8" t="inlineStr">
        <is>
          <t>Tier 1 (Standard) — available to all frameworks and all customers</t>
        </is>
      </c>
      <c r="S9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4" ht="15" customHeight="1" s="6">
      <c r="A94" s="8" t="inlineStr">
        <is>
          <t>CDE-R093</t>
        </is>
      </c>
      <c r="B94" s="8" t="inlineStr">
        <is>
          <t>Reputational Risk Escalation Velocity Rating</t>
        </is>
      </c>
      <c r="C94" s="8" t="inlineStr">
        <is>
          <t>Text</t>
        </is>
      </c>
      <c r="D94" s="8" t="inlineStr">
        <is>
          <t>Recommended</t>
        </is>
      </c>
      <c r="E94" s="8" t="inlineStr">
        <is>
          <t>Optional</t>
        </is>
      </c>
      <c r="F94" s="8" t="inlineStr">
        <is>
          <t>P2</t>
        </is>
      </c>
      <c r="G94" s="8" t="inlineStr">
        <is>
          <t>Fast (hours-days)/Moderate (weeks)/Slow (months)</t>
        </is>
      </c>
      <c r="H94" s="8" t="inlineStr">
        <is>
          <t>TYPE:ENUM|ALLOWED:FAST,MODERATE,SLOW</t>
        </is>
      </c>
      <c r="I94" s="8" t="inlineStr">
        <is>
          <t>Point-in-time</t>
        </is>
      </c>
      <c r="J94" s="8" t="inlineStr">
        <is>
          <t>One-to-many</t>
        </is>
      </c>
      <c r="K94" s="8" t="inlineStr">
        <is>
          <t>N/A — not a one-to-many numeric field</t>
        </is>
      </c>
      <c r="L94" s="8" t="inlineStr">
        <is>
          <t>User Validation</t>
        </is>
      </c>
      <c r="M94" s="8" t="inlineStr">
        <is>
          <t>CIL Architecture Team</t>
        </is>
      </c>
      <c r="N94" s="8" t="inlineStr">
        <is>
          <t>2026-06-21</t>
        </is>
      </c>
      <c r="O94" s="8" t="inlineStr">
        <is>
          <t>CorpStage CIL Registry v1.0</t>
        </is>
      </c>
      <c r="P94" s="8" t="inlineStr">
        <is>
          <t>Company, Group (collected per legal entity, not below Company level)</t>
        </is>
      </c>
      <c r="Q94" s="8" t="inlineStr">
        <is>
          <t>Global</t>
        </is>
      </c>
      <c r="R94" s="8" t="inlineStr">
        <is>
          <t>Tier 1 (Standard) — available to all frameworks and all customers</t>
        </is>
      </c>
      <c r="S9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5" ht="15" customHeight="1" s="6">
      <c r="A95" s="8" t="inlineStr">
        <is>
          <t>CDE-R094</t>
        </is>
      </c>
      <c r="B95" s="8" t="inlineStr">
        <is>
          <t>Reputational Risk Monitoring Mechanism (e.g. social listening)</t>
        </is>
      </c>
      <c r="C95" s="8" t="inlineStr">
        <is>
          <t>Boolean</t>
        </is>
      </c>
      <c r="D95" s="8" t="inlineStr">
        <is>
          <t>Supplemental</t>
        </is>
      </c>
      <c r="E95" s="8" t="inlineStr">
        <is>
          <t>Optional</t>
        </is>
      </c>
      <c r="F95" s="8" t="inlineStr">
        <is>
          <t>P3</t>
        </is>
      </c>
      <c r="G95" s="8" t="inlineStr">
        <is>
          <t>True/False/Unknown (tri-state)</t>
        </is>
      </c>
      <c r="H95" s="8" t="inlineStr">
        <is>
          <t>TYPE:BOOLEAN|ALLOWED:TRUE,FALSE,UNKNOWN</t>
        </is>
      </c>
      <c r="I95" s="8" t="inlineStr">
        <is>
          <t>Effective-dated</t>
        </is>
      </c>
      <c r="J95" s="8" t="inlineStr">
        <is>
          <t>One-to-one</t>
        </is>
      </c>
      <c r="K95" s="8" t="inlineStr">
        <is>
          <t>N/A — not a one-to-many numeric field</t>
        </is>
      </c>
      <c r="L95" s="8" t="inlineStr">
        <is>
          <t>User Validation</t>
        </is>
      </c>
      <c r="M95" s="8" t="inlineStr">
        <is>
          <t>CIL Architecture Team</t>
        </is>
      </c>
      <c r="N95" s="8" t="inlineStr">
        <is>
          <t>2026-06-21</t>
        </is>
      </c>
      <c r="O95" s="8" t="inlineStr">
        <is>
          <t>CorpStage CIL Registry v1.0</t>
        </is>
      </c>
      <c r="P95" s="8" t="inlineStr">
        <is>
          <t>Group only (single enterprise-wide fact, does not repeat per node)</t>
        </is>
      </c>
      <c r="Q95" s="8" t="inlineStr">
        <is>
          <t>Global</t>
        </is>
      </c>
      <c r="R95" s="8" t="inlineStr">
        <is>
          <t>Tier 1 (Standard) — available to all frameworks and all customers</t>
        </is>
      </c>
      <c r="S9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6" ht="15" customHeight="1" s="6">
      <c r="A96" s="8" t="inlineStr">
        <is>
          <t>CDE-R095</t>
        </is>
      </c>
      <c r="B96" s="8" t="inlineStr">
        <is>
          <t>Material Litigation Risk Identified</t>
        </is>
      </c>
      <c r="C96" s="8" t="inlineStr">
        <is>
          <t>Text</t>
        </is>
      </c>
      <c r="D96" s="8" t="inlineStr">
        <is>
          <t>Required</t>
        </is>
      </c>
      <c r="E96" s="8" t="inlineStr">
        <is>
          <t>Optional</t>
        </is>
      </c>
      <c r="F96" s="8" t="inlineStr">
        <is>
          <t>P1</t>
        </is>
      </c>
      <c r="G96" s="8" t="inlineStr">
        <is>
          <t>Non-empty text</t>
        </is>
      </c>
      <c r="H96" s="8" t="inlineStr">
        <is>
          <t>TYPE:TEXT</t>
        </is>
      </c>
      <c r="I96" s="8" t="inlineStr">
        <is>
          <t>Effective-dated</t>
        </is>
      </c>
      <c r="J96" s="8" t="inlineStr">
        <is>
          <t>One-to-many</t>
        </is>
      </c>
      <c r="K96" s="8" t="inlineStr">
        <is>
          <t>N/A — not a one-to-many numeric field</t>
        </is>
      </c>
      <c r="L96" s="8" t="inlineStr">
        <is>
          <t>Annual Report / 10-K Filing (SEC EDGAR, Company IR Site)</t>
        </is>
      </c>
      <c r="M96" s="8" t="inlineStr">
        <is>
          <t>CIL Architecture Team</t>
        </is>
      </c>
      <c r="N96" s="8" t="inlineStr">
        <is>
          <t>2026-06-21</t>
        </is>
      </c>
      <c r="O96" s="8" t="inlineStr">
        <is>
          <t>CorpStage CIL Registry v1.0</t>
        </is>
      </c>
      <c r="P96" s="8" t="inlineStr">
        <is>
          <t>Company, Group (collected per legal entity, not below Company level)</t>
        </is>
      </c>
      <c r="Q96" s="8" t="inlineStr">
        <is>
          <t>Global</t>
        </is>
      </c>
      <c r="R96" s="8" t="inlineStr">
        <is>
          <t>Tier 1 (Standard) — available to all frameworks and all customers</t>
        </is>
      </c>
      <c r="S9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7" ht="15" customHeight="1" s="6">
      <c r="A97" s="8" t="inlineStr">
        <is>
          <t>CDE-R096</t>
        </is>
      </c>
      <c r="B97" s="8" t="inlineStr">
        <is>
          <t>Litigation Risk Estimated Financial Exposure</t>
        </is>
      </c>
      <c r="C97" s="8" t="inlineStr">
        <is>
          <t>Numeric</t>
        </is>
      </c>
      <c r="D97" s="8" t="inlineStr">
        <is>
          <t>Recommended</t>
        </is>
      </c>
      <c r="E97" s="8" t="inlineStr">
        <is>
          <t>Optional</t>
        </is>
      </c>
      <c r="F97" s="8" t="inlineStr">
        <is>
          <t>P2</t>
        </is>
      </c>
      <c r="G97" s="8" t="inlineStr">
        <is>
          <t>&gt;=0, numeric</t>
        </is>
      </c>
      <c r="H97" s="8" t="inlineStr">
        <is>
          <t>TYPE:NUMERIC|MIN:0</t>
        </is>
      </c>
      <c r="I97" s="8" t="inlineStr">
        <is>
          <t>Effective-dated</t>
        </is>
      </c>
      <c r="J97" s="8" t="inlineStr">
        <is>
          <t>One-to-many</t>
        </is>
      </c>
      <c r="K97" s="8" t="inlineStr">
        <is>
          <t>Independent per case; not aggregated unless reporting total contingent liability</t>
        </is>
      </c>
      <c r="L97" s="8" t="inlineStr">
        <is>
          <t>Annual Report / 10-K Filing (SEC EDGAR, Company IR Site)</t>
        </is>
      </c>
      <c r="M97" s="8" t="inlineStr">
        <is>
          <t>CIL Architecture Team</t>
        </is>
      </c>
      <c r="N97" s="8" t="inlineStr">
        <is>
          <t>2026-06-21</t>
        </is>
      </c>
      <c r="O97" s="8" t="inlineStr">
        <is>
          <t>CorpStage CIL Registry v1.0</t>
        </is>
      </c>
      <c r="P97" s="8" t="inlineStr">
        <is>
          <t>Company, Group (collected per legal entity, not below Company level)</t>
        </is>
      </c>
      <c r="Q97" s="8" t="inlineStr">
        <is>
          <t>Global</t>
        </is>
      </c>
      <c r="R97" s="8" t="inlineStr">
        <is>
          <t>Tier 1 (Standard) — available to all frameworks and all customers</t>
        </is>
      </c>
      <c r="S9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8" ht="15" customHeight="1" s="6">
      <c r="A98" s="8" t="inlineStr">
        <is>
          <t>CDE-R097</t>
        </is>
      </c>
      <c r="B98" s="8" t="inlineStr">
        <is>
          <t>Litigation Risk Could Affect Strategic Execution</t>
        </is>
      </c>
      <c r="C98" s="8" t="inlineStr">
        <is>
          <t>Boolean</t>
        </is>
      </c>
      <c r="D98" s="8" t="inlineStr">
        <is>
          <t>Recommended</t>
        </is>
      </c>
      <c r="E98" s="8" t="inlineStr">
        <is>
          <t>Optional</t>
        </is>
      </c>
      <c r="F98" s="8" t="inlineStr">
        <is>
          <t>P2</t>
        </is>
      </c>
      <c r="G98" s="8" t="inlineStr">
        <is>
          <t>True/False/Unknown (tri-state)</t>
        </is>
      </c>
      <c r="H98" s="8" t="inlineStr">
        <is>
          <t>TYPE:BOOLEAN|ALLOWED:TRUE,FALSE,UNKNOWN</t>
        </is>
      </c>
      <c r="I98" s="8" t="inlineStr">
        <is>
          <t>Point-in-time</t>
        </is>
      </c>
      <c r="J98" s="8" t="inlineStr">
        <is>
          <t>One-to-many</t>
        </is>
      </c>
      <c r="K98" s="8" t="inlineStr">
        <is>
          <t>N/A — not a one-to-many numeric field</t>
        </is>
      </c>
      <c r="L98" s="8" t="inlineStr">
        <is>
          <t>User Validation</t>
        </is>
      </c>
      <c r="M98" s="8" t="inlineStr">
        <is>
          <t>CIL Architecture Team</t>
        </is>
      </c>
      <c r="N98" s="8" t="inlineStr">
        <is>
          <t>2026-06-21</t>
        </is>
      </c>
      <c r="O98" s="8" t="inlineStr">
        <is>
          <t>CorpStage CIL Registry v1.0</t>
        </is>
      </c>
      <c r="P98" s="8" t="inlineStr">
        <is>
          <t>Company, Group (collected per legal entity, not below Company level)</t>
        </is>
      </c>
      <c r="Q98" s="8" t="inlineStr">
        <is>
          <t>Global</t>
        </is>
      </c>
      <c r="R98" s="8" t="inlineStr">
        <is>
          <t>Tier 1 (Standard) — available to all frameworks and all customers</t>
        </is>
      </c>
      <c r="S9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99" ht="15" customHeight="1" s="6">
      <c r="A99" s="8" t="inlineStr">
        <is>
          <t>CDE-R098</t>
        </is>
      </c>
      <c r="B99" s="8" t="inlineStr">
        <is>
          <t>Competitive Disruption Risk Identified</t>
        </is>
      </c>
      <c r="C99" s="8" t="inlineStr">
        <is>
          <t>Text</t>
        </is>
      </c>
      <c r="D99" s="8" t="inlineStr">
        <is>
          <t>Required</t>
        </is>
      </c>
      <c r="E99" s="8" t="inlineStr">
        <is>
          <t>Optional</t>
        </is>
      </c>
      <c r="F99" s="8" t="inlineStr">
        <is>
          <t>P1</t>
        </is>
      </c>
      <c r="G99" s="8" t="inlineStr">
        <is>
          <t>Non-empty text</t>
        </is>
      </c>
      <c r="H99" s="8" t="inlineStr">
        <is>
          <t>TYPE:TEXT</t>
        </is>
      </c>
      <c r="I99" s="8" t="inlineStr">
        <is>
          <t>Effective-dated</t>
        </is>
      </c>
      <c r="J99" s="8" t="inlineStr">
        <is>
          <t>One-to-many</t>
        </is>
      </c>
      <c r="K99" s="8" t="inlineStr">
        <is>
          <t>N/A — not a one-to-many numeric field</t>
        </is>
      </c>
      <c r="L99" s="8" t="inlineStr">
        <is>
          <t>GRC / Risk Register (ServiceNow Risk, RSA Archer, LogicGate)</t>
        </is>
      </c>
      <c r="M99" s="8" t="inlineStr">
        <is>
          <t>CIL Architecture Team</t>
        </is>
      </c>
      <c r="N99" s="8" t="inlineStr">
        <is>
          <t>2026-06-21</t>
        </is>
      </c>
      <c r="O99" s="8" t="inlineStr">
        <is>
          <t>CorpStage CIL Registry v1.0</t>
        </is>
      </c>
      <c r="P99" s="8" t="inlineStr">
        <is>
          <t>Company, Group (collected per legal entity, not below Company level)</t>
        </is>
      </c>
      <c r="Q99" s="8" t="inlineStr">
        <is>
          <t>Global</t>
        </is>
      </c>
      <c r="R99" s="8" t="inlineStr">
        <is>
          <t>Tier 1 (Standard) — available to all frameworks and all customers</t>
        </is>
      </c>
      <c r="S9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0" ht="15" customHeight="1" s="6">
      <c r="A100" s="8" t="inlineStr">
        <is>
          <t>CDE-R099</t>
        </is>
      </c>
      <c r="B100" s="8" t="inlineStr">
        <is>
          <t>Disruption Risk Time Horizon</t>
        </is>
      </c>
      <c r="C100" s="8" t="inlineStr">
        <is>
          <t>Text</t>
        </is>
      </c>
      <c r="D100" s="8" t="inlineStr">
        <is>
          <t>Recommended</t>
        </is>
      </c>
      <c r="E100" s="8" t="inlineStr">
        <is>
          <t>Optional</t>
        </is>
      </c>
      <c r="F100" s="8" t="inlineStr">
        <is>
          <t>P2</t>
        </is>
      </c>
      <c r="G100" s="8" t="inlineStr">
        <is>
          <t>Immediate/Near-Term/Long-Term</t>
        </is>
      </c>
      <c r="H100" s="8" t="inlineStr">
        <is>
          <t>TYPE:ENUM|ALLOWED:IMMEDIATE,NEAR_TERM,LONG_TERM</t>
        </is>
      </c>
      <c r="I100" s="8" t="inlineStr">
        <is>
          <t>Point-in-time</t>
        </is>
      </c>
      <c r="J100" s="8" t="inlineStr">
        <is>
          <t>One-to-many</t>
        </is>
      </c>
      <c r="K100" s="8" t="inlineStr">
        <is>
          <t>N/A — not a one-to-many numeric field</t>
        </is>
      </c>
      <c r="L100" s="8" t="inlineStr">
        <is>
          <t>User Validation</t>
        </is>
      </c>
      <c r="M100" s="8" t="inlineStr">
        <is>
          <t>CIL Architecture Team</t>
        </is>
      </c>
      <c r="N100" s="8" t="inlineStr">
        <is>
          <t>2026-06-21</t>
        </is>
      </c>
      <c r="O100" s="8" t="inlineStr">
        <is>
          <t>CorpStage CIL Registry v1.0</t>
        </is>
      </c>
      <c r="P100" s="8" t="inlineStr">
        <is>
          <t>Company, Group (collected per legal entity, not below Company level)</t>
        </is>
      </c>
      <c r="Q100" s="8" t="inlineStr">
        <is>
          <t>Global</t>
        </is>
      </c>
      <c r="R100" s="8" t="inlineStr">
        <is>
          <t>Tier 1 (Standard) — available to all frameworks and all customers</t>
        </is>
      </c>
      <c r="S10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1" ht="15" customHeight="1" s="6">
      <c r="A101" s="8" t="inlineStr">
        <is>
          <t>CDE-R100</t>
        </is>
      </c>
      <c r="B101" s="8" t="inlineStr">
        <is>
          <t>Technology Obsolescence Risk Identified</t>
        </is>
      </c>
      <c r="C101" s="8" t="inlineStr">
        <is>
          <t>Text</t>
        </is>
      </c>
      <c r="D101" s="8" t="inlineStr">
        <is>
          <t>Required</t>
        </is>
      </c>
      <c r="E101" s="8" t="inlineStr">
        <is>
          <t>Optional</t>
        </is>
      </c>
      <c r="F101" s="8" t="inlineStr">
        <is>
          <t>P1</t>
        </is>
      </c>
      <c r="G101" s="8" t="inlineStr">
        <is>
          <t>Non-empty text</t>
        </is>
      </c>
      <c r="H101" s="8" t="inlineStr">
        <is>
          <t>TYPE:TEXT</t>
        </is>
      </c>
      <c r="I101" s="8" t="inlineStr">
        <is>
          <t>Effective-dated</t>
        </is>
      </c>
      <c r="J101" s="8" t="inlineStr">
        <is>
          <t>One-to-many</t>
        </is>
      </c>
      <c r="K101" s="8" t="inlineStr">
        <is>
          <t>N/A — not a one-to-many numeric field</t>
        </is>
      </c>
      <c r="L101" s="8" t="inlineStr">
        <is>
          <t>GRC / Risk Register (ServiceNow Risk, RSA Archer, LogicGate)</t>
        </is>
      </c>
      <c r="M101" s="8" t="inlineStr">
        <is>
          <t>CIL Architecture Team</t>
        </is>
      </c>
      <c r="N101" s="8" t="inlineStr">
        <is>
          <t>2026-06-21</t>
        </is>
      </c>
      <c r="O101" s="8" t="inlineStr">
        <is>
          <t>CorpStage CIL Registry v1.0</t>
        </is>
      </c>
      <c r="P101" s="8" t="inlineStr">
        <is>
          <t>Company, Group (collected per legal entity, not below Company level)</t>
        </is>
      </c>
      <c r="Q101" s="8" t="inlineStr">
        <is>
          <t>Global</t>
        </is>
      </c>
      <c r="R101" s="8" t="inlineStr">
        <is>
          <t>Tier 1 (Standard) — available to all frameworks and all customers</t>
        </is>
      </c>
      <c r="S10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2" ht="15" customHeight="1" s="6">
      <c r="A102" s="8" t="inlineStr">
        <is>
          <t>CDE-R101</t>
        </is>
      </c>
      <c r="B102" s="8" t="inlineStr">
        <is>
          <t>Obsolescence Risk Estimated Impact on Business Model</t>
        </is>
      </c>
      <c r="C102" s="8" t="inlineStr">
        <is>
          <t>Text</t>
        </is>
      </c>
      <c r="D102" s="8" t="inlineStr">
        <is>
          <t>Recommended</t>
        </is>
      </c>
      <c r="E102" s="8" t="inlineStr">
        <is>
          <t>Optional</t>
        </is>
      </c>
      <c r="F102" s="8" t="inlineStr">
        <is>
          <t>P2</t>
        </is>
      </c>
      <c r="G102" s="8" t="inlineStr">
        <is>
          <t>High/Medium/Low</t>
        </is>
      </c>
      <c r="H102" s="8" t="inlineStr">
        <is>
          <t>TYPE:ENUM|ALLOWED:HIGH,MEDIUM,LOW</t>
        </is>
      </c>
      <c r="I102" s="8" t="inlineStr">
        <is>
          <t>Point-in-time</t>
        </is>
      </c>
      <c r="J102" s="8" t="inlineStr">
        <is>
          <t>One-to-many</t>
        </is>
      </c>
      <c r="K102" s="8" t="inlineStr">
        <is>
          <t>N/A — not a one-to-many numeric field</t>
        </is>
      </c>
      <c r="L102" s="8" t="inlineStr">
        <is>
          <t>User Validation</t>
        </is>
      </c>
      <c r="M102" s="8" t="inlineStr">
        <is>
          <t>CIL Architecture Team</t>
        </is>
      </c>
      <c r="N102" s="8" t="inlineStr">
        <is>
          <t>2026-06-21</t>
        </is>
      </c>
      <c r="O102" s="8" t="inlineStr">
        <is>
          <t>CorpStage CIL Registry v1.0</t>
        </is>
      </c>
      <c r="P102" s="8" t="inlineStr">
        <is>
          <t>Company, Group (collected per legal entity, not below Company level)</t>
        </is>
      </c>
      <c r="Q102" s="8" t="inlineStr">
        <is>
          <t>Global</t>
        </is>
      </c>
      <c r="R102" s="8" t="inlineStr">
        <is>
          <t>Tier 1 (Standard) — available to all frameworks and all customers</t>
        </is>
      </c>
      <c r="S10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3" ht="15" customHeight="1" s="6">
      <c r="A103" s="8" t="inlineStr">
        <is>
          <t>CDE-R102</t>
        </is>
      </c>
      <c r="B103" s="8" t="inlineStr">
        <is>
          <t>Country Concentration Risk Identified</t>
        </is>
      </c>
      <c r="C103" s="8" t="inlineStr">
        <is>
          <t>Boolean</t>
        </is>
      </c>
      <c r="D103" s="8" t="inlineStr">
        <is>
          <t>Required</t>
        </is>
      </c>
      <c r="E103" s="8" t="inlineStr">
        <is>
          <t>Multi</t>
        </is>
      </c>
      <c r="F103" s="8" t="inlineStr">
        <is>
          <t>P1</t>
        </is>
      </c>
      <c r="G103" s="8" t="inlineStr">
        <is>
          <t>True/False/Unknown (tri-state)</t>
        </is>
      </c>
      <c r="H103" s="8" t="inlineStr">
        <is>
          <t>TYPE:BOOLEAN|ALLOWED:TRUE,FALSE,UNKNOWN</t>
        </is>
      </c>
      <c r="I103" s="8" t="inlineStr">
        <is>
          <t>Effective-dated</t>
        </is>
      </c>
      <c r="J103" s="8" t="inlineStr">
        <is>
          <t>One-to-one</t>
        </is>
      </c>
      <c r="K103" s="8" t="inlineStr">
        <is>
          <t>N/A — not a one-to-many numeric field</t>
        </is>
      </c>
      <c r="L103" s="8" t="inlineStr">
        <is>
          <t>Annual Report / 10-K Filing (SEC EDGAR, Company IR Site)</t>
        </is>
      </c>
      <c r="M103" s="8" t="inlineStr">
        <is>
          <t>CIL Architecture Team</t>
        </is>
      </c>
      <c r="N103" s="8" t="inlineStr">
        <is>
          <t>2026-06-21</t>
        </is>
      </c>
      <c r="O103" s="8" t="inlineStr">
        <is>
          <t>CorpStage CIL Registry v1.0</t>
        </is>
      </c>
      <c r="P103" s="8" t="inlineStr">
        <is>
          <t>Group only (single enterprise-wide fact, does not repeat per node)</t>
        </is>
      </c>
      <c r="Q103" s="8" t="inlineStr">
        <is>
          <t>Global</t>
        </is>
      </c>
      <c r="R103" s="8" t="inlineStr">
        <is>
          <t>Tier 1 (Standard) — available to all frameworks and all customers</t>
        </is>
      </c>
      <c r="S103" s="8" t="inlineStr">
        <is>
          <t>Owned by Risk Intelligence per Binding 6(b) — captures the RISK-QUANTIFICATION view, distinct from Domain 2 Strategy Intelligence's CDE-S319/322 (strategic dependency/exit DECISION facts) and Domain 1 Enterprise Intelligence's CDE-100/101 (historical revenue facts). Domain 2 and Domain 1 must reference this CDE for the probability/severity quantification, not duplicate it.</t>
        </is>
      </c>
    </row>
    <row r="104" ht="15" customHeight="1" s="6">
      <c r="A104" s="8" t="inlineStr">
        <is>
          <t>CDE-R103</t>
        </is>
      </c>
      <c r="B104" s="8" t="inlineStr">
        <is>
          <t>Country Concentration Risk Severity Rating</t>
        </is>
      </c>
      <c r="C104" s="8" t="inlineStr">
        <is>
          <t>Text</t>
        </is>
      </c>
      <c r="D104" s="8" t="inlineStr">
        <is>
          <t>Recommended</t>
        </is>
      </c>
      <c r="E104" s="8" t="inlineStr">
        <is>
          <t>Optional</t>
        </is>
      </c>
      <c r="F104" s="8" t="inlineStr">
        <is>
          <t>P2</t>
        </is>
      </c>
      <c r="G104" s="8" t="inlineStr">
        <is>
          <t>High/Medium/Low</t>
        </is>
      </c>
      <c r="H104" s="8" t="inlineStr">
        <is>
          <t>TYPE:ENUM|ALLOWED:HIGH,MEDIUM,LOW</t>
        </is>
      </c>
      <c r="I104" s="8" t="inlineStr">
        <is>
          <t>Effective-dated</t>
        </is>
      </c>
      <c r="J104" s="8" t="inlineStr">
        <is>
          <t>One-to-one</t>
        </is>
      </c>
      <c r="K104" s="8" t="inlineStr">
        <is>
          <t>N/A — not a one-to-many numeric field</t>
        </is>
      </c>
      <c r="L104" s="8" t="inlineStr">
        <is>
          <t>GRC / Risk Register (ServiceNow Risk, RSA Archer, LogicGate)</t>
        </is>
      </c>
      <c r="M104" s="8" t="inlineStr">
        <is>
          <t>CIL Architecture Team</t>
        </is>
      </c>
      <c r="N104" s="8" t="inlineStr">
        <is>
          <t>2026-06-21</t>
        </is>
      </c>
      <c r="O104" s="8" t="inlineStr">
        <is>
          <t>CorpStage CIL Registry v1.0</t>
        </is>
      </c>
      <c r="P104" s="8" t="inlineStr">
        <is>
          <t>Group only (single enterprise-wide fact, does not repeat per node)</t>
        </is>
      </c>
      <c r="Q104" s="8" t="inlineStr">
        <is>
          <t>Global</t>
        </is>
      </c>
      <c r="R104" s="8" t="inlineStr">
        <is>
          <t>Tier 1 (Standard) — available to all frameworks and all customers</t>
        </is>
      </c>
      <c r="S104" s="8" t="inlineStr">
        <is>
          <t>Owned by Risk Intelligence per Binding 6(b) — captures the RISK-QUANTIFICATION view, distinct from Domain 2 Strategy Intelligence's CDE-S319/322 (strategic dependency/exit DECISION facts) and Domain 1 Enterprise Intelligence's CDE-100/101 (historical revenue facts). Domain 2 and Domain 1 must reference this CDE for the probability/severity quantification, not duplicate it.</t>
        </is>
      </c>
    </row>
    <row r="105" ht="15" customHeight="1" s="6">
      <c r="A105" s="8" t="inlineStr">
        <is>
          <t>CDE-R104</t>
        </is>
      </c>
      <c r="B105" s="8" t="inlineStr">
        <is>
          <t>Country with Highest Concentration Risk</t>
        </is>
      </c>
      <c r="C105" s="8" t="inlineStr">
        <is>
          <t>Text</t>
        </is>
      </c>
      <c r="D105" s="8" t="inlineStr">
        <is>
          <t>Recommended</t>
        </is>
      </c>
      <c r="E105" s="8" t="inlineStr">
        <is>
          <t>Optional</t>
        </is>
      </c>
      <c r="F105" s="8" t="inlineStr">
        <is>
          <t>P2</t>
        </is>
      </c>
      <c r="G105" s="8" t="inlineStr">
        <is>
          <t>Non-empty text</t>
        </is>
      </c>
      <c r="H105" s="8" t="inlineStr">
        <is>
          <t>TYPE:TEXT</t>
        </is>
      </c>
      <c r="I105" s="8" t="inlineStr">
        <is>
          <t>Point-in-time</t>
        </is>
      </c>
      <c r="J105" s="8" t="inlineStr">
        <is>
          <t>One-to-one</t>
        </is>
      </c>
      <c r="K105" s="8" t="inlineStr">
        <is>
          <t>N/A — not a one-to-many numeric field</t>
        </is>
      </c>
      <c r="L105" s="8" t="inlineStr">
        <is>
          <t>Annual Report / 10-K Filing (SEC EDGAR, Company IR Site)</t>
        </is>
      </c>
      <c r="M105" s="8" t="inlineStr">
        <is>
          <t>CIL Architecture Team</t>
        </is>
      </c>
      <c r="N105" s="8" t="inlineStr">
        <is>
          <t>2026-06-21</t>
        </is>
      </c>
      <c r="O105" s="8" t="inlineStr">
        <is>
          <t>CorpStage CIL Registry v1.0</t>
        </is>
      </c>
      <c r="P105" s="8" t="inlineStr">
        <is>
          <t>Group only (single enterprise-wide fact, does not repeat per node)</t>
        </is>
      </c>
      <c r="Q105" s="8" t="inlineStr">
        <is>
          <t>Global</t>
        </is>
      </c>
      <c r="R105" s="8" t="inlineStr">
        <is>
          <t>Tier 1 (Standard) — available to all frameworks and all customers</t>
        </is>
      </c>
      <c r="S105" s="8" t="inlineStr">
        <is>
          <t>Owned by Risk Intelligence per Binding 6(b) — captures the RISK-QUANTIFICATION view, distinct from Domain 2 Strategy Intelligence's CDE-S319/322 (strategic dependency/exit DECISION facts) and Domain 1 Enterprise Intelligence's CDE-100/101 (historical revenue facts). Domain 2 and Domain 1 must reference this CDE for the probability/severity quantification, not duplicate it.</t>
        </is>
      </c>
    </row>
    <row r="106" ht="15" customHeight="1" s="6">
      <c r="A106" s="8" t="inlineStr">
        <is>
          <t>CDE-R105</t>
        </is>
      </c>
      <c r="B106" s="8" t="inlineStr">
        <is>
          <t>Trade-War Tariff Exposure Identified</t>
        </is>
      </c>
      <c r="C106" s="8" t="inlineStr">
        <is>
          <t>Boolean</t>
        </is>
      </c>
      <c r="D106" s="8" t="inlineStr">
        <is>
          <t>Required</t>
        </is>
      </c>
      <c r="E106" s="8" t="inlineStr">
        <is>
          <t>Multi</t>
        </is>
      </c>
      <c r="F106" s="8" t="inlineStr">
        <is>
          <t>P1</t>
        </is>
      </c>
      <c r="G106" s="8" t="inlineStr">
        <is>
          <t>True/False/Unknown (tri-state)</t>
        </is>
      </c>
      <c r="H106" s="8" t="inlineStr">
        <is>
          <t>TYPE:BOOLEAN|ALLOWED:TRUE,FALSE,UNKNOWN</t>
        </is>
      </c>
      <c r="I106" s="8" t="inlineStr">
        <is>
          <t>Effective-dated</t>
        </is>
      </c>
      <c r="J106" s="8" t="inlineStr">
        <is>
          <t>One-to-one</t>
        </is>
      </c>
      <c r="K106" s="8" t="inlineStr">
        <is>
          <t>N/A — not a one-to-many numeric field</t>
        </is>
      </c>
      <c r="L106" s="8" t="inlineStr">
        <is>
          <t>Annual Report / 10-K Filing (SEC EDGAR, Company IR Site)</t>
        </is>
      </c>
      <c r="M106" s="8" t="inlineStr">
        <is>
          <t>CIL Architecture Team</t>
        </is>
      </c>
      <c r="N106" s="8" t="inlineStr">
        <is>
          <t>2026-06-21</t>
        </is>
      </c>
      <c r="O106" s="8" t="inlineStr">
        <is>
          <t>CorpStage CIL Registry v1.0</t>
        </is>
      </c>
      <c r="P106" s="8" t="inlineStr">
        <is>
          <t>Group only (single enterprise-wide fact, does not repeat per node)</t>
        </is>
      </c>
      <c r="Q106" s="8" t="inlineStr">
        <is>
          <t>Global</t>
        </is>
      </c>
      <c r="R106" s="8" t="inlineStr">
        <is>
          <t>Tier 1 (Standard) — available to all frameworks and all customers</t>
        </is>
      </c>
      <c r="S10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7" ht="15" customHeight="1" s="6">
      <c r="A107" s="8" t="inlineStr">
        <is>
          <t>CDE-R106</t>
        </is>
      </c>
      <c r="B107" s="8" t="inlineStr">
        <is>
          <t>Sanctions Exposure Risk Rating</t>
        </is>
      </c>
      <c r="C107" s="8" t="inlineStr">
        <is>
          <t>Text</t>
        </is>
      </c>
      <c r="D107" s="8" t="inlineStr">
        <is>
          <t>Recommended</t>
        </is>
      </c>
      <c r="E107" s="8" t="inlineStr">
        <is>
          <t>Framework Specific</t>
        </is>
      </c>
      <c r="F107" s="8" t="inlineStr">
        <is>
          <t>P2</t>
        </is>
      </c>
      <c r="G107" s="8" t="inlineStr">
        <is>
          <t>High/Medium/Low/None</t>
        </is>
      </c>
      <c r="H107" s="8" t="inlineStr">
        <is>
          <t>TYPE:ENUM|ALLOWED:HIGH,MEDIUM,LOW,NONE</t>
        </is>
      </c>
      <c r="I107" s="8" t="inlineStr">
        <is>
          <t>Effective-dated</t>
        </is>
      </c>
      <c r="J107" s="8" t="inlineStr">
        <is>
          <t>One-to-one</t>
        </is>
      </c>
      <c r="K107" s="8" t="inlineStr">
        <is>
          <t>N/A — not a one-to-many numeric field</t>
        </is>
      </c>
      <c r="L107" s="8" t="inlineStr">
        <is>
          <t>Regulatory Filings (SEC EDGAR, Companies House, National Business Registry)</t>
        </is>
      </c>
      <c r="M107" s="8" t="inlineStr">
        <is>
          <t>CIL Architecture Team</t>
        </is>
      </c>
      <c r="N107" s="8" t="inlineStr">
        <is>
          <t>2026-06-21</t>
        </is>
      </c>
      <c r="O107" s="8" t="inlineStr">
        <is>
          <t>CorpStage CIL Registry v1.0</t>
        </is>
      </c>
      <c r="P107" s="8" t="inlineStr">
        <is>
          <t>Group only (single enterprise-wide fact, does not repeat per node)</t>
        </is>
      </c>
      <c r="Q107" s="8" t="inlineStr">
        <is>
          <t>Global</t>
        </is>
      </c>
      <c r="R107" s="8" t="inlineStr">
        <is>
          <t>Tier 1 (Standard) — available to all frameworks and all customers</t>
        </is>
      </c>
      <c r="S10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8" ht="15" customHeight="1" s="6">
      <c r="A108" s="8" t="inlineStr">
        <is>
          <t>CDE-R107</t>
        </is>
      </c>
      <c r="B108" s="8" t="inlineStr">
        <is>
          <t>Tariff Exposure Estimated Financial Impact</t>
        </is>
      </c>
      <c r="C108" s="8" t="inlineStr">
        <is>
          <t>Numeric</t>
        </is>
      </c>
      <c r="D108" s="8" t="inlineStr">
        <is>
          <t>Supplemental</t>
        </is>
      </c>
      <c r="E108" s="8" t="inlineStr">
        <is>
          <t>Optional</t>
        </is>
      </c>
      <c r="F108" s="8" t="inlineStr">
        <is>
          <t>P3</t>
        </is>
      </c>
      <c r="G108" s="8" t="inlineStr">
        <is>
          <t>&gt;=0, numeric</t>
        </is>
      </c>
      <c r="H108" s="8" t="inlineStr">
        <is>
          <t>TYPE:NUMERIC|MIN:0</t>
        </is>
      </c>
      <c r="I108" s="8" t="inlineStr">
        <is>
          <t>Effective-dated</t>
        </is>
      </c>
      <c r="J108" s="8" t="inlineStr">
        <is>
          <t>One-to-one</t>
        </is>
      </c>
      <c r="K108" s="8" t="inlineStr">
        <is>
          <t>N/A — not a one-to-many numeric field</t>
        </is>
      </c>
      <c r="L108" s="8" t="inlineStr">
        <is>
          <t>Finance / ERP System (SAP S/4HANA, Oracle Fusion, NetSuite)</t>
        </is>
      </c>
      <c r="M108" s="8" t="inlineStr">
        <is>
          <t>CIL Architecture Team</t>
        </is>
      </c>
      <c r="N108" s="8" t="inlineStr">
        <is>
          <t>2026-06-21</t>
        </is>
      </c>
      <c r="O108" s="8" t="inlineStr">
        <is>
          <t>CorpStage CIL Registry v1.0</t>
        </is>
      </c>
      <c r="P108" s="8" t="inlineStr">
        <is>
          <t>Group only (single enterprise-wide fact, does not repeat per node)</t>
        </is>
      </c>
      <c r="Q108" s="8" t="inlineStr">
        <is>
          <t>Global</t>
        </is>
      </c>
      <c r="R108" s="8" t="inlineStr">
        <is>
          <t>Tier 1 (Standard) — available to all frameworks and all customers</t>
        </is>
      </c>
      <c r="S10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09" ht="15" customHeight="1" s="6">
      <c r="A109" s="8" t="inlineStr">
        <is>
          <t>CDE-R108</t>
        </is>
      </c>
      <c r="B109" s="8" t="inlineStr">
        <is>
          <t>Facility Physical Climate Risk Rating</t>
        </is>
      </c>
      <c r="C109" s="8" t="inlineStr">
        <is>
          <t>Text</t>
        </is>
      </c>
      <c r="D109" s="8" t="inlineStr">
        <is>
          <t>Required</t>
        </is>
      </c>
      <c r="E109" s="8" t="inlineStr">
        <is>
          <t>Framework Specific</t>
        </is>
      </c>
      <c r="F109" s="8" t="inlineStr">
        <is>
          <t>P1</t>
        </is>
      </c>
      <c r="G109" s="8" t="inlineStr">
        <is>
          <t>High/Medium/Low</t>
        </is>
      </c>
      <c r="H109" s="8" t="inlineStr">
        <is>
          <t>TYPE:ENUM|ALLOWED:HIGH,MEDIUM,LOW</t>
        </is>
      </c>
      <c r="I109" s="8" t="inlineStr">
        <is>
          <t>Effective-dated</t>
        </is>
      </c>
      <c r="J109" s="8" t="inlineStr">
        <is>
          <t>One-to-many</t>
        </is>
      </c>
      <c r="K109" s="8" t="inlineStr">
        <is>
          <t>N/A — not a one-to-many numeric field</t>
        </is>
      </c>
      <c r="L109" s="8" t="inlineStr">
        <is>
          <t>User Validation</t>
        </is>
      </c>
      <c r="M109" s="8" t="inlineStr">
        <is>
          <t>CIL Architecture Team</t>
        </is>
      </c>
      <c r="N109" s="8" t="inlineStr">
        <is>
          <t>2026-06-21</t>
        </is>
      </c>
      <c r="O109" s="8" t="inlineStr">
        <is>
          <t>CorpStage CIL Registry v1.0</t>
        </is>
      </c>
      <c r="P109" s="8" t="inlineStr">
        <is>
          <t>Plant, Site, Company, Group (collected at lowest defined node, aggregates upward)</t>
        </is>
      </c>
      <c r="Q109" s="8" t="inlineStr">
        <is>
          <t>Global</t>
        </is>
      </c>
      <c r="R109" s="8" t="inlineStr">
        <is>
          <t>Tier 1 (Standard) — available to all frameworks and all customers</t>
        </is>
      </c>
      <c r="S10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0" ht="15" customHeight="1" s="6">
      <c r="A110" s="8" t="inlineStr">
        <is>
          <t>CDE-R109</t>
        </is>
      </c>
      <c r="B110" s="8" t="inlineStr">
        <is>
          <t>Facility Climate Risk Type (Flood/Heat/Drought/Storm)</t>
        </is>
      </c>
      <c r="C110" s="8" t="inlineStr">
        <is>
          <t>Text</t>
        </is>
      </c>
      <c r="D110" s="8" t="inlineStr">
        <is>
          <t>Recommended</t>
        </is>
      </c>
      <c r="E110" s="8" t="inlineStr">
        <is>
          <t>Framework Specific</t>
        </is>
      </c>
      <c r="F110" s="8" t="inlineStr">
        <is>
          <t>P2</t>
        </is>
      </c>
      <c r="G110" s="8" t="inlineStr">
        <is>
          <t>Flood/Heat/Drought/Storm/Multiple</t>
        </is>
      </c>
      <c r="H110" s="8" t="inlineStr">
        <is>
          <t>TYPE:ENUM|ALLOWED:FLOOD,HEAT,DROUGHT,STORM,MULTIPLE</t>
        </is>
      </c>
      <c r="I110" s="8" t="inlineStr">
        <is>
          <t>Point-in-time</t>
        </is>
      </c>
      <c r="J110" s="8" t="inlineStr">
        <is>
          <t>One-to-many</t>
        </is>
      </c>
      <c r="K110" s="8" t="inlineStr">
        <is>
          <t>N/A — not a one-to-many numeric field</t>
        </is>
      </c>
      <c r="L110" s="8" t="inlineStr">
        <is>
          <t>User Validation</t>
        </is>
      </c>
      <c r="M110" s="8" t="inlineStr">
        <is>
          <t>CIL Architecture Team</t>
        </is>
      </c>
      <c r="N110" s="8" t="inlineStr">
        <is>
          <t>2026-06-21</t>
        </is>
      </c>
      <c r="O110" s="8" t="inlineStr">
        <is>
          <t>CorpStage CIL Registry v1.0</t>
        </is>
      </c>
      <c r="P110" s="8" t="inlineStr">
        <is>
          <t>Plant, Site, Company, Group (collected at lowest defined node, aggregates upward)</t>
        </is>
      </c>
      <c r="Q110" s="8" t="inlineStr">
        <is>
          <t>Global</t>
        </is>
      </c>
      <c r="R110" s="8" t="inlineStr">
        <is>
          <t>Tier 1 (Standard) — available to all frameworks and all customers</t>
        </is>
      </c>
      <c r="S11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1" ht="15" customHeight="1" s="6">
      <c r="A111" s="8" t="inlineStr">
        <is>
          <t>CDE-R110</t>
        </is>
      </c>
      <c r="B111" s="8" t="inlineStr">
        <is>
          <t>Facility Climate Risk Assessment Source</t>
        </is>
      </c>
      <c r="C111" s="8" t="inlineStr">
        <is>
          <t>Text</t>
        </is>
      </c>
      <c r="D111" s="8" t="inlineStr">
        <is>
          <t>Supplemental</t>
        </is>
      </c>
      <c r="E111" s="8" t="inlineStr">
        <is>
          <t>Optional</t>
        </is>
      </c>
      <c r="F111" s="8" t="inlineStr">
        <is>
          <t>P3</t>
        </is>
      </c>
      <c r="G111" s="8" t="inlineStr">
        <is>
          <t>Non-empty text</t>
        </is>
      </c>
      <c r="H111" s="8" t="inlineStr">
        <is>
          <t>TYPE:TEXT</t>
        </is>
      </c>
      <c r="I111" s="8" t="inlineStr">
        <is>
          <t>Point-in-time</t>
        </is>
      </c>
      <c r="J111" s="8" t="inlineStr">
        <is>
          <t>One-to-many</t>
        </is>
      </c>
      <c r="K111" s="8" t="inlineStr">
        <is>
          <t>N/A — not a one-to-many numeric field</t>
        </is>
      </c>
      <c r="L111" s="8" t="inlineStr">
        <is>
          <t>User Validation</t>
        </is>
      </c>
      <c r="M111" s="8" t="inlineStr">
        <is>
          <t>CIL Architecture Team</t>
        </is>
      </c>
      <c r="N111" s="8" t="inlineStr">
        <is>
          <t>2026-06-21</t>
        </is>
      </c>
      <c r="O111" s="8" t="inlineStr">
        <is>
          <t>CorpStage CIL Registry v1.0</t>
        </is>
      </c>
      <c r="P111" s="8" t="inlineStr">
        <is>
          <t>Plant, Site, Company, Group (collected at lowest defined node, aggregates upward)</t>
        </is>
      </c>
      <c r="Q111" s="8" t="inlineStr">
        <is>
          <t>Global</t>
        </is>
      </c>
      <c r="R111" s="8" t="inlineStr">
        <is>
          <t>Tier 1 (Standard) — available to all frameworks and all customers</t>
        </is>
      </c>
      <c r="S11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2" ht="15" customHeight="1" s="6">
      <c r="A112" s="8" t="inlineStr">
        <is>
          <t>CDE-R111</t>
        </is>
      </c>
      <c r="B112" s="8" t="inlineStr">
        <is>
          <t>Political Instability Risk Country</t>
        </is>
      </c>
      <c r="C112" s="8" t="inlineStr">
        <is>
          <t>Text</t>
        </is>
      </c>
      <c r="D112" s="8" t="inlineStr">
        <is>
          <t>Recommended</t>
        </is>
      </c>
      <c r="E112" s="8" t="inlineStr">
        <is>
          <t>Optional</t>
        </is>
      </c>
      <c r="F112" s="8" t="inlineStr">
        <is>
          <t>P2</t>
        </is>
      </c>
      <c r="G112" s="8" t="inlineStr">
        <is>
          <t>Non-empty text</t>
        </is>
      </c>
      <c r="H112" s="8" t="inlineStr">
        <is>
          <t>TYPE:TEXT</t>
        </is>
      </c>
      <c r="I112" s="8" t="inlineStr">
        <is>
          <t>Effective-dated</t>
        </is>
      </c>
      <c r="J112" s="8" t="inlineStr">
        <is>
          <t>One-to-many</t>
        </is>
      </c>
      <c r="K112" s="8" t="inlineStr">
        <is>
          <t>N/A — not a one-to-many numeric field</t>
        </is>
      </c>
      <c r="L112" s="8" t="inlineStr">
        <is>
          <t>GRC / Risk Register (ServiceNow Risk, RSA Archer, LogicGate)</t>
        </is>
      </c>
      <c r="M112" s="8" t="inlineStr">
        <is>
          <t>CIL Architecture Team</t>
        </is>
      </c>
      <c r="N112" s="8" t="inlineStr">
        <is>
          <t>2026-06-21</t>
        </is>
      </c>
      <c r="O112" s="8" t="inlineStr">
        <is>
          <t>CorpStage CIL Registry v1.0</t>
        </is>
      </c>
      <c r="P112" s="8" t="inlineStr">
        <is>
          <t>Company, Group (collected per legal entity, not below Company level)</t>
        </is>
      </c>
      <c r="Q112" s="8" t="inlineStr">
        <is>
          <t>Global</t>
        </is>
      </c>
      <c r="R112" s="8" t="inlineStr">
        <is>
          <t>Tier 1 (Standard) — available to all frameworks and all customers</t>
        </is>
      </c>
      <c r="S11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3" ht="15" customHeight="1" s="6">
      <c r="A113" s="8" t="inlineStr">
        <is>
          <t>CDE-R112</t>
        </is>
      </c>
      <c r="B113" s="8" t="inlineStr">
        <is>
          <t>Political Instability Risk Rating</t>
        </is>
      </c>
      <c r="C113" s="8" t="inlineStr">
        <is>
          <t>Text</t>
        </is>
      </c>
      <c r="D113" s="8" t="inlineStr">
        <is>
          <t>Recommended</t>
        </is>
      </c>
      <c r="E113" s="8" t="inlineStr">
        <is>
          <t>Optional</t>
        </is>
      </c>
      <c r="F113" s="8" t="inlineStr">
        <is>
          <t>P2</t>
        </is>
      </c>
      <c r="G113" s="8" t="inlineStr">
        <is>
          <t>High/Medium/Low</t>
        </is>
      </c>
      <c r="H113" s="8" t="inlineStr">
        <is>
          <t>TYPE:ENUM|ALLOWED:HIGH,MEDIUM,LOW</t>
        </is>
      </c>
      <c r="I113" s="8" t="inlineStr">
        <is>
          <t>Effective-dated</t>
        </is>
      </c>
      <c r="J113" s="8" t="inlineStr">
        <is>
          <t>One-to-many</t>
        </is>
      </c>
      <c r="K113" s="8" t="inlineStr">
        <is>
          <t>N/A — not a one-to-many numeric field</t>
        </is>
      </c>
      <c r="L113" s="8" t="inlineStr">
        <is>
          <t>GRC / Risk Register (ServiceNow Risk, RSA Archer, LogicGate)</t>
        </is>
      </c>
      <c r="M113" s="8" t="inlineStr">
        <is>
          <t>CIL Architecture Team</t>
        </is>
      </c>
      <c r="N113" s="8" t="inlineStr">
        <is>
          <t>2026-06-21</t>
        </is>
      </c>
      <c r="O113" s="8" t="inlineStr">
        <is>
          <t>CorpStage CIL Registry v1.0</t>
        </is>
      </c>
      <c r="P113" s="8" t="inlineStr">
        <is>
          <t>Company, Group (collected per legal entity, not below Company level)</t>
        </is>
      </c>
      <c r="Q113" s="8" t="inlineStr">
        <is>
          <t>Global</t>
        </is>
      </c>
      <c r="R113" s="8" t="inlineStr">
        <is>
          <t>Tier 1 (Standard) — available to all frameworks and all customers</t>
        </is>
      </c>
      <c r="S11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4" ht="15" customHeight="1" s="6">
      <c r="A114" s="8" t="inlineStr">
        <is>
          <t>CDE-R113</t>
        </is>
      </c>
      <c r="B114" s="8" t="inlineStr">
        <is>
          <t>Critical Supplier Concentration Risk Identified</t>
        </is>
      </c>
      <c r="C114" s="8" t="inlineStr">
        <is>
          <t>Boolean</t>
        </is>
      </c>
      <c r="D114" s="8" t="inlineStr">
        <is>
          <t>Required</t>
        </is>
      </c>
      <c r="E114" s="8" t="inlineStr">
        <is>
          <t>Multi</t>
        </is>
      </c>
      <c r="F114" s="8" t="inlineStr">
        <is>
          <t>P1</t>
        </is>
      </c>
      <c r="G114" s="8" t="inlineStr">
        <is>
          <t>True/False/Unknown (tri-state)</t>
        </is>
      </c>
      <c r="H114" s="8" t="inlineStr">
        <is>
          <t>TYPE:BOOLEAN|ALLOWED:TRUE,FALSE,UNKNOWN</t>
        </is>
      </c>
      <c r="I114" s="8" t="inlineStr">
        <is>
          <t>Effective-dated</t>
        </is>
      </c>
      <c r="J114" s="8" t="inlineStr">
        <is>
          <t>One-to-one</t>
        </is>
      </c>
      <c r="K114" s="8" t="inlineStr">
        <is>
          <t>N/A — not a one-to-many numeric field</t>
        </is>
      </c>
      <c r="L114" s="8" t="inlineStr">
        <is>
          <t>GRC / Risk Register (ServiceNow Risk, RSA Archer, LogicGate)</t>
        </is>
      </c>
      <c r="M114" s="8" t="inlineStr">
        <is>
          <t>CIL Architecture Team</t>
        </is>
      </c>
      <c r="N114" s="8" t="inlineStr">
        <is>
          <t>2026-06-21</t>
        </is>
      </c>
      <c r="O114" s="8" t="inlineStr">
        <is>
          <t>CorpStage CIL Registry v1.0</t>
        </is>
      </c>
      <c r="P114" s="8" t="inlineStr">
        <is>
          <t>Group only (single enterprise-wide fact, does not repeat per node)</t>
        </is>
      </c>
      <c r="Q114" s="8" t="inlineStr">
        <is>
          <t>Global</t>
        </is>
      </c>
      <c r="R114" s="8" t="inlineStr">
        <is>
          <t>Tier 1 (Standard) — available to all frameworks and all customers</t>
        </is>
      </c>
      <c r="S114" s="8" t="inlineStr">
        <is>
          <t>Owned by Risk Intelligence per Binding 6(b) — captures the RISK-MITIGATION view (contingency, due diligence), distinct from Domain 1 Enterprise Intelligence's CDE-115/117 (Top Customer/Supplier Concentration %), which capture the underlying concentration FACT. Domain 1 must reference this CDE for risk-response context, not duplicate it.</t>
        </is>
      </c>
    </row>
    <row r="115" ht="15" customHeight="1" s="6">
      <c r="A115" s="8" t="inlineStr">
        <is>
          <t>CDE-R114</t>
        </is>
      </c>
      <c r="B115" s="8" t="inlineStr">
        <is>
          <t>Single-Source Critical Input Identified</t>
        </is>
      </c>
      <c r="C115" s="8" t="inlineStr">
        <is>
          <t>Text</t>
        </is>
      </c>
      <c r="D115" s="8" t="inlineStr">
        <is>
          <t>Recommended</t>
        </is>
      </c>
      <c r="E115" s="8" t="inlineStr">
        <is>
          <t>Optional</t>
        </is>
      </c>
      <c r="F115" s="8" t="inlineStr">
        <is>
          <t>P2</t>
        </is>
      </c>
      <c r="G115" s="8" t="inlineStr">
        <is>
          <t>Non-empty text</t>
        </is>
      </c>
      <c r="H115" s="8" t="inlineStr">
        <is>
          <t>TYPE:TEXT</t>
        </is>
      </c>
      <c r="I115" s="8" t="inlineStr">
        <is>
          <t>Effective-dated</t>
        </is>
      </c>
      <c r="J115" s="8" t="inlineStr">
        <is>
          <t>One-to-many</t>
        </is>
      </c>
      <c r="K115" s="8" t="inlineStr">
        <is>
          <t>N/A — not a one-to-many numeric field</t>
        </is>
      </c>
      <c r="L115" s="8" t="inlineStr">
        <is>
          <t>GRC / Risk Register (ServiceNow Risk, RSA Archer, LogicGate)</t>
        </is>
      </c>
      <c r="M115" s="8" t="inlineStr">
        <is>
          <t>CIL Architecture Team</t>
        </is>
      </c>
      <c r="N115" s="8" t="inlineStr">
        <is>
          <t>2026-06-21</t>
        </is>
      </c>
      <c r="O115" s="8" t="inlineStr">
        <is>
          <t>CorpStage CIL Registry v1.0</t>
        </is>
      </c>
      <c r="P115" s="8" t="inlineStr">
        <is>
          <t>Company, Group (collected per legal entity, not below Company level)</t>
        </is>
      </c>
      <c r="Q115" s="8" t="inlineStr">
        <is>
          <t>Global</t>
        </is>
      </c>
      <c r="R115" s="8" t="inlineStr">
        <is>
          <t>Tier 1 (Standard) — available to all frameworks and all customers</t>
        </is>
      </c>
      <c r="S115" s="8" t="inlineStr">
        <is>
          <t>Owned by Risk Intelligence per Binding 6(b) — captures the RISK-MITIGATION view (contingency, due diligence), distinct from Domain 1 Enterprise Intelligence's CDE-115/117 (Top Customer/Supplier Concentration %), which capture the underlying concentration FACT. Domain 1 must reference this CDE for risk-response context, not duplicate it.</t>
        </is>
      </c>
    </row>
    <row r="116" ht="15" customHeight="1" s="6">
      <c r="A116" s="8" t="inlineStr">
        <is>
          <t>CDE-R115</t>
        </is>
      </c>
      <c r="B116" s="8" t="inlineStr">
        <is>
          <t>Customer Concentration Risk Mitigation Plan Exists</t>
        </is>
      </c>
      <c r="C116" s="8" t="inlineStr">
        <is>
          <t>Boolean</t>
        </is>
      </c>
      <c r="D116" s="8" t="inlineStr">
        <is>
          <t>Required</t>
        </is>
      </c>
      <c r="E116" s="8" t="inlineStr">
        <is>
          <t>Optional</t>
        </is>
      </c>
      <c r="F116" s="8" t="inlineStr">
        <is>
          <t>P1</t>
        </is>
      </c>
      <c r="G116" s="8" t="inlineStr">
        <is>
          <t>True/False/Unknown (tri-state)</t>
        </is>
      </c>
      <c r="H116" s="8" t="inlineStr">
        <is>
          <t>TYPE:BOOLEAN|ALLOWED:TRUE,FALSE,UNKNOWN</t>
        </is>
      </c>
      <c r="I116" s="8" t="inlineStr">
        <is>
          <t>Effective-dated</t>
        </is>
      </c>
      <c r="J116" s="8" t="inlineStr">
        <is>
          <t>One-to-one</t>
        </is>
      </c>
      <c r="K116" s="8" t="inlineStr">
        <is>
          <t>N/A — not a one-to-many numeric field</t>
        </is>
      </c>
      <c r="L116" s="8" t="inlineStr">
        <is>
          <t>User Validation</t>
        </is>
      </c>
      <c r="M116" s="8" t="inlineStr">
        <is>
          <t>CIL Architecture Team</t>
        </is>
      </c>
      <c r="N116" s="8" t="inlineStr">
        <is>
          <t>2026-06-21</t>
        </is>
      </c>
      <c r="O116" s="8" t="inlineStr">
        <is>
          <t>CorpStage CIL Registry v1.0</t>
        </is>
      </c>
      <c r="P116" s="8" t="inlineStr">
        <is>
          <t>Group only (single enterprise-wide fact, does not repeat per node)</t>
        </is>
      </c>
      <c r="Q116" s="8" t="inlineStr">
        <is>
          <t>Global</t>
        </is>
      </c>
      <c r="R116" s="8" t="inlineStr">
        <is>
          <t>Tier 1 (Standard) — available to all frameworks and all customers</t>
        </is>
      </c>
      <c r="S116" s="8" t="inlineStr">
        <is>
          <t>Owned by Risk Intelligence per Binding 6(b) — captures the RISK-MITIGATION view (contingency, due diligence), distinct from Domain 1 Enterprise Intelligence's CDE-115/117 (Top Customer/Supplier Concentration %), which capture the underlying concentration FACT. Domain 1 must reference this CDE for risk-response context, not duplicate it.</t>
        </is>
      </c>
    </row>
    <row r="117" ht="15" customHeight="1" s="6">
      <c r="A117" s="8" t="inlineStr">
        <is>
          <t>CDE-R116</t>
        </is>
      </c>
      <c r="B117" s="8" t="inlineStr">
        <is>
          <t>Customer Concentration Risk Severity Rating</t>
        </is>
      </c>
      <c r="C117" s="8" t="inlineStr">
        <is>
          <t>Text</t>
        </is>
      </c>
      <c r="D117" s="8" t="inlineStr">
        <is>
          <t>Recommended</t>
        </is>
      </c>
      <c r="E117" s="8" t="inlineStr">
        <is>
          <t>Optional</t>
        </is>
      </c>
      <c r="F117" s="8" t="inlineStr">
        <is>
          <t>P2</t>
        </is>
      </c>
      <c r="G117" s="8" t="inlineStr">
        <is>
          <t>High/Medium/Low</t>
        </is>
      </c>
      <c r="H117" s="8" t="inlineStr">
        <is>
          <t>TYPE:ENUM|ALLOWED:HIGH,MEDIUM,LOW</t>
        </is>
      </c>
      <c r="I117" s="8" t="inlineStr">
        <is>
          <t>Effective-dated</t>
        </is>
      </c>
      <c r="J117" s="8" t="inlineStr">
        <is>
          <t>One-to-one</t>
        </is>
      </c>
      <c r="K117" s="8" t="inlineStr">
        <is>
          <t>N/A — not a one-to-many numeric field</t>
        </is>
      </c>
      <c r="L117" s="8" t="inlineStr">
        <is>
          <t>GRC / Risk Register (ServiceNow Risk, RSA Archer, LogicGate)</t>
        </is>
      </c>
      <c r="M117" s="8" t="inlineStr">
        <is>
          <t>CIL Architecture Team</t>
        </is>
      </c>
      <c r="N117" s="8" t="inlineStr">
        <is>
          <t>2026-06-21</t>
        </is>
      </c>
      <c r="O117" s="8" t="inlineStr">
        <is>
          <t>CorpStage CIL Registry v1.0</t>
        </is>
      </c>
      <c r="P117" s="8" t="inlineStr">
        <is>
          <t>Group only (single enterprise-wide fact, does not repeat per node)</t>
        </is>
      </c>
      <c r="Q117" s="8" t="inlineStr">
        <is>
          <t>Global</t>
        </is>
      </c>
      <c r="R117" s="8" t="inlineStr">
        <is>
          <t>Tier 1 (Standard) — available to all frameworks and all customers</t>
        </is>
      </c>
      <c r="S117" s="8" t="inlineStr">
        <is>
          <t>Owned by Risk Intelligence per Binding 6(b) — captures the RISK-MITIGATION view (contingency, due diligence), distinct from Domain 1 Enterprise Intelligence's CDE-115/117 (Top Customer/Supplier Concentration %), which capture the underlying concentration FACT. Domain 1 must reference this CDE for risk-response context, not duplicate it.</t>
        </is>
      </c>
    </row>
    <row r="118" ht="15" customHeight="1" s="6">
      <c r="A118" s="8" t="inlineStr">
        <is>
          <t>CDE-R117</t>
        </is>
      </c>
      <c r="B118" s="8" t="inlineStr">
        <is>
          <t>Third-Party Due Diligence Process Exists</t>
        </is>
      </c>
      <c r="C118" s="8" t="inlineStr">
        <is>
          <t>Boolean</t>
        </is>
      </c>
      <c r="D118" s="8" t="inlineStr">
        <is>
          <t>Required</t>
        </is>
      </c>
      <c r="E118" s="8" t="inlineStr">
        <is>
          <t>Multi</t>
        </is>
      </c>
      <c r="F118" s="8" t="inlineStr">
        <is>
          <t>P1</t>
        </is>
      </c>
      <c r="G118" s="8" t="inlineStr">
        <is>
          <t>True/False/Unknown (tri-state)</t>
        </is>
      </c>
      <c r="H118" s="8" t="inlineStr">
        <is>
          <t>TYPE:BOOLEAN|ALLOWED:TRUE,FALSE,UNKNOWN</t>
        </is>
      </c>
      <c r="I118" s="8" t="inlineStr">
        <is>
          <t>Effective-dated</t>
        </is>
      </c>
      <c r="J118" s="8" t="inlineStr">
        <is>
          <t>One-to-one</t>
        </is>
      </c>
      <c r="K118" s="8" t="inlineStr">
        <is>
          <t>N/A — not a one-to-many numeric field</t>
        </is>
      </c>
      <c r="L118" s="8" t="inlineStr">
        <is>
          <t>User Validation</t>
        </is>
      </c>
      <c r="M118" s="8" t="inlineStr">
        <is>
          <t>CIL Architecture Team</t>
        </is>
      </c>
      <c r="N118" s="8" t="inlineStr">
        <is>
          <t>2026-06-21</t>
        </is>
      </c>
      <c r="O118" s="8" t="inlineStr">
        <is>
          <t>CorpStage CIL Registry v1.0</t>
        </is>
      </c>
      <c r="P118" s="8" t="inlineStr">
        <is>
          <t>Group only (single enterprise-wide fact, does not repeat per node)</t>
        </is>
      </c>
      <c r="Q118" s="8" t="inlineStr">
        <is>
          <t>Global</t>
        </is>
      </c>
      <c r="R118" s="8" t="inlineStr">
        <is>
          <t>Tier 1 (Standard) — available to all frameworks and all customers</t>
        </is>
      </c>
      <c r="S11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19" ht="15" customHeight="1" s="6">
      <c r="A119" s="8" t="inlineStr">
        <is>
          <t>CDE-R118</t>
        </is>
      </c>
      <c r="B119" s="8" t="inlineStr">
        <is>
          <t>Due Diligence Frequency for Critical Third Parties</t>
        </is>
      </c>
      <c r="C119" s="8" t="inlineStr">
        <is>
          <t>Text</t>
        </is>
      </c>
      <c r="D119" s="8" t="inlineStr">
        <is>
          <t>Recommended</t>
        </is>
      </c>
      <c r="E119" s="8" t="inlineStr">
        <is>
          <t>Optional</t>
        </is>
      </c>
      <c r="F119" s="8" t="inlineStr">
        <is>
          <t>P2</t>
        </is>
      </c>
      <c r="G119" s="8" t="inlineStr">
        <is>
          <t>One-time/Annual/Continuous</t>
        </is>
      </c>
      <c r="H119" s="8" t="inlineStr">
        <is>
          <t>TYPE:ENUM|ALLOWED:ONE_TIME,ANNUAL,CONTINUOUS</t>
        </is>
      </c>
      <c r="I119" s="8" t="inlineStr">
        <is>
          <t>Effective-dated</t>
        </is>
      </c>
      <c r="J119" s="8" t="inlineStr">
        <is>
          <t>One-to-one</t>
        </is>
      </c>
      <c r="K119" s="8" t="inlineStr">
        <is>
          <t>N/A — not a one-to-many numeric field</t>
        </is>
      </c>
      <c r="L119" s="8" t="inlineStr">
        <is>
          <t>User Validation</t>
        </is>
      </c>
      <c r="M119" s="8" t="inlineStr">
        <is>
          <t>CIL Architecture Team</t>
        </is>
      </c>
      <c r="N119" s="8" t="inlineStr">
        <is>
          <t>2026-06-21</t>
        </is>
      </c>
      <c r="O119" s="8" t="inlineStr">
        <is>
          <t>CorpStage CIL Registry v1.0</t>
        </is>
      </c>
      <c r="P119" s="8" t="inlineStr">
        <is>
          <t>Group only (single enterprise-wide fact, does not repeat per node)</t>
        </is>
      </c>
      <c r="Q119" s="8" t="inlineStr">
        <is>
          <t>Global</t>
        </is>
      </c>
      <c r="R119" s="8" t="inlineStr">
        <is>
          <t>Tier 1 (Standard) — available to all frameworks and all customers</t>
        </is>
      </c>
      <c r="S11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0" ht="15" customHeight="1" s="6">
      <c r="A120" s="8" t="inlineStr">
        <is>
          <t>CDE-R119</t>
        </is>
      </c>
      <c r="B120" s="8" t="inlineStr">
        <is>
          <t>Third-Party Risk Rating Methodology</t>
        </is>
      </c>
      <c r="C120" s="8" t="inlineStr">
        <is>
          <t>Text</t>
        </is>
      </c>
      <c r="D120" s="8" t="inlineStr">
        <is>
          <t>Supplemental</t>
        </is>
      </c>
      <c r="E120" s="8" t="inlineStr">
        <is>
          <t>Optional</t>
        </is>
      </c>
      <c r="F120" s="8" t="inlineStr">
        <is>
          <t>P3</t>
        </is>
      </c>
      <c r="G120" s="8" t="inlineStr">
        <is>
          <t>Non-empty text</t>
        </is>
      </c>
      <c r="H120" s="8" t="inlineStr">
        <is>
          <t>TYPE:TEXT</t>
        </is>
      </c>
      <c r="I120" s="8" t="inlineStr">
        <is>
          <t>Point-in-time</t>
        </is>
      </c>
      <c r="J120" s="8" t="inlineStr">
        <is>
          <t>One-to-one</t>
        </is>
      </c>
      <c r="K120" s="8" t="inlineStr">
        <is>
          <t>N/A — not a one-to-many numeric field</t>
        </is>
      </c>
      <c r="L120" s="8" t="inlineStr">
        <is>
          <t>User Validation</t>
        </is>
      </c>
      <c r="M120" s="8" t="inlineStr">
        <is>
          <t>CIL Architecture Team</t>
        </is>
      </c>
      <c r="N120" s="8" t="inlineStr">
        <is>
          <t>2026-06-21</t>
        </is>
      </c>
      <c r="O120" s="8" t="inlineStr">
        <is>
          <t>CorpStage CIL Registry v1.0</t>
        </is>
      </c>
      <c r="P120" s="8" t="inlineStr">
        <is>
          <t>Group only (single enterprise-wide fact, does not repeat per node)</t>
        </is>
      </c>
      <c r="Q120" s="8" t="inlineStr">
        <is>
          <t>Global</t>
        </is>
      </c>
      <c r="R120" s="8" t="inlineStr">
        <is>
          <t>Tier 1 (Standard) — available to all frameworks and all customers</t>
        </is>
      </c>
      <c r="S12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1" ht="15" customHeight="1" s="6">
      <c r="A121" s="8" t="inlineStr">
        <is>
          <t>CDE-R120</t>
        </is>
      </c>
      <c r="B121" s="8" t="inlineStr">
        <is>
          <t>Contingency Plan Exists for Critical Third-Party Failure</t>
        </is>
      </c>
      <c r="C121" s="8" t="inlineStr">
        <is>
          <t>Boolean</t>
        </is>
      </c>
      <c r="D121" s="8" t="inlineStr">
        <is>
          <t>Required</t>
        </is>
      </c>
      <c r="E121" s="8" t="inlineStr">
        <is>
          <t>Optional</t>
        </is>
      </c>
      <c r="F121" s="8" t="inlineStr">
        <is>
          <t>P1</t>
        </is>
      </c>
      <c r="G121" s="8" t="inlineStr">
        <is>
          <t>True/False/Unknown (tri-state)</t>
        </is>
      </c>
      <c r="H121" s="8" t="inlineStr">
        <is>
          <t>TYPE:BOOLEAN|ALLOWED:TRUE,FALSE,UNKNOWN</t>
        </is>
      </c>
      <c r="I121" s="8" t="inlineStr">
        <is>
          <t>Effective-dated</t>
        </is>
      </c>
      <c r="J121" s="8" t="inlineStr">
        <is>
          <t>One-to-one</t>
        </is>
      </c>
      <c r="K121" s="8" t="inlineStr">
        <is>
          <t>N/A — not a one-to-many numeric field</t>
        </is>
      </c>
      <c r="L121" s="8" t="inlineStr">
        <is>
          <t>User Validation</t>
        </is>
      </c>
      <c r="M121" s="8" t="inlineStr">
        <is>
          <t>CIL Architecture Team</t>
        </is>
      </c>
      <c r="N121" s="8" t="inlineStr">
        <is>
          <t>2026-06-21</t>
        </is>
      </c>
      <c r="O121" s="8" t="inlineStr">
        <is>
          <t>CorpStage CIL Registry v1.0</t>
        </is>
      </c>
      <c r="P121" s="8" t="inlineStr">
        <is>
          <t>Group only (single enterprise-wide fact, does not repeat per node)</t>
        </is>
      </c>
      <c r="Q121" s="8" t="inlineStr">
        <is>
          <t>Global</t>
        </is>
      </c>
      <c r="R121" s="8" t="inlineStr">
        <is>
          <t>Tier 1 (Standard) — available to all frameworks and all customers</t>
        </is>
      </c>
      <c r="S12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2" ht="15" customHeight="1" s="6">
      <c r="A122" s="8" t="inlineStr">
        <is>
          <t>CDE-R121</t>
        </is>
      </c>
      <c r="B122" s="8" t="inlineStr">
        <is>
          <t>Alternative Supplier/Customer Identified</t>
        </is>
      </c>
      <c r="C122" s="8" t="inlineStr">
        <is>
          <t>Boolean</t>
        </is>
      </c>
      <c r="D122" s="8" t="inlineStr">
        <is>
          <t>Recommended</t>
        </is>
      </c>
      <c r="E122" s="8" t="inlineStr">
        <is>
          <t>Optional</t>
        </is>
      </c>
      <c r="F122" s="8" t="inlineStr">
        <is>
          <t>P2</t>
        </is>
      </c>
      <c r="G122" s="8" t="inlineStr">
        <is>
          <t>True/False/Unknown (tri-state)</t>
        </is>
      </c>
      <c r="H122" s="8" t="inlineStr">
        <is>
          <t>TYPE:BOOLEAN|ALLOWED:TRUE,FALSE,UNKNOWN</t>
        </is>
      </c>
      <c r="I122" s="8" t="inlineStr">
        <is>
          <t>Point-in-time</t>
        </is>
      </c>
      <c r="J122" s="8" t="inlineStr">
        <is>
          <t>One-to-many</t>
        </is>
      </c>
      <c r="K122" s="8" t="inlineStr">
        <is>
          <t>N/A — not a one-to-many numeric field</t>
        </is>
      </c>
      <c r="L122" s="8" t="inlineStr">
        <is>
          <t>User Validation</t>
        </is>
      </c>
      <c r="M122" s="8" t="inlineStr">
        <is>
          <t>CIL Architecture Team</t>
        </is>
      </c>
      <c r="N122" s="8" t="inlineStr">
        <is>
          <t>2026-06-21</t>
        </is>
      </c>
      <c r="O122" s="8" t="inlineStr">
        <is>
          <t>CorpStage CIL Registry v1.0</t>
        </is>
      </c>
      <c r="P122" s="8" t="inlineStr">
        <is>
          <t>Company, Group (collected per legal entity, not below Company level)</t>
        </is>
      </c>
      <c r="Q122" s="8" t="inlineStr">
        <is>
          <t>Global</t>
        </is>
      </c>
      <c r="R122" s="8" t="inlineStr">
        <is>
          <t>Tier 1 (Standard) — available to all frameworks and all customers</t>
        </is>
      </c>
      <c r="S12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3" ht="15" customHeight="1" s="6">
      <c r="A123" s="8" t="inlineStr">
        <is>
          <t>CDE-R122</t>
        </is>
      </c>
      <c r="B123" s="8" t="inlineStr">
        <is>
          <t>Fourth-Party (Sub-Supplier) Risk Visibility Exists</t>
        </is>
      </c>
      <c r="C123" s="8" t="inlineStr">
        <is>
          <t>Boolean</t>
        </is>
      </c>
      <c r="D123" s="8" t="inlineStr">
        <is>
          <t>Recommended</t>
        </is>
      </c>
      <c r="E123" s="8" t="inlineStr">
        <is>
          <t>Framework Specific</t>
        </is>
      </c>
      <c r="F123" s="8" t="inlineStr">
        <is>
          <t>P2</t>
        </is>
      </c>
      <c r="G123" s="8" t="inlineStr">
        <is>
          <t>True/False/Unknown (tri-state)</t>
        </is>
      </c>
      <c r="H123" s="8" t="inlineStr">
        <is>
          <t>TYPE:BOOLEAN|ALLOWED:TRUE,FALSE,UNKNOWN</t>
        </is>
      </c>
      <c r="I123" s="8" t="inlineStr">
        <is>
          <t>Effective-dated</t>
        </is>
      </c>
      <c r="J123" s="8" t="inlineStr">
        <is>
          <t>One-to-one</t>
        </is>
      </c>
      <c r="K123" s="8" t="inlineStr">
        <is>
          <t>N/A — not a one-to-many numeric field</t>
        </is>
      </c>
      <c r="L123" s="8" t="inlineStr">
        <is>
          <t>User Validation</t>
        </is>
      </c>
      <c r="M123" s="8" t="inlineStr">
        <is>
          <t>CIL Architecture Team</t>
        </is>
      </c>
      <c r="N123" s="8" t="inlineStr">
        <is>
          <t>2026-06-21</t>
        </is>
      </c>
      <c r="O123" s="8" t="inlineStr">
        <is>
          <t>CorpStage CIL Registry v1.0</t>
        </is>
      </c>
      <c r="P123" s="8" t="inlineStr">
        <is>
          <t>Group only (single enterprise-wide fact, does not repeat per node)</t>
        </is>
      </c>
      <c r="Q123" s="8" t="inlineStr">
        <is>
          <t>Global</t>
        </is>
      </c>
      <c r="R123" s="8" t="inlineStr">
        <is>
          <t>Tier 1 (Standard) — available to all frameworks and all customers</t>
        </is>
      </c>
      <c r="S12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4" ht="15" customHeight="1" s="6">
      <c r="A124" s="8" t="inlineStr">
        <is>
          <t>CDE-R123</t>
        </is>
      </c>
      <c r="B124" s="8" t="inlineStr">
        <is>
          <t>Fourth-Party Mapping Coverage %</t>
        </is>
      </c>
      <c r="C124" s="8" t="inlineStr">
        <is>
          <t>Numeric</t>
        </is>
      </c>
      <c r="D124" s="8" t="inlineStr">
        <is>
          <t>Supplemental</t>
        </is>
      </c>
      <c r="E124" s="8" t="inlineStr">
        <is>
          <t>Optional</t>
        </is>
      </c>
      <c r="F124" s="8" t="inlineStr">
        <is>
          <t>P3</t>
        </is>
      </c>
      <c r="G124" s="8" t="inlineStr">
        <is>
          <t>0-100, numeric</t>
        </is>
      </c>
      <c r="H124" s="8" t="inlineStr">
        <is>
          <t>TYPE:NUMERIC|MIN:0|MAX:100</t>
        </is>
      </c>
      <c r="I124" s="8" t="inlineStr">
        <is>
          <t>Effective-dated</t>
        </is>
      </c>
      <c r="J124" s="8" t="inlineStr">
        <is>
          <t>One-to-one</t>
        </is>
      </c>
      <c r="K124" s="8" t="inlineStr">
        <is>
          <t>N/A — not a one-to-many numeric field</t>
        </is>
      </c>
      <c r="L124" s="8" t="inlineStr">
        <is>
          <t>User Validation</t>
        </is>
      </c>
      <c r="M124" s="8" t="inlineStr">
        <is>
          <t>CIL Architecture Team</t>
        </is>
      </c>
      <c r="N124" s="8" t="inlineStr">
        <is>
          <t>2026-06-21</t>
        </is>
      </c>
      <c r="O124" s="8" t="inlineStr">
        <is>
          <t>CorpStage CIL Registry v1.0</t>
        </is>
      </c>
      <c r="P124" s="8" t="inlineStr">
        <is>
          <t>Group only (single enterprise-wide fact, does not repeat per node)</t>
        </is>
      </c>
      <c r="Q124" s="8" t="inlineStr">
        <is>
          <t>Global</t>
        </is>
      </c>
      <c r="R124" s="8" t="inlineStr">
        <is>
          <t>Tier 1 (Standard) — available to all frameworks and all customers</t>
        </is>
      </c>
      <c r="S12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5" ht="15" customHeight="1" s="6">
      <c r="A125" s="8" t="inlineStr">
        <is>
          <t>CDE-R124</t>
        </is>
      </c>
      <c r="B125" s="8" t="inlineStr">
        <is>
          <t>Early Warning Indicator Defined</t>
        </is>
      </c>
      <c r="C125" s="8" t="inlineStr">
        <is>
          <t>Text</t>
        </is>
      </c>
      <c r="D125" s="8" t="inlineStr">
        <is>
          <t>Required</t>
        </is>
      </c>
      <c r="E125" s="8" t="inlineStr">
        <is>
          <t>Optional</t>
        </is>
      </c>
      <c r="F125" s="8" t="inlineStr">
        <is>
          <t>P1</t>
        </is>
      </c>
      <c r="G125" s="8" t="inlineStr">
        <is>
          <t>Non-empty text</t>
        </is>
      </c>
      <c r="H125" s="8" t="inlineStr">
        <is>
          <t>TYPE:TEXT</t>
        </is>
      </c>
      <c r="I125" s="8" t="inlineStr">
        <is>
          <t>Effective-dated</t>
        </is>
      </c>
      <c r="J125" s="8" t="inlineStr">
        <is>
          <t>One-to-many</t>
        </is>
      </c>
      <c r="K125" s="8" t="inlineStr">
        <is>
          <t>N/A — not a one-to-many numeric field</t>
        </is>
      </c>
      <c r="L125" s="8" t="inlineStr">
        <is>
          <t>GRC / Risk Register (ServiceNow Risk, RSA Archer, LogicGate)</t>
        </is>
      </c>
      <c r="M125" s="8" t="inlineStr">
        <is>
          <t>CIL Architecture Team</t>
        </is>
      </c>
      <c r="N125" s="8" t="inlineStr">
        <is>
          <t>2026-06-21</t>
        </is>
      </c>
      <c r="O125" s="8" t="inlineStr">
        <is>
          <t>CorpStage CIL Registry v1.0</t>
        </is>
      </c>
      <c r="P125" s="8" t="inlineStr">
        <is>
          <t>Company, Group (collected per legal entity, not below Company level)</t>
        </is>
      </c>
      <c r="Q125" s="8" t="inlineStr">
        <is>
          <t>Global</t>
        </is>
      </c>
      <c r="R125" s="8" t="inlineStr">
        <is>
          <t>Tier 1 (Standard) — available to all frameworks and all customers</t>
        </is>
      </c>
      <c r="S12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6" ht="15" customHeight="1" s="6">
      <c r="A126" s="8" t="inlineStr">
        <is>
          <t>CDE-R125</t>
        </is>
      </c>
      <c r="B126" s="8" t="inlineStr">
        <is>
          <t>Early Warning Indicator Threshold Value</t>
        </is>
      </c>
      <c r="C126" s="8" t="inlineStr">
        <is>
          <t>Numeric</t>
        </is>
      </c>
      <c r="D126" s="8" t="inlineStr">
        <is>
          <t>Recommended</t>
        </is>
      </c>
      <c r="E126" s="8" t="inlineStr">
        <is>
          <t>Optional</t>
        </is>
      </c>
      <c r="F126" s="8" t="inlineStr">
        <is>
          <t>P2</t>
        </is>
      </c>
      <c r="G126" s="8" t="inlineStr">
        <is>
          <t>Numeric</t>
        </is>
      </c>
      <c r="H126" s="8" t="inlineStr">
        <is>
          <t>TYPE:NUMERIC</t>
        </is>
      </c>
      <c r="I126" s="8" t="inlineStr">
        <is>
          <t>Effective-dated</t>
        </is>
      </c>
      <c r="J126" s="8" t="inlineStr">
        <is>
          <t>One-to-many</t>
        </is>
      </c>
      <c r="K126" s="8" t="inlineStr">
        <is>
          <t>Independent per indicator; different units/scales, not aggregated</t>
        </is>
      </c>
      <c r="L126" s="8" t="inlineStr">
        <is>
          <t>GRC / Risk Register (ServiceNow Risk, RSA Archer, LogicGate)</t>
        </is>
      </c>
      <c r="M126" s="8" t="inlineStr">
        <is>
          <t>CIL Architecture Team</t>
        </is>
      </c>
      <c r="N126" s="8" t="inlineStr">
        <is>
          <t>2026-06-21</t>
        </is>
      </c>
      <c r="O126" s="8" t="inlineStr">
        <is>
          <t>CorpStage CIL Registry v1.0</t>
        </is>
      </c>
      <c r="P126" s="8" t="inlineStr">
        <is>
          <t>Company, Group (collected per legal entity, not below Company level)</t>
        </is>
      </c>
      <c r="Q126" s="8" t="inlineStr">
        <is>
          <t>Global</t>
        </is>
      </c>
      <c r="R126" s="8" t="inlineStr">
        <is>
          <t>Tier 1 (Standard) — available to all frameworks and all customers</t>
        </is>
      </c>
      <c r="S12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7" ht="15" customHeight="1" s="6">
      <c r="A127" s="8" t="inlineStr">
        <is>
          <t>CDE-R126</t>
        </is>
      </c>
      <c r="B127" s="8" t="inlineStr">
        <is>
          <t>Early Warning Indicator Monitoring Frequency</t>
        </is>
      </c>
      <c r="C127" s="8" t="inlineStr">
        <is>
          <t>Text</t>
        </is>
      </c>
      <c r="D127" s="8" t="inlineStr">
        <is>
          <t>Recommended</t>
        </is>
      </c>
      <c r="E127" s="8" t="inlineStr">
        <is>
          <t>Optional</t>
        </is>
      </c>
      <c r="F127" s="8" t="inlineStr">
        <is>
          <t>P2</t>
        </is>
      </c>
      <c r="G127" s="8" t="inlineStr">
        <is>
          <t>Real-time/Daily/Weekly/Monthly</t>
        </is>
      </c>
      <c r="H127" s="8" t="inlineStr">
        <is>
          <t>TYPE:ENUM|ALLOWED:REAL_TIME,DAILY,WEEKLY,MONTHLY</t>
        </is>
      </c>
      <c r="I127" s="8" t="inlineStr">
        <is>
          <t>Point-in-time</t>
        </is>
      </c>
      <c r="J127" s="8" t="inlineStr">
        <is>
          <t>One-to-many</t>
        </is>
      </c>
      <c r="K127" s="8" t="inlineStr">
        <is>
          <t>N/A — not a one-to-many numeric field</t>
        </is>
      </c>
      <c r="L127" s="8" t="inlineStr">
        <is>
          <t>User Validation</t>
        </is>
      </c>
      <c r="M127" s="8" t="inlineStr">
        <is>
          <t>CIL Architecture Team</t>
        </is>
      </c>
      <c r="N127" s="8" t="inlineStr">
        <is>
          <t>2026-06-21</t>
        </is>
      </c>
      <c r="O127" s="8" t="inlineStr">
        <is>
          <t>CorpStage CIL Registry v1.0</t>
        </is>
      </c>
      <c r="P127" s="8" t="inlineStr">
        <is>
          <t>Company, Group (collected per legal entity, not below Company level)</t>
        </is>
      </c>
      <c r="Q127" s="8" t="inlineStr">
        <is>
          <t>Global</t>
        </is>
      </c>
      <c r="R127" s="8" t="inlineStr">
        <is>
          <t>Tier 1 (Standard) — available to all frameworks and all customers</t>
        </is>
      </c>
      <c r="S12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8" ht="15" customHeight="1" s="6">
      <c r="A128" s="8" t="inlineStr">
        <is>
          <t>CDE-R127</t>
        </is>
      </c>
      <c r="B128" s="8" t="inlineStr">
        <is>
          <t>Emerging Risk Identified (Not Yet Formalized)</t>
        </is>
      </c>
      <c r="C128" s="8" t="inlineStr">
        <is>
          <t>Text</t>
        </is>
      </c>
      <c r="D128" s="8" t="inlineStr">
        <is>
          <t>Recommended</t>
        </is>
      </c>
      <c r="E128" s="8" t="inlineStr">
        <is>
          <t>Optional</t>
        </is>
      </c>
      <c r="F128" s="8" t="inlineStr">
        <is>
          <t>P2</t>
        </is>
      </c>
      <c r="G128" s="8" t="inlineStr">
        <is>
          <t>Non-empty text</t>
        </is>
      </c>
      <c r="H128" s="8" t="inlineStr">
        <is>
          <t>TYPE:TEXT</t>
        </is>
      </c>
      <c r="I128" s="8" t="inlineStr">
        <is>
          <t>Point-in-time</t>
        </is>
      </c>
      <c r="J128" s="8" t="inlineStr">
        <is>
          <t>One-to-many</t>
        </is>
      </c>
      <c r="K128" s="8" t="inlineStr">
        <is>
          <t>N/A — not a one-to-many numeric field</t>
        </is>
      </c>
      <c r="L128" s="8" t="inlineStr">
        <is>
          <t>User Validation</t>
        </is>
      </c>
      <c r="M128" s="8" t="inlineStr">
        <is>
          <t>CIL Architecture Team</t>
        </is>
      </c>
      <c r="N128" s="8" t="inlineStr">
        <is>
          <t>2026-06-21</t>
        </is>
      </c>
      <c r="O128" s="8" t="inlineStr">
        <is>
          <t>CorpStage CIL Registry v1.0</t>
        </is>
      </c>
      <c r="P128" s="8" t="inlineStr">
        <is>
          <t>Company, Group (collected per legal entity, not below Company level)</t>
        </is>
      </c>
      <c r="Q128" s="8" t="inlineStr">
        <is>
          <t>Global</t>
        </is>
      </c>
      <c r="R128" s="8" t="inlineStr">
        <is>
          <t>Tier 1 (Standard) — available to all frameworks and all customers</t>
        </is>
      </c>
      <c r="S12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29" ht="15" customHeight="1" s="6">
      <c r="A129" s="8" t="inlineStr">
        <is>
          <t>CDE-R128</t>
        </is>
      </c>
      <c r="B129" s="8" t="inlineStr">
        <is>
          <t>Emerging Risk Source (e.g. weak signal, analyst flag)</t>
        </is>
      </c>
      <c r="C129" s="8" t="inlineStr">
        <is>
          <t>Text</t>
        </is>
      </c>
      <c r="D129" s="8" t="inlineStr">
        <is>
          <t>Supplemental</t>
        </is>
      </c>
      <c r="E129" s="8" t="inlineStr">
        <is>
          <t>Optional</t>
        </is>
      </c>
      <c r="F129" s="8" t="inlineStr">
        <is>
          <t>P3</t>
        </is>
      </c>
      <c r="G129" s="8" t="inlineStr">
        <is>
          <t>Non-empty text</t>
        </is>
      </c>
      <c r="H129" s="8" t="inlineStr">
        <is>
          <t>TYPE:TEXT</t>
        </is>
      </c>
      <c r="I129" s="8" t="inlineStr">
        <is>
          <t>Point-in-time</t>
        </is>
      </c>
      <c r="J129" s="8" t="inlineStr">
        <is>
          <t>One-to-many</t>
        </is>
      </c>
      <c r="K129" s="8" t="inlineStr">
        <is>
          <t>N/A — not a one-to-many numeric field</t>
        </is>
      </c>
      <c r="L129" s="8" t="inlineStr">
        <is>
          <t>User Validation</t>
        </is>
      </c>
      <c r="M129" s="8" t="inlineStr">
        <is>
          <t>CIL Architecture Team</t>
        </is>
      </c>
      <c r="N129" s="8" t="inlineStr">
        <is>
          <t>2026-06-21</t>
        </is>
      </c>
      <c r="O129" s="8" t="inlineStr">
        <is>
          <t>CorpStage CIL Registry v1.0</t>
        </is>
      </c>
      <c r="P129" s="8" t="inlineStr">
        <is>
          <t>Company, Group (collected per legal entity, not below Company level)</t>
        </is>
      </c>
      <c r="Q129" s="8" t="inlineStr">
        <is>
          <t>Global</t>
        </is>
      </c>
      <c r="R129" s="8" t="inlineStr">
        <is>
          <t>Tier 1 (Standard) — available to all frameworks and all customers</t>
        </is>
      </c>
      <c r="S12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0" ht="15" customHeight="1" s="6">
      <c r="A130" s="8" t="inlineStr">
        <is>
          <t>CDE-R129</t>
        </is>
      </c>
      <c r="B130" s="8" t="inlineStr">
        <is>
          <t>Emerging Risk Formalization Status</t>
        </is>
      </c>
      <c r="C130" s="8" t="inlineStr">
        <is>
          <t>Text</t>
        </is>
      </c>
      <c r="D130" s="8" t="inlineStr">
        <is>
          <t>Recommended</t>
        </is>
      </c>
      <c r="E130" s="8" t="inlineStr">
        <is>
          <t>Optional</t>
        </is>
      </c>
      <c r="F130" s="8" t="inlineStr">
        <is>
          <t>P2</t>
        </is>
      </c>
      <c r="G130" s="8" t="inlineStr">
        <is>
          <t>Monitoring/Under Review/Formalized</t>
        </is>
      </c>
      <c r="H130" s="8" t="inlineStr">
        <is>
          <t>TYPE:ENUM|ALLOWED:MONITORING,UNDER_REVIEW,FORMALIZED</t>
        </is>
      </c>
      <c r="I130" s="8" t="inlineStr">
        <is>
          <t>Effective-dated</t>
        </is>
      </c>
      <c r="J130" s="8" t="inlineStr">
        <is>
          <t>One-to-many</t>
        </is>
      </c>
      <c r="K130" s="8" t="inlineStr">
        <is>
          <t>N/A — not a one-to-many numeric field</t>
        </is>
      </c>
      <c r="L130" s="8" t="inlineStr">
        <is>
          <t>User Validation</t>
        </is>
      </c>
      <c r="M130" s="8" t="inlineStr">
        <is>
          <t>CIL Architecture Team</t>
        </is>
      </c>
      <c r="N130" s="8" t="inlineStr">
        <is>
          <t>2026-06-21</t>
        </is>
      </c>
      <c r="O130" s="8" t="inlineStr">
        <is>
          <t>CorpStage CIL Registry v1.0</t>
        </is>
      </c>
      <c r="P130" s="8" t="inlineStr">
        <is>
          <t>Company, Group (collected per legal entity, not below Company level)</t>
        </is>
      </c>
      <c r="Q130" s="8" t="inlineStr">
        <is>
          <t>Global</t>
        </is>
      </c>
      <c r="R130" s="8" t="inlineStr">
        <is>
          <t>Tier 1 (Standard) — available to all frameworks and all customers</t>
        </is>
      </c>
      <c r="S13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1" ht="15" customHeight="1" s="6">
      <c r="A131" s="8" t="inlineStr">
        <is>
          <t>CDE-R130</t>
        </is>
      </c>
      <c r="B131" s="8" t="inlineStr">
        <is>
          <t>Risk Correlation/Cascade Modeling Conducted</t>
        </is>
      </c>
      <c r="C131" s="8" t="inlineStr">
        <is>
          <t>Boolean</t>
        </is>
      </c>
      <c r="D131" s="8" t="inlineStr">
        <is>
          <t>Required</t>
        </is>
      </c>
      <c r="E131" s="8" t="inlineStr">
        <is>
          <t>Optional</t>
        </is>
      </c>
      <c r="F131" s="8" t="inlineStr">
        <is>
          <t>P1</t>
        </is>
      </c>
      <c r="G131" s="8" t="inlineStr">
        <is>
          <t>True/False/Unknown (tri-state)</t>
        </is>
      </c>
      <c r="H131" s="8" t="inlineStr">
        <is>
          <t>TYPE:BOOLEAN|ALLOWED:TRUE,FALSE,UNKNOWN</t>
        </is>
      </c>
      <c r="I131" s="8" t="inlineStr">
        <is>
          <t>Effective-dated</t>
        </is>
      </c>
      <c r="J131" s="8" t="inlineStr">
        <is>
          <t>One-to-one</t>
        </is>
      </c>
      <c r="K131" s="8" t="inlineStr">
        <is>
          <t>N/A — not a one-to-many numeric field</t>
        </is>
      </c>
      <c r="L131" s="8" t="inlineStr">
        <is>
          <t>User Validation</t>
        </is>
      </c>
      <c r="M131" s="8" t="inlineStr">
        <is>
          <t>CIL Architecture Team</t>
        </is>
      </c>
      <c r="N131" s="8" t="inlineStr">
        <is>
          <t>2026-06-21</t>
        </is>
      </c>
      <c r="O131" s="8" t="inlineStr">
        <is>
          <t>CorpStage CIL Registry v1.0</t>
        </is>
      </c>
      <c r="P131" s="8" t="inlineStr">
        <is>
          <t>Group only (single enterprise-wide fact, does not repeat per node)</t>
        </is>
      </c>
      <c r="Q131" s="8" t="inlineStr">
        <is>
          <t>Global</t>
        </is>
      </c>
      <c r="R131" s="8" t="inlineStr">
        <is>
          <t>Tier 1 (Standard) — available to all frameworks and all customers</t>
        </is>
      </c>
      <c r="S13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2" ht="15" customHeight="1" s="6">
      <c r="A132" s="8" t="inlineStr">
        <is>
          <t>CDE-R131</t>
        </is>
      </c>
      <c r="B132" s="8" t="inlineStr">
        <is>
          <t>Identified Risk Correlation Pair</t>
        </is>
      </c>
      <c r="C132" s="8" t="inlineStr">
        <is>
          <t>Text</t>
        </is>
      </c>
      <c r="D132" s="8" t="inlineStr">
        <is>
          <t>Supplemental</t>
        </is>
      </c>
      <c r="E132" s="8" t="inlineStr">
        <is>
          <t>Optional</t>
        </is>
      </c>
      <c r="F132" s="8" t="inlineStr">
        <is>
          <t>P3</t>
        </is>
      </c>
      <c r="G132" s="8" t="inlineStr">
        <is>
          <t>Non-empty text</t>
        </is>
      </c>
      <c r="H132" s="8" t="inlineStr">
        <is>
          <t>TYPE:TEXT</t>
        </is>
      </c>
      <c r="I132" s="8" t="inlineStr">
        <is>
          <t>Point-in-time</t>
        </is>
      </c>
      <c r="J132" s="8" t="inlineStr">
        <is>
          <t>One-to-many</t>
        </is>
      </c>
      <c r="K132" s="8" t="inlineStr">
        <is>
          <t>N/A — not a one-to-many numeric field</t>
        </is>
      </c>
      <c r="L132" s="8" t="inlineStr">
        <is>
          <t>User Validation</t>
        </is>
      </c>
      <c r="M132" s="8" t="inlineStr">
        <is>
          <t>CIL Architecture Team</t>
        </is>
      </c>
      <c r="N132" s="8" t="inlineStr">
        <is>
          <t>2026-06-21</t>
        </is>
      </c>
      <c r="O132" s="8" t="inlineStr">
        <is>
          <t>CorpStage CIL Registry v1.0</t>
        </is>
      </c>
      <c r="P132" s="8" t="inlineStr">
        <is>
          <t>Company, Group (collected per legal entity, not below Company level)</t>
        </is>
      </c>
      <c r="Q132" s="8" t="inlineStr">
        <is>
          <t>Global</t>
        </is>
      </c>
      <c r="R132" s="8" t="inlineStr">
        <is>
          <t>Tier 1 (Standard) — available to all frameworks and all customers</t>
        </is>
      </c>
      <c r="S13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3" ht="15" customHeight="1" s="6">
      <c r="A133" s="8" t="inlineStr">
        <is>
          <t>CDE-R132</t>
        </is>
      </c>
      <c r="B133" s="8" t="inlineStr">
        <is>
          <t>GRC Platform/Risk Management Technology Used</t>
        </is>
      </c>
      <c r="C133" s="8" t="inlineStr">
        <is>
          <t>Text</t>
        </is>
      </c>
      <c r="D133" s="8" t="inlineStr">
        <is>
          <t>Recommended</t>
        </is>
      </c>
      <c r="E133" s="8" t="inlineStr">
        <is>
          <t>Optional</t>
        </is>
      </c>
      <c r="F133" s="8" t="inlineStr">
        <is>
          <t>P2</t>
        </is>
      </c>
      <c r="G133" s="8" t="inlineStr">
        <is>
          <t>Non-empty text</t>
        </is>
      </c>
      <c r="H133" s="8" t="inlineStr">
        <is>
          <t>TYPE:TEXT</t>
        </is>
      </c>
      <c r="I133" s="8" t="inlineStr">
        <is>
          <t>Effective-dated</t>
        </is>
      </c>
      <c r="J133" s="8" t="inlineStr">
        <is>
          <t>One-to-one</t>
        </is>
      </c>
      <c r="K133" s="8" t="inlineStr">
        <is>
          <t>N/A — not a one-to-many numeric field</t>
        </is>
      </c>
      <c r="L133" s="8" t="inlineStr">
        <is>
          <t>User Validation</t>
        </is>
      </c>
      <c r="M133" s="8" t="inlineStr">
        <is>
          <t>CIL Architecture Team</t>
        </is>
      </c>
      <c r="N133" s="8" t="inlineStr">
        <is>
          <t>2026-06-21</t>
        </is>
      </c>
      <c r="O133" s="8" t="inlineStr">
        <is>
          <t>CorpStage CIL Registry v1.0</t>
        </is>
      </c>
      <c r="P133" s="8" t="inlineStr">
        <is>
          <t>Group only (single enterprise-wide fact, does not repeat per node)</t>
        </is>
      </c>
      <c r="Q133" s="8" t="inlineStr">
        <is>
          <t>Global</t>
        </is>
      </c>
      <c r="R133" s="8" t="inlineStr">
        <is>
          <t>Tier 1 (Standard) — available to all frameworks and all customers</t>
        </is>
      </c>
      <c r="S13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4" ht="15" customHeight="1" s="6">
      <c r="A134" s="8" t="inlineStr">
        <is>
          <t>CDE-R133</t>
        </is>
      </c>
      <c r="B134" s="8" t="inlineStr">
        <is>
          <t>Risk Data Centralized in Single System</t>
        </is>
      </c>
      <c r="C134" s="8" t="inlineStr">
        <is>
          <t>Boolean</t>
        </is>
      </c>
      <c r="D134" s="8" t="inlineStr">
        <is>
          <t>Recommended</t>
        </is>
      </c>
      <c r="E134" s="8" t="inlineStr">
        <is>
          <t>Optional</t>
        </is>
      </c>
      <c r="F134" s="8" t="inlineStr">
        <is>
          <t>P2</t>
        </is>
      </c>
      <c r="G134" s="8" t="inlineStr">
        <is>
          <t>True/False/Unknown (tri-state)</t>
        </is>
      </c>
      <c r="H134" s="8" t="inlineStr">
        <is>
          <t>TYPE:BOOLEAN|ALLOWED:TRUE,FALSE,UNKNOWN</t>
        </is>
      </c>
      <c r="I134" s="8" t="inlineStr">
        <is>
          <t>Effective-dated</t>
        </is>
      </c>
      <c r="J134" s="8" t="inlineStr">
        <is>
          <t>One-to-one</t>
        </is>
      </c>
      <c r="K134" s="8" t="inlineStr">
        <is>
          <t>N/A — not a one-to-many numeric field</t>
        </is>
      </c>
      <c r="L134" s="8" t="inlineStr">
        <is>
          <t>User Validation</t>
        </is>
      </c>
      <c r="M134" s="8" t="inlineStr">
        <is>
          <t>CIL Architecture Team</t>
        </is>
      </c>
      <c r="N134" s="8" t="inlineStr">
        <is>
          <t>2026-06-21</t>
        </is>
      </c>
      <c r="O134" s="8" t="inlineStr">
        <is>
          <t>CorpStage CIL Registry v1.0</t>
        </is>
      </c>
      <c r="P134" s="8" t="inlineStr">
        <is>
          <t>Group only (single enterprise-wide fact, does not repeat per node)</t>
        </is>
      </c>
      <c r="Q134" s="8" t="inlineStr">
        <is>
          <t>Global</t>
        </is>
      </c>
      <c r="R134" s="8" t="inlineStr">
        <is>
          <t>Tier 1 (Standard) — available to all frameworks and all customers</t>
        </is>
      </c>
      <c r="S13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5" ht="15" customHeight="1" s="6">
      <c r="A135" s="8" t="inlineStr">
        <is>
          <t>CDE-R134</t>
        </is>
      </c>
      <c r="B135" s="8" t="inlineStr">
        <is>
          <t>Risk Data Quality Validation Process Exists</t>
        </is>
      </c>
      <c r="C135" s="8" t="inlineStr">
        <is>
          <t>Boolean</t>
        </is>
      </c>
      <c r="D135" s="8" t="inlineStr">
        <is>
          <t>Required</t>
        </is>
      </c>
      <c r="E135" s="8" t="inlineStr">
        <is>
          <t>Optional</t>
        </is>
      </c>
      <c r="F135" s="8" t="inlineStr">
        <is>
          <t>P1</t>
        </is>
      </c>
      <c r="G135" s="8" t="inlineStr">
        <is>
          <t>True/False/Unknown (tri-state)</t>
        </is>
      </c>
      <c r="H135" s="8" t="inlineStr">
        <is>
          <t>TYPE:BOOLEAN|ALLOWED:TRUE,FALSE,UNKNOWN</t>
        </is>
      </c>
      <c r="I135" s="8" t="inlineStr">
        <is>
          <t>Effective-dated</t>
        </is>
      </c>
      <c r="J135" s="8" t="inlineStr">
        <is>
          <t>One-to-one</t>
        </is>
      </c>
      <c r="K135" s="8" t="inlineStr">
        <is>
          <t>N/A — not a one-to-many numeric field</t>
        </is>
      </c>
      <c r="L135" s="8" t="inlineStr">
        <is>
          <t>User Validation</t>
        </is>
      </c>
      <c r="M135" s="8" t="inlineStr">
        <is>
          <t>CIL Architecture Team</t>
        </is>
      </c>
      <c r="N135" s="8" t="inlineStr">
        <is>
          <t>2026-06-21</t>
        </is>
      </c>
      <c r="O135" s="8" t="inlineStr">
        <is>
          <t>CorpStage CIL Registry v1.0</t>
        </is>
      </c>
      <c r="P135" s="8" t="inlineStr">
        <is>
          <t>Group only (single enterprise-wide fact, does not repeat per node)</t>
        </is>
      </c>
      <c r="Q135" s="8" t="inlineStr">
        <is>
          <t>Global</t>
        </is>
      </c>
      <c r="R135" s="8" t="inlineStr">
        <is>
          <t>Tier 1 (Standard) — available to all frameworks and all customers</t>
        </is>
      </c>
      <c r="S13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6" ht="15" customHeight="1" s="6">
      <c r="A136" s="8" t="inlineStr">
        <is>
          <t>CDE-R135</t>
        </is>
      </c>
      <c r="B136" s="8" t="inlineStr">
        <is>
          <t>Independent Risk Data Audit Conducted</t>
        </is>
      </c>
      <c r="C136" s="8" t="inlineStr">
        <is>
          <t>Boolean</t>
        </is>
      </c>
      <c r="D136" s="8" t="inlineStr">
        <is>
          <t>Recommended</t>
        </is>
      </c>
      <c r="E136" s="8" t="inlineStr">
        <is>
          <t>Optional</t>
        </is>
      </c>
      <c r="F136" s="8" t="inlineStr">
        <is>
          <t>P2</t>
        </is>
      </c>
      <c r="G136" s="8" t="inlineStr">
        <is>
          <t>True/False/Unknown (tri-state)</t>
        </is>
      </c>
      <c r="H136" s="8" t="inlineStr">
        <is>
          <t>TYPE:BOOLEAN|ALLOWED:TRUE,FALSE,UNKNOWN</t>
        </is>
      </c>
      <c r="I136" s="8" t="inlineStr">
        <is>
          <t>Point-in-time</t>
        </is>
      </c>
      <c r="J136" s="8" t="inlineStr">
        <is>
          <t>One-to-one</t>
        </is>
      </c>
      <c r="K136" s="8" t="inlineStr">
        <is>
          <t>N/A — not a one-to-many numeric field</t>
        </is>
      </c>
      <c r="L136" s="8" t="inlineStr">
        <is>
          <t>User Validation</t>
        </is>
      </c>
      <c r="M136" s="8" t="inlineStr">
        <is>
          <t>CIL Architecture Team</t>
        </is>
      </c>
      <c r="N136" s="8" t="inlineStr">
        <is>
          <t>2026-06-21</t>
        </is>
      </c>
      <c r="O136" s="8" t="inlineStr">
        <is>
          <t>CorpStage CIL Registry v1.0</t>
        </is>
      </c>
      <c r="P136" s="8" t="inlineStr">
        <is>
          <t>Group only (single enterprise-wide fact, does not repeat per node)</t>
        </is>
      </c>
      <c r="Q136" s="8" t="inlineStr">
        <is>
          <t>Global</t>
        </is>
      </c>
      <c r="R136" s="8" t="inlineStr">
        <is>
          <t>Tier 1 (Standard) — available to all frameworks and all customers</t>
        </is>
      </c>
      <c r="S13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7" ht="15" customHeight="1" s="6">
      <c r="A137" s="8" t="inlineStr">
        <is>
          <t>CDE-R136</t>
        </is>
      </c>
      <c r="B137" s="8" t="inlineStr">
        <is>
          <t>Risk Metric Gaming Incident Identified</t>
        </is>
      </c>
      <c r="C137" s="8" t="inlineStr">
        <is>
          <t>Boolean</t>
        </is>
      </c>
      <c r="D137" s="8" t="inlineStr">
        <is>
          <t>Supplemental</t>
        </is>
      </c>
      <c r="E137" s="8" t="inlineStr">
        <is>
          <t>Optional</t>
        </is>
      </c>
      <c r="F137" s="8" t="inlineStr">
        <is>
          <t>P3</t>
        </is>
      </c>
      <c r="G137" s="8" t="inlineStr">
        <is>
          <t>True/False/Unknown (tri-state)</t>
        </is>
      </c>
      <c r="H137" s="8" t="inlineStr">
        <is>
          <t>TYPE:BOOLEAN|ALLOWED:TRUE,FALSE,UNKNOWN</t>
        </is>
      </c>
      <c r="I137" s="8" t="inlineStr">
        <is>
          <t>Point-in-time</t>
        </is>
      </c>
      <c r="J137" s="8" t="inlineStr">
        <is>
          <t>One-to-one</t>
        </is>
      </c>
      <c r="K137" s="8" t="inlineStr">
        <is>
          <t>N/A — not a one-to-many numeric field</t>
        </is>
      </c>
      <c r="L137" s="8" t="inlineStr">
        <is>
          <t>User Validation</t>
        </is>
      </c>
      <c r="M137" s="8" t="inlineStr">
        <is>
          <t>CIL Architecture Team</t>
        </is>
      </c>
      <c r="N137" s="8" t="inlineStr">
        <is>
          <t>2026-06-21</t>
        </is>
      </c>
      <c r="O137" s="8" t="inlineStr">
        <is>
          <t>CorpStage CIL Registry v1.0</t>
        </is>
      </c>
      <c r="P137" s="8" t="inlineStr">
        <is>
          <t>Group only (single enterprise-wide fact, does not repeat per node)</t>
        </is>
      </c>
      <c r="Q137" s="8" t="inlineStr">
        <is>
          <t>Global</t>
        </is>
      </c>
      <c r="R137" s="8" t="inlineStr">
        <is>
          <t>Tier 1 (Standard) — available to all frameworks and all customers</t>
        </is>
      </c>
      <c r="S13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8" ht="15" customHeight="1" s="6">
      <c r="A138" s="8" t="inlineStr">
        <is>
          <t>CDE-R137</t>
        </is>
      </c>
      <c r="B138" s="8" t="inlineStr">
        <is>
          <t>Risk Identification Methodology Last Reviewed Date</t>
        </is>
      </c>
      <c r="C138" s="8" t="inlineStr">
        <is>
          <t>Date</t>
        </is>
      </c>
      <c r="D138" s="8" t="inlineStr">
        <is>
          <t>Supplemental</t>
        </is>
      </c>
      <c r="E138" s="8" t="inlineStr">
        <is>
          <t>Optional</t>
        </is>
      </c>
      <c r="F138" s="8" t="inlineStr">
        <is>
          <t>P3</t>
        </is>
      </c>
      <c r="G138" s="8" t="inlineStr">
        <is>
          <t>Valid date</t>
        </is>
      </c>
      <c r="H138" s="8" t="inlineStr">
        <is>
          <t>TYPE:DATE</t>
        </is>
      </c>
      <c r="I138" s="8" t="inlineStr">
        <is>
          <t>Point-in-time</t>
        </is>
      </c>
      <c r="J138" s="8" t="inlineStr">
        <is>
          <t>One-to-one</t>
        </is>
      </c>
      <c r="K138" s="8" t="inlineStr">
        <is>
          <t>N/A — not a one-to-many numeric field</t>
        </is>
      </c>
      <c r="L138" s="8" t="inlineStr">
        <is>
          <t>User Validation</t>
        </is>
      </c>
      <c r="M138" s="8" t="inlineStr">
        <is>
          <t>CIL Architecture Team</t>
        </is>
      </c>
      <c r="N138" s="8" t="inlineStr">
        <is>
          <t>2026-06-21</t>
        </is>
      </c>
      <c r="O138" s="8" t="inlineStr">
        <is>
          <t>CorpStage CIL Registry v1.0</t>
        </is>
      </c>
      <c r="P138" s="8" t="inlineStr">
        <is>
          <t>Group only (single enterprise-wide fact, does not repeat per node)</t>
        </is>
      </c>
      <c r="Q138" s="8" t="inlineStr">
        <is>
          <t>Global</t>
        </is>
      </c>
      <c r="R138" s="8" t="inlineStr">
        <is>
          <t>Tier 1 (Standard) — available to all frameworks and all customers</t>
        </is>
      </c>
      <c r="S13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39" ht="15" customHeight="1" s="6">
      <c r="A139" s="8" t="inlineStr">
        <is>
          <t>CDE-R138</t>
        </is>
      </c>
      <c r="B139" s="8" t="inlineStr">
        <is>
          <t>Risk Owner Function Type (Individual/Committee/Function)</t>
        </is>
      </c>
      <c r="C139" s="8" t="inlineStr">
        <is>
          <t>Text</t>
        </is>
      </c>
      <c r="D139" s="8" t="inlineStr">
        <is>
          <t>Supplemental</t>
        </is>
      </c>
      <c r="E139" s="8" t="inlineStr">
        <is>
          <t>Optional</t>
        </is>
      </c>
      <c r="F139" s="8" t="inlineStr">
        <is>
          <t>P3</t>
        </is>
      </c>
      <c r="G139" s="8" t="inlineStr">
        <is>
          <t>Individual/Committee/Function</t>
        </is>
      </c>
      <c r="H139" s="8" t="inlineStr">
        <is>
          <t>TYPE:ENUM|ALLOWED:INDIVIDUAL,COMMITTEE,FUNCTION</t>
        </is>
      </c>
      <c r="I139" s="8" t="inlineStr">
        <is>
          <t>Point-in-time</t>
        </is>
      </c>
      <c r="J139" s="8" t="inlineStr">
        <is>
          <t>One-to-many</t>
        </is>
      </c>
      <c r="K139" s="8" t="inlineStr">
        <is>
          <t>N/A — not a one-to-many numeric field</t>
        </is>
      </c>
      <c r="L139" s="8" t="inlineStr">
        <is>
          <t>GRC / Risk Register (ServiceNow Risk, RSA Archer, LogicGate)</t>
        </is>
      </c>
      <c r="M139" s="8" t="inlineStr">
        <is>
          <t>CIL Architecture Team</t>
        </is>
      </c>
      <c r="N139" s="8" t="inlineStr">
        <is>
          <t>2026-06-21</t>
        </is>
      </c>
      <c r="O139" s="8" t="inlineStr">
        <is>
          <t>CorpStage CIL Registry v1.0</t>
        </is>
      </c>
      <c r="P139" s="8" t="inlineStr">
        <is>
          <t>Company, Group (collected per legal entity, not below Company level)</t>
        </is>
      </c>
      <c r="Q139" s="8" t="inlineStr">
        <is>
          <t>Global</t>
        </is>
      </c>
      <c r="R139" s="8" t="inlineStr">
        <is>
          <t>Tier 1 (Standard) — available to all frameworks and all customers</t>
        </is>
      </c>
      <c r="S13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0" ht="15" customHeight="1" s="6">
      <c r="A140" s="8" t="inlineStr">
        <is>
          <t>CDE-R139</t>
        </is>
      </c>
      <c r="B140" s="8" t="inlineStr">
        <is>
          <t>Risk Appetite Review Approved By</t>
        </is>
      </c>
      <c r="C140" s="8" t="inlineStr">
        <is>
          <t>Text</t>
        </is>
      </c>
      <c r="D140" s="8" t="inlineStr">
        <is>
          <t>Supplemental</t>
        </is>
      </c>
      <c r="E140" s="8" t="inlineStr">
        <is>
          <t>Optional</t>
        </is>
      </c>
      <c r="F140" s="8" t="inlineStr">
        <is>
          <t>P3</t>
        </is>
      </c>
      <c r="G140" s="8" t="inlineStr">
        <is>
          <t>Non-empty text</t>
        </is>
      </c>
      <c r="H140" s="8" t="inlineStr">
        <is>
          <t>TYPE:TEXT</t>
        </is>
      </c>
      <c r="I140" s="8" t="inlineStr">
        <is>
          <t>Point-in-time</t>
        </is>
      </c>
      <c r="J140" s="8" t="inlineStr">
        <is>
          <t>One-to-one</t>
        </is>
      </c>
      <c r="K140" s="8" t="inlineStr">
        <is>
          <t>N/A — not a one-to-many numeric field</t>
        </is>
      </c>
      <c r="L140" s="8" t="inlineStr">
        <is>
          <t>Board Portal / Governance Records (Diligent, BoardEffect)</t>
        </is>
      </c>
      <c r="M140" s="8" t="inlineStr">
        <is>
          <t>CIL Architecture Team</t>
        </is>
      </c>
      <c r="N140" s="8" t="inlineStr">
        <is>
          <t>2026-06-21</t>
        </is>
      </c>
      <c r="O140" s="8" t="inlineStr">
        <is>
          <t>CorpStage CIL Registry v1.0</t>
        </is>
      </c>
      <c r="P140" s="8" t="inlineStr">
        <is>
          <t>Group only (single enterprise-wide fact, does not repeat per node)</t>
        </is>
      </c>
      <c r="Q140" s="8" t="inlineStr">
        <is>
          <t>Global</t>
        </is>
      </c>
      <c r="R140" s="8" t="inlineStr">
        <is>
          <t>Tier 1 (Standard) — available to all frameworks and all customers</t>
        </is>
      </c>
      <c r="S14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1" ht="15" customHeight="1" s="6">
      <c r="A141" s="8" t="inlineStr">
        <is>
          <t>CDE-R140</t>
        </is>
      </c>
      <c r="B141" s="8" t="inlineStr">
        <is>
          <t>Insurance/Risk Transfer Mechanism Last Renewed Date</t>
        </is>
      </c>
      <c r="C141" s="8" t="inlineStr">
        <is>
          <t>Date</t>
        </is>
      </c>
      <c r="D141" s="8" t="inlineStr">
        <is>
          <t>Supplemental</t>
        </is>
      </c>
      <c r="E141" s="8" t="inlineStr">
        <is>
          <t>Optional</t>
        </is>
      </c>
      <c r="F141" s="8" t="inlineStr">
        <is>
          <t>P3</t>
        </is>
      </c>
      <c r="G141" s="8" t="inlineStr">
        <is>
          <t>Valid date</t>
        </is>
      </c>
      <c r="H141" s="8" t="inlineStr">
        <is>
          <t>TYPE:DATE</t>
        </is>
      </c>
      <c r="I141" s="8" t="inlineStr">
        <is>
          <t>Point-in-time</t>
        </is>
      </c>
      <c r="J141" s="8" t="inlineStr">
        <is>
          <t>One-to-many</t>
        </is>
      </c>
      <c r="K141" s="8" t="inlineStr">
        <is>
          <t>N/A — not a one-to-many numeric field</t>
        </is>
      </c>
      <c r="L141" s="8" t="inlineStr">
        <is>
          <t>Finance / ERP System (SAP S/4HANA, Oracle Fusion, NetSuite)</t>
        </is>
      </c>
      <c r="M141" s="8" t="inlineStr">
        <is>
          <t>CIL Architecture Team</t>
        </is>
      </c>
      <c r="N141" s="8" t="inlineStr">
        <is>
          <t>2026-06-21</t>
        </is>
      </c>
      <c r="O141" s="8" t="inlineStr">
        <is>
          <t>CorpStage CIL Registry v1.0</t>
        </is>
      </c>
      <c r="P141" s="8" t="inlineStr">
        <is>
          <t>Company, Group (collected per legal entity, not below Company level)</t>
        </is>
      </c>
      <c r="Q141" s="8" t="inlineStr">
        <is>
          <t>Global</t>
        </is>
      </c>
      <c r="R141" s="8" t="inlineStr">
        <is>
          <t>Tier 1 (Standard) — available to all frameworks and all customers</t>
        </is>
      </c>
      <c r="S14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2" ht="15" customHeight="1" s="6">
      <c r="A142" s="8" t="inlineStr">
        <is>
          <t>CDE-R141</t>
        </is>
      </c>
      <c r="B142" s="8" t="inlineStr">
        <is>
          <t>Retained Risk Exposure Last Reviewed Date</t>
        </is>
      </c>
      <c r="C142" s="8" t="inlineStr">
        <is>
          <t>Date</t>
        </is>
      </c>
      <c r="D142" s="8" t="inlineStr">
        <is>
          <t>Supplemental</t>
        </is>
      </c>
      <c r="E142" s="8" t="inlineStr">
        <is>
          <t>Optional</t>
        </is>
      </c>
      <c r="F142" s="8" t="inlineStr">
        <is>
          <t>P3</t>
        </is>
      </c>
      <c r="G142" s="8" t="inlineStr">
        <is>
          <t>Valid date</t>
        </is>
      </c>
      <c r="H142" s="8" t="inlineStr">
        <is>
          <t>TYPE:DATE</t>
        </is>
      </c>
      <c r="I142" s="8" t="inlineStr">
        <is>
          <t>Point-in-time</t>
        </is>
      </c>
      <c r="J142" s="8" t="inlineStr">
        <is>
          <t>One-to-one</t>
        </is>
      </c>
      <c r="K142" s="8" t="inlineStr">
        <is>
          <t>N/A — not a one-to-many numeric field</t>
        </is>
      </c>
      <c r="L142" s="8" t="inlineStr">
        <is>
          <t>User Validation</t>
        </is>
      </c>
      <c r="M142" s="8" t="inlineStr">
        <is>
          <t>CIL Architecture Team</t>
        </is>
      </c>
      <c r="N142" s="8" t="inlineStr">
        <is>
          <t>2026-06-21</t>
        </is>
      </c>
      <c r="O142" s="8" t="inlineStr">
        <is>
          <t>CorpStage CIL Registry v1.0</t>
        </is>
      </c>
      <c r="P142" s="8" t="inlineStr">
        <is>
          <t>Group only (single enterprise-wide fact, does not repeat per node)</t>
        </is>
      </c>
      <c r="Q142" s="8" t="inlineStr">
        <is>
          <t>Global</t>
        </is>
      </c>
      <c r="R142" s="8" t="inlineStr">
        <is>
          <t>Tier 1 (Standard) — available to all frameworks and all customers</t>
        </is>
      </c>
      <c r="S14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3" ht="15" customHeight="1" s="6">
      <c r="A143" s="8" t="inlineStr">
        <is>
          <t>CDE-R142</t>
        </is>
      </c>
      <c r="B143" s="8" t="inlineStr">
        <is>
          <t>Mitigation Cost Decision Owner</t>
        </is>
      </c>
      <c r="C143" s="8" t="inlineStr">
        <is>
          <t>Text</t>
        </is>
      </c>
      <c r="D143" s="8" t="inlineStr">
        <is>
          <t>Supplemental</t>
        </is>
      </c>
      <c r="E143" s="8" t="inlineStr">
        <is>
          <t>Optional</t>
        </is>
      </c>
      <c r="F143" s="8" t="inlineStr">
        <is>
          <t>P3</t>
        </is>
      </c>
      <c r="G143" s="8" t="inlineStr">
        <is>
          <t>Non-empty text</t>
        </is>
      </c>
      <c r="H143" s="8" t="inlineStr">
        <is>
          <t>TYPE:TEXT</t>
        </is>
      </c>
      <c r="I143" s="8" t="inlineStr">
        <is>
          <t>Point-in-time</t>
        </is>
      </c>
      <c r="J143" s="8" t="inlineStr">
        <is>
          <t>One-to-many</t>
        </is>
      </c>
      <c r="K143" s="8" t="inlineStr">
        <is>
          <t>N/A — not a one-to-many numeric field</t>
        </is>
      </c>
      <c r="L143" s="8" t="inlineStr">
        <is>
          <t>User Validation</t>
        </is>
      </c>
      <c r="M143" s="8" t="inlineStr">
        <is>
          <t>CIL Architecture Team</t>
        </is>
      </c>
      <c r="N143" s="8" t="inlineStr">
        <is>
          <t>2026-06-21</t>
        </is>
      </c>
      <c r="O143" s="8" t="inlineStr">
        <is>
          <t>CorpStage CIL Registry v1.0</t>
        </is>
      </c>
      <c r="P143" s="8" t="inlineStr">
        <is>
          <t>Company, Group (collected per legal entity, not below Company level)</t>
        </is>
      </c>
      <c r="Q143" s="8" t="inlineStr">
        <is>
          <t>Global</t>
        </is>
      </c>
      <c r="R143" s="8" t="inlineStr">
        <is>
          <t>Tier 1 (Standard) — available to all frameworks and all customers</t>
        </is>
      </c>
      <c r="S14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4" ht="15" customHeight="1" s="6">
      <c r="A144" s="8" t="inlineStr">
        <is>
          <t>CDE-R143</t>
        </is>
      </c>
      <c r="B144" s="8" t="inlineStr">
        <is>
          <t>FX Hedge Instrument Type Used</t>
        </is>
      </c>
      <c r="C144" s="8" t="inlineStr">
        <is>
          <t>Text</t>
        </is>
      </c>
      <c r="D144" s="8" t="inlineStr">
        <is>
          <t>Supplemental</t>
        </is>
      </c>
      <c r="E144" s="8" t="inlineStr">
        <is>
          <t>Optional</t>
        </is>
      </c>
      <c r="F144" s="8" t="inlineStr">
        <is>
          <t>P3</t>
        </is>
      </c>
      <c r="G144" s="8" t="inlineStr">
        <is>
          <t>Forward/Option/Swap/Natural Hedge</t>
        </is>
      </c>
      <c r="H144" s="8" t="inlineStr">
        <is>
          <t>TYPE:ENUM|ALLOWED:FORWARD,OPTION,SWAP,NATURAL_HEDGE</t>
        </is>
      </c>
      <c r="I144" s="8" t="inlineStr">
        <is>
          <t>Point-in-time</t>
        </is>
      </c>
      <c r="J144" s="8" t="inlineStr">
        <is>
          <t>One-to-many</t>
        </is>
      </c>
      <c r="K144" s="8" t="inlineStr">
        <is>
          <t>N/A — not a one-to-many numeric field</t>
        </is>
      </c>
      <c r="L144" s="8" t="inlineStr">
        <is>
          <t>Finance / ERP System (SAP S/4HANA, Oracle Fusion, NetSuite)</t>
        </is>
      </c>
      <c r="M144" s="8" t="inlineStr">
        <is>
          <t>CIL Architecture Team</t>
        </is>
      </c>
      <c r="N144" s="8" t="inlineStr">
        <is>
          <t>2026-06-21</t>
        </is>
      </c>
      <c r="O144" s="8" t="inlineStr">
        <is>
          <t>CorpStage CIL Registry v1.0</t>
        </is>
      </c>
      <c r="P144" s="8" t="inlineStr">
        <is>
          <t>Company, Group (collected per legal entity, not below Company level)</t>
        </is>
      </c>
      <c r="Q144" s="8" t="inlineStr">
        <is>
          <t>Global</t>
        </is>
      </c>
      <c r="R144" s="8" t="inlineStr">
        <is>
          <t>Tier 1 (Standard) — available to all frameworks and all customers</t>
        </is>
      </c>
      <c r="S14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5" ht="15" customHeight="1" s="6">
      <c r="A145" s="8" t="inlineStr">
        <is>
          <t>CDE-R144</t>
        </is>
      </c>
      <c r="B145" s="8" t="inlineStr">
        <is>
          <t>Interest Rate Risk Last Assessed Date</t>
        </is>
      </c>
      <c r="C145" s="8" t="inlineStr">
        <is>
          <t>Date</t>
        </is>
      </c>
      <c r="D145" s="8" t="inlineStr">
        <is>
          <t>Supplemental</t>
        </is>
      </c>
      <c r="E145" s="8" t="inlineStr">
        <is>
          <t>Optional</t>
        </is>
      </c>
      <c r="F145" s="8" t="inlineStr">
        <is>
          <t>P3</t>
        </is>
      </c>
      <c r="G145" s="8" t="inlineStr">
        <is>
          <t>Valid date</t>
        </is>
      </c>
      <c r="H145" s="8" t="inlineStr">
        <is>
          <t>TYPE:DATE</t>
        </is>
      </c>
      <c r="I145" s="8" t="inlineStr">
        <is>
          <t>Point-in-time</t>
        </is>
      </c>
      <c r="J145" s="8" t="inlineStr">
        <is>
          <t>One-to-one</t>
        </is>
      </c>
      <c r="K145" s="8" t="inlineStr">
        <is>
          <t>N/A — not a one-to-many numeric field</t>
        </is>
      </c>
      <c r="L145" s="8" t="inlineStr">
        <is>
          <t>Finance / ERP System (SAP S/4HANA, Oracle Fusion, NetSuite)</t>
        </is>
      </c>
      <c r="M145" s="8" t="inlineStr">
        <is>
          <t>CIL Architecture Team</t>
        </is>
      </c>
      <c r="N145" s="8" t="inlineStr">
        <is>
          <t>2026-06-21</t>
        </is>
      </c>
      <c r="O145" s="8" t="inlineStr">
        <is>
          <t>CorpStage CIL Registry v1.0</t>
        </is>
      </c>
      <c r="P145" s="8" t="inlineStr">
        <is>
          <t>Group only (single enterprise-wide fact, does not repeat per node)</t>
        </is>
      </c>
      <c r="Q145" s="8" t="inlineStr">
        <is>
          <t>Global</t>
        </is>
      </c>
      <c r="R145" s="8" t="inlineStr">
        <is>
          <t>Tier 1 (Standard) — available to all frameworks and all customers</t>
        </is>
      </c>
      <c r="S14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6" ht="15" customHeight="1" s="6">
      <c r="A146" s="8" t="inlineStr">
        <is>
          <t>CDE-R145</t>
        </is>
      </c>
      <c r="B146" s="8" t="inlineStr">
        <is>
          <t>Counterparty Default Risk Last Reviewed Date</t>
        </is>
      </c>
      <c r="C146" s="8" t="inlineStr">
        <is>
          <t>Date</t>
        </is>
      </c>
      <c r="D146" s="8" t="inlineStr">
        <is>
          <t>Supplemental</t>
        </is>
      </c>
      <c r="E146" s="8" t="inlineStr">
        <is>
          <t>Optional</t>
        </is>
      </c>
      <c r="F146" s="8" t="inlineStr">
        <is>
          <t>P3</t>
        </is>
      </c>
      <c r="G146" s="8" t="inlineStr">
        <is>
          <t>Valid date</t>
        </is>
      </c>
      <c r="H146" s="8" t="inlineStr">
        <is>
          <t>TYPE:DATE</t>
        </is>
      </c>
      <c r="I146" s="8" t="inlineStr">
        <is>
          <t>Point-in-time</t>
        </is>
      </c>
      <c r="J146" s="8" t="inlineStr">
        <is>
          <t>One-to-many</t>
        </is>
      </c>
      <c r="K146" s="8" t="inlineStr">
        <is>
          <t>N/A — not a one-to-many numeric field</t>
        </is>
      </c>
      <c r="L146" s="8" t="inlineStr">
        <is>
          <t>Finance / ERP System (SAP S/4HANA, Oracle Fusion, NetSuite)</t>
        </is>
      </c>
      <c r="M146" s="8" t="inlineStr">
        <is>
          <t>CIL Architecture Team</t>
        </is>
      </c>
      <c r="N146" s="8" t="inlineStr">
        <is>
          <t>2026-06-21</t>
        </is>
      </c>
      <c r="O146" s="8" t="inlineStr">
        <is>
          <t>CorpStage CIL Registry v1.0</t>
        </is>
      </c>
      <c r="P146" s="8" t="inlineStr">
        <is>
          <t>Company, Group (collected per legal entity, not below Company level)</t>
        </is>
      </c>
      <c r="Q146" s="8" t="inlineStr">
        <is>
          <t>Global</t>
        </is>
      </c>
      <c r="R146" s="8" t="inlineStr">
        <is>
          <t>Tier 1 (Standard) — available to all frameworks and all customers</t>
        </is>
      </c>
      <c r="S14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7" ht="15" customHeight="1" s="6">
      <c r="A147" s="8" t="inlineStr">
        <is>
          <t>CDE-R146</t>
        </is>
      </c>
      <c r="B147" s="8" t="inlineStr">
        <is>
          <t>Operational Risk Event Cost Trend (3yr)</t>
        </is>
      </c>
      <c r="C147" s="8" t="inlineStr">
        <is>
          <t>Text</t>
        </is>
      </c>
      <c r="D147" s="8" t="inlineStr">
        <is>
          <t>Supplemental</t>
        </is>
      </c>
      <c r="E147" s="8" t="inlineStr">
        <is>
          <t>Optional</t>
        </is>
      </c>
      <c r="F147" s="8" t="inlineStr">
        <is>
          <t>P3</t>
        </is>
      </c>
      <c r="G147" s="8" t="inlineStr">
        <is>
          <t>Increasing/Stable/Declining</t>
        </is>
      </c>
      <c r="H147" s="8" t="inlineStr">
        <is>
          <t>TYPE:ENUM|ALLOWED:INCREASING,STABLE,DECLINING</t>
        </is>
      </c>
      <c r="I147" s="8" t="inlineStr">
        <is>
          <t>Point-in-time</t>
        </is>
      </c>
      <c r="J147" s="8" t="inlineStr">
        <is>
          <t>One-to-one</t>
        </is>
      </c>
      <c r="K147" s="8" t="inlineStr">
        <is>
          <t>N/A — not a one-to-many numeric field</t>
        </is>
      </c>
      <c r="L147" s="8" t="inlineStr">
        <is>
          <t>User Validation</t>
        </is>
      </c>
      <c r="M147" s="8" t="inlineStr">
        <is>
          <t>CIL Architecture Team</t>
        </is>
      </c>
      <c r="N147" s="8" t="inlineStr">
        <is>
          <t>2026-06-21</t>
        </is>
      </c>
      <c r="O147" s="8" t="inlineStr">
        <is>
          <t>CorpStage CIL Registry v1.0</t>
        </is>
      </c>
      <c r="P147" s="8" t="inlineStr">
        <is>
          <t>Group only (single enterprise-wide fact, does not repeat per node)</t>
        </is>
      </c>
      <c r="Q147" s="8" t="inlineStr">
        <is>
          <t>Global</t>
        </is>
      </c>
      <c r="R147" s="8" t="inlineStr">
        <is>
          <t>Tier 1 (Standard) — available to all frameworks and all customers</t>
        </is>
      </c>
      <c r="S14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8" ht="15" customHeight="1" s="6">
      <c r="A148" s="8" t="inlineStr">
        <is>
          <t>CDE-R147</t>
        </is>
      </c>
      <c r="B148" s="8" t="inlineStr">
        <is>
          <t>Competitive Disruption Risk Source/Trigger</t>
        </is>
      </c>
      <c r="C148" s="8" t="inlineStr">
        <is>
          <t>Text</t>
        </is>
      </c>
      <c r="D148" s="8" t="inlineStr">
        <is>
          <t>Supplemental</t>
        </is>
      </c>
      <c r="E148" s="8" t="inlineStr">
        <is>
          <t>Optional</t>
        </is>
      </c>
      <c r="F148" s="8" t="inlineStr">
        <is>
          <t>P3</t>
        </is>
      </c>
      <c r="G148" s="8" t="inlineStr">
        <is>
          <t>Non-empty text</t>
        </is>
      </c>
      <c r="H148" s="8" t="inlineStr">
        <is>
          <t>TYPE:TEXT</t>
        </is>
      </c>
      <c r="I148" s="8" t="inlineStr">
        <is>
          <t>Point-in-time</t>
        </is>
      </c>
      <c r="J148" s="8" t="inlineStr">
        <is>
          <t>One-to-many</t>
        </is>
      </c>
      <c r="K148" s="8" t="inlineStr">
        <is>
          <t>N/A — not a one-to-many numeric field</t>
        </is>
      </c>
      <c r="L148" s="8" t="inlineStr">
        <is>
          <t>User Validation</t>
        </is>
      </c>
      <c r="M148" s="8" t="inlineStr">
        <is>
          <t>CIL Architecture Team</t>
        </is>
      </c>
      <c r="N148" s="8" t="inlineStr">
        <is>
          <t>2026-06-21</t>
        </is>
      </c>
      <c r="O148" s="8" t="inlineStr">
        <is>
          <t>CorpStage CIL Registry v1.0</t>
        </is>
      </c>
      <c r="P148" s="8" t="inlineStr">
        <is>
          <t>Company, Group (collected per legal entity, not below Company level)</t>
        </is>
      </c>
      <c r="Q148" s="8" t="inlineStr">
        <is>
          <t>Global</t>
        </is>
      </c>
      <c r="R148" s="8" t="inlineStr">
        <is>
          <t>Tier 1 (Standard) — available to all frameworks and all customers</t>
        </is>
      </c>
      <c r="S14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49" ht="15" customHeight="1" s="6">
      <c r="A149" s="8" t="inlineStr">
        <is>
          <t>CDE-R148</t>
        </is>
      </c>
      <c r="B149" s="8" t="inlineStr">
        <is>
          <t>Technology Obsolescence Risk Mitigation Plan Exists</t>
        </is>
      </c>
      <c r="C149" s="8" t="inlineStr">
        <is>
          <t>Boolean</t>
        </is>
      </c>
      <c r="D149" s="8" t="inlineStr">
        <is>
          <t>Supplemental</t>
        </is>
      </c>
      <c r="E149" s="8" t="inlineStr">
        <is>
          <t>Optional</t>
        </is>
      </c>
      <c r="F149" s="8" t="inlineStr">
        <is>
          <t>P3</t>
        </is>
      </c>
      <c r="G149" s="8" t="inlineStr">
        <is>
          <t>True/False/Unknown (tri-state)</t>
        </is>
      </c>
      <c r="H149" s="8" t="inlineStr">
        <is>
          <t>TYPE:BOOLEAN|ALLOWED:TRUE,FALSE,UNKNOWN</t>
        </is>
      </c>
      <c r="I149" s="8" t="inlineStr">
        <is>
          <t>Point-in-time</t>
        </is>
      </c>
      <c r="J149" s="8" t="inlineStr">
        <is>
          <t>One-to-many</t>
        </is>
      </c>
      <c r="K149" s="8" t="inlineStr">
        <is>
          <t>N/A — not a one-to-many numeric field</t>
        </is>
      </c>
      <c r="L149" s="8" t="inlineStr">
        <is>
          <t>User Validation</t>
        </is>
      </c>
      <c r="M149" s="8" t="inlineStr">
        <is>
          <t>CIL Architecture Team</t>
        </is>
      </c>
      <c r="N149" s="8" t="inlineStr">
        <is>
          <t>2026-06-21</t>
        </is>
      </c>
      <c r="O149" s="8" t="inlineStr">
        <is>
          <t>CorpStage CIL Registry v1.0</t>
        </is>
      </c>
      <c r="P149" s="8" t="inlineStr">
        <is>
          <t>Company, Group (collected per legal entity, not below Company level)</t>
        </is>
      </c>
      <c r="Q149" s="8" t="inlineStr">
        <is>
          <t>Global</t>
        </is>
      </c>
      <c r="R149" s="8" t="inlineStr">
        <is>
          <t>Tier 1 (Standard) — available to all frameworks and all customers</t>
        </is>
      </c>
      <c r="S14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0" ht="15" customHeight="1" s="6">
      <c r="A150" s="8" t="inlineStr">
        <is>
          <t>CDE-R149</t>
        </is>
      </c>
      <c r="B150" s="8" t="inlineStr">
        <is>
          <t>Political Instability Risk Last Assessed Date</t>
        </is>
      </c>
      <c r="C150" s="8" t="inlineStr">
        <is>
          <t>Date</t>
        </is>
      </c>
      <c r="D150" s="8" t="inlineStr">
        <is>
          <t>Supplemental</t>
        </is>
      </c>
      <c r="E150" s="8" t="inlineStr">
        <is>
          <t>Optional</t>
        </is>
      </c>
      <c r="F150" s="8" t="inlineStr">
        <is>
          <t>P3</t>
        </is>
      </c>
      <c r="G150" s="8" t="inlineStr">
        <is>
          <t>Valid date</t>
        </is>
      </c>
      <c r="H150" s="8" t="inlineStr">
        <is>
          <t>TYPE:DATE</t>
        </is>
      </c>
      <c r="I150" s="8" t="inlineStr">
        <is>
          <t>Point-in-time</t>
        </is>
      </c>
      <c r="J150" s="8" t="inlineStr">
        <is>
          <t>One-to-many</t>
        </is>
      </c>
      <c r="K150" s="8" t="inlineStr">
        <is>
          <t>N/A — not a one-to-many numeric field</t>
        </is>
      </c>
      <c r="L150" s="8" t="inlineStr">
        <is>
          <t>User Validation</t>
        </is>
      </c>
      <c r="M150" s="8" t="inlineStr">
        <is>
          <t>CIL Architecture Team</t>
        </is>
      </c>
      <c r="N150" s="8" t="inlineStr">
        <is>
          <t>2026-06-21</t>
        </is>
      </c>
      <c r="O150" s="8" t="inlineStr">
        <is>
          <t>CorpStage CIL Registry v1.0</t>
        </is>
      </c>
      <c r="P150" s="8" t="inlineStr">
        <is>
          <t>Company, Group (collected per legal entity, not below Company level)</t>
        </is>
      </c>
      <c r="Q150" s="8" t="inlineStr">
        <is>
          <t>Global</t>
        </is>
      </c>
      <c r="R150" s="8" t="inlineStr">
        <is>
          <t>Tier 1 (Standard) — available to all frameworks and all customers</t>
        </is>
      </c>
      <c r="S15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1" ht="15" customHeight="1" s="6">
      <c r="A151" s="8" t="inlineStr">
        <is>
          <t>CDE-R150</t>
        </is>
      </c>
      <c r="B151" s="8" t="inlineStr">
        <is>
          <t>Single-Source Critical Input Alternative Sourcing Status</t>
        </is>
      </c>
      <c r="C151" s="8" t="inlineStr">
        <is>
          <t>Text</t>
        </is>
      </c>
      <c r="D151" s="8" t="inlineStr">
        <is>
          <t>Supplemental</t>
        </is>
      </c>
      <c r="E151" s="8" t="inlineStr">
        <is>
          <t>Optional</t>
        </is>
      </c>
      <c r="F151" s="8" t="inlineStr">
        <is>
          <t>P3</t>
        </is>
      </c>
      <c r="G151" s="8" t="inlineStr">
        <is>
          <t>Identified/Not Identified/In Progress</t>
        </is>
      </c>
      <c r="H151" s="8" t="inlineStr">
        <is>
          <t>TYPE:ENUM|ALLOWED:IDENTIFIED,NOT_IDENTIFIED,IN_PROGRESS</t>
        </is>
      </c>
      <c r="I151" s="8" t="inlineStr">
        <is>
          <t>Point-in-time</t>
        </is>
      </c>
      <c r="J151" s="8" t="inlineStr">
        <is>
          <t>One-to-many</t>
        </is>
      </c>
      <c r="K151" s="8" t="inlineStr">
        <is>
          <t>N/A — not a one-to-many numeric field</t>
        </is>
      </c>
      <c r="L151" s="8" t="inlineStr">
        <is>
          <t>User Validation</t>
        </is>
      </c>
      <c r="M151" s="8" t="inlineStr">
        <is>
          <t>CIL Architecture Team</t>
        </is>
      </c>
      <c r="N151" s="8" t="inlineStr">
        <is>
          <t>2026-06-21</t>
        </is>
      </c>
      <c r="O151" s="8" t="inlineStr">
        <is>
          <t>CorpStage CIL Registry v1.0</t>
        </is>
      </c>
      <c r="P151" s="8" t="inlineStr">
        <is>
          <t>Company, Group (collected per legal entity, not below Company level)</t>
        </is>
      </c>
      <c r="Q151" s="8" t="inlineStr">
        <is>
          <t>Global</t>
        </is>
      </c>
      <c r="R151" s="8" t="inlineStr">
        <is>
          <t>Tier 1 (Standard) — available to all frameworks and all customers</t>
        </is>
      </c>
      <c r="S15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2" ht="15" customHeight="1" s="6">
      <c r="A152" s="8" t="inlineStr">
        <is>
          <t>CDE-R151</t>
        </is>
      </c>
      <c r="B152" s="8" t="inlineStr">
        <is>
          <t>Customer Concentration Risk Last Reviewed Date</t>
        </is>
      </c>
      <c r="C152" s="8" t="inlineStr">
        <is>
          <t>Date</t>
        </is>
      </c>
      <c r="D152" s="8" t="inlineStr">
        <is>
          <t>Supplemental</t>
        </is>
      </c>
      <c r="E152" s="8" t="inlineStr">
        <is>
          <t>Optional</t>
        </is>
      </c>
      <c r="F152" s="8" t="inlineStr">
        <is>
          <t>P3</t>
        </is>
      </c>
      <c r="G152" s="8" t="inlineStr">
        <is>
          <t>Valid date</t>
        </is>
      </c>
      <c r="H152" s="8" t="inlineStr">
        <is>
          <t>TYPE:DATE</t>
        </is>
      </c>
      <c r="I152" s="8" t="inlineStr">
        <is>
          <t>Point-in-time</t>
        </is>
      </c>
      <c r="J152" s="8" t="inlineStr">
        <is>
          <t>One-to-one</t>
        </is>
      </c>
      <c r="K152" s="8" t="inlineStr">
        <is>
          <t>N/A — not a one-to-many numeric field</t>
        </is>
      </c>
      <c r="L152" s="8" t="inlineStr">
        <is>
          <t>User Validation</t>
        </is>
      </c>
      <c r="M152" s="8" t="inlineStr">
        <is>
          <t>CIL Architecture Team</t>
        </is>
      </c>
      <c r="N152" s="8" t="inlineStr">
        <is>
          <t>2026-06-21</t>
        </is>
      </c>
      <c r="O152" s="8" t="inlineStr">
        <is>
          <t>CorpStage CIL Registry v1.0</t>
        </is>
      </c>
      <c r="P152" s="8" t="inlineStr">
        <is>
          <t>Group only (single enterprise-wide fact, does not repeat per node)</t>
        </is>
      </c>
      <c r="Q152" s="8" t="inlineStr">
        <is>
          <t>Global</t>
        </is>
      </c>
      <c r="R152" s="8" t="inlineStr">
        <is>
          <t>Tier 1 (Standard) — available to all frameworks and all customers</t>
        </is>
      </c>
      <c r="S15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3" ht="15" customHeight="1" s="6">
      <c r="A153" s="8" t="inlineStr">
        <is>
          <t>CDE-R152</t>
        </is>
      </c>
      <c r="B153" s="8" t="inlineStr">
        <is>
          <t>Contingency Plan Last Tested Date</t>
        </is>
      </c>
      <c r="C153" s="8" t="inlineStr">
        <is>
          <t>Date</t>
        </is>
      </c>
      <c r="D153" s="8" t="inlineStr">
        <is>
          <t>Supplemental</t>
        </is>
      </c>
      <c r="E153" s="8" t="inlineStr">
        <is>
          <t>Optional</t>
        </is>
      </c>
      <c r="F153" s="8" t="inlineStr">
        <is>
          <t>P3</t>
        </is>
      </c>
      <c r="G153" s="8" t="inlineStr">
        <is>
          <t>Valid date</t>
        </is>
      </c>
      <c r="H153" s="8" t="inlineStr">
        <is>
          <t>TYPE:DATE</t>
        </is>
      </c>
      <c r="I153" s="8" t="inlineStr">
        <is>
          <t>Point-in-time</t>
        </is>
      </c>
      <c r="J153" s="8" t="inlineStr">
        <is>
          <t>One-to-many</t>
        </is>
      </c>
      <c r="K153" s="8" t="inlineStr">
        <is>
          <t>N/A — not a one-to-many numeric field</t>
        </is>
      </c>
      <c r="L153" s="8" t="inlineStr">
        <is>
          <t>User Validation</t>
        </is>
      </c>
      <c r="M153" s="8" t="inlineStr">
        <is>
          <t>CIL Architecture Team</t>
        </is>
      </c>
      <c r="N153" s="8" t="inlineStr">
        <is>
          <t>2026-06-21</t>
        </is>
      </c>
      <c r="O153" s="8" t="inlineStr">
        <is>
          <t>CorpStage CIL Registry v1.0</t>
        </is>
      </c>
      <c r="P153" s="8" t="inlineStr">
        <is>
          <t>Company, Group (collected per legal entity, not below Company level)</t>
        </is>
      </c>
      <c r="Q153" s="8" t="inlineStr">
        <is>
          <t>Global</t>
        </is>
      </c>
      <c r="R153" s="8" t="inlineStr">
        <is>
          <t>Tier 1 (Standard) — available to all frameworks and all customers</t>
        </is>
      </c>
      <c r="S15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4" ht="15" customHeight="1" s="6">
      <c r="A154" s="8" t="inlineStr">
        <is>
          <t>CDE-R153</t>
        </is>
      </c>
      <c r="B154" s="8" t="inlineStr">
        <is>
          <t>Fourth-Party Mapping Last Updated Date</t>
        </is>
      </c>
      <c r="C154" s="8" t="inlineStr">
        <is>
          <t>Date</t>
        </is>
      </c>
      <c r="D154" s="8" t="inlineStr">
        <is>
          <t>Supplemental</t>
        </is>
      </c>
      <c r="E154" s="8" t="inlineStr">
        <is>
          <t>Optional</t>
        </is>
      </c>
      <c r="F154" s="8" t="inlineStr">
        <is>
          <t>P3</t>
        </is>
      </c>
      <c r="G154" s="8" t="inlineStr">
        <is>
          <t>Valid date</t>
        </is>
      </c>
      <c r="H154" s="8" t="inlineStr">
        <is>
          <t>TYPE:DATE</t>
        </is>
      </c>
      <c r="I154" s="8" t="inlineStr">
        <is>
          <t>Point-in-time</t>
        </is>
      </c>
      <c r="J154" s="8" t="inlineStr">
        <is>
          <t>One-to-one</t>
        </is>
      </c>
      <c r="K154" s="8" t="inlineStr">
        <is>
          <t>N/A — not a one-to-many numeric field</t>
        </is>
      </c>
      <c r="L154" s="8" t="inlineStr">
        <is>
          <t>User Validation</t>
        </is>
      </c>
      <c r="M154" s="8" t="inlineStr">
        <is>
          <t>CIL Architecture Team</t>
        </is>
      </c>
      <c r="N154" s="8" t="inlineStr">
        <is>
          <t>2026-06-21</t>
        </is>
      </c>
      <c r="O154" s="8" t="inlineStr">
        <is>
          <t>CorpStage CIL Registry v1.0</t>
        </is>
      </c>
      <c r="P154" s="8" t="inlineStr">
        <is>
          <t>Group only (single enterprise-wide fact, does not repeat per node)</t>
        </is>
      </c>
      <c r="Q154" s="8" t="inlineStr">
        <is>
          <t>Global</t>
        </is>
      </c>
      <c r="R154" s="8" t="inlineStr">
        <is>
          <t>Tier 1 (Standard) — available to all frameworks and all customers</t>
        </is>
      </c>
      <c r="S15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5" ht="15" customHeight="1" s="6">
      <c r="A155" s="8" t="inlineStr">
        <is>
          <t>CDE-R154</t>
        </is>
      </c>
      <c r="B155" s="8" t="inlineStr">
        <is>
          <t>Risk Correlation Model Last Run Date</t>
        </is>
      </c>
      <c r="C155" s="8" t="inlineStr">
        <is>
          <t>Date</t>
        </is>
      </c>
      <c r="D155" s="8" t="inlineStr">
        <is>
          <t>Supplemental</t>
        </is>
      </c>
      <c r="E155" s="8" t="inlineStr">
        <is>
          <t>Optional</t>
        </is>
      </c>
      <c r="F155" s="8" t="inlineStr">
        <is>
          <t>P3</t>
        </is>
      </c>
      <c r="G155" s="8" t="inlineStr">
        <is>
          <t>Valid date</t>
        </is>
      </c>
      <c r="H155" s="8" t="inlineStr">
        <is>
          <t>TYPE:DATE</t>
        </is>
      </c>
      <c r="I155" s="8" t="inlineStr">
        <is>
          <t>Point-in-time</t>
        </is>
      </c>
      <c r="J155" s="8" t="inlineStr">
        <is>
          <t>One-to-one</t>
        </is>
      </c>
      <c r="K155" s="8" t="inlineStr">
        <is>
          <t>N/A — not a one-to-many numeric field</t>
        </is>
      </c>
      <c r="L155" s="8" t="inlineStr">
        <is>
          <t>User Validation</t>
        </is>
      </c>
      <c r="M155" s="8" t="inlineStr">
        <is>
          <t>CIL Architecture Team</t>
        </is>
      </c>
      <c r="N155" s="8" t="inlineStr">
        <is>
          <t>2026-06-21</t>
        </is>
      </c>
      <c r="O155" s="8" t="inlineStr">
        <is>
          <t>CorpStage CIL Registry v1.0</t>
        </is>
      </c>
      <c r="P155" s="8" t="inlineStr">
        <is>
          <t>Group only (single enterprise-wide fact, does not repeat per node)</t>
        </is>
      </c>
      <c r="Q155" s="8" t="inlineStr">
        <is>
          <t>Global</t>
        </is>
      </c>
      <c r="R155" s="8" t="inlineStr">
        <is>
          <t>Tier 1 (Standard) — available to all frameworks and all customers</t>
        </is>
      </c>
      <c r="S15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6" ht="15" customHeight="1" s="6">
      <c r="A156" s="8" t="inlineStr">
        <is>
          <t>CDE-R155</t>
        </is>
      </c>
      <c r="B156" s="8" t="inlineStr">
        <is>
          <t>GRC Platform Implementation Date</t>
        </is>
      </c>
      <c r="C156" s="8" t="inlineStr">
        <is>
          <t>Date</t>
        </is>
      </c>
      <c r="D156" s="8" t="inlineStr">
        <is>
          <t>Supplemental</t>
        </is>
      </c>
      <c r="E156" s="8" t="inlineStr">
        <is>
          <t>Optional</t>
        </is>
      </c>
      <c r="F156" s="8" t="inlineStr">
        <is>
          <t>P3</t>
        </is>
      </c>
      <c r="G156" s="8" t="inlineStr">
        <is>
          <t>Valid date</t>
        </is>
      </c>
      <c r="H156" s="8" t="inlineStr">
        <is>
          <t>TYPE:DATE</t>
        </is>
      </c>
      <c r="I156" s="8" t="inlineStr">
        <is>
          <t>Point-in-time</t>
        </is>
      </c>
      <c r="J156" s="8" t="inlineStr">
        <is>
          <t>One-to-one</t>
        </is>
      </c>
      <c r="K156" s="8" t="inlineStr">
        <is>
          <t>N/A — not a one-to-many numeric field</t>
        </is>
      </c>
      <c r="L156" s="8" t="inlineStr">
        <is>
          <t>User Validation</t>
        </is>
      </c>
      <c r="M156" s="8" t="inlineStr">
        <is>
          <t>CIL Architecture Team</t>
        </is>
      </c>
      <c r="N156" s="8" t="inlineStr">
        <is>
          <t>2026-06-21</t>
        </is>
      </c>
      <c r="O156" s="8" t="inlineStr">
        <is>
          <t>CorpStage CIL Registry v1.0</t>
        </is>
      </c>
      <c r="P156" s="8" t="inlineStr">
        <is>
          <t>Group only (single enterprise-wide fact, does not repeat per node)</t>
        </is>
      </c>
      <c r="Q156" s="8" t="inlineStr">
        <is>
          <t>Global</t>
        </is>
      </c>
      <c r="R156" s="8" t="inlineStr">
        <is>
          <t>Tier 1 (Standard) — available to all frameworks and all customers</t>
        </is>
      </c>
      <c r="S15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7" ht="15" customHeight="1" s="6">
      <c r="A157" s="8" t="inlineStr">
        <is>
          <t>CDE-R156</t>
        </is>
      </c>
      <c r="B157" s="8" t="inlineStr">
        <is>
          <t>Risk Management Maturity Level</t>
        </is>
      </c>
      <c r="C157" s="8" t="inlineStr">
        <is>
          <t>Text</t>
        </is>
      </c>
      <c r="D157" s="8" t="inlineStr">
        <is>
          <t>Required</t>
        </is>
      </c>
      <c r="E157" s="8" t="inlineStr">
        <is>
          <t>Optional</t>
        </is>
      </c>
      <c r="F157" s="8" t="inlineStr">
        <is>
          <t>P1</t>
        </is>
      </c>
      <c r="G157" s="8" t="inlineStr">
        <is>
          <t>Initial/Developing/Defined/Managed/Optimized</t>
        </is>
      </c>
      <c r="H157" s="8" t="inlineStr">
        <is>
          <t>TYPE:ENUM|ALLOWED:INITIAL,DEVELOPING,DEFINED,MANAGED,OPTIMIZED</t>
        </is>
      </c>
      <c r="I157" s="8" t="inlineStr">
        <is>
          <t>Effective-dated</t>
        </is>
      </c>
      <c r="J157" s="8" t="inlineStr">
        <is>
          <t>One-to-one</t>
        </is>
      </c>
      <c r="K157" s="8" t="inlineStr">
        <is>
          <t>N/A — not a one-to-many numeric field</t>
        </is>
      </c>
      <c r="L157" s="8" t="inlineStr">
        <is>
          <t>User Validation</t>
        </is>
      </c>
      <c r="M157" s="8" t="inlineStr">
        <is>
          <t>CIL Architecture Team</t>
        </is>
      </c>
      <c r="N157" s="8" t="inlineStr">
        <is>
          <t>2026-06-21</t>
        </is>
      </c>
      <c r="O157" s="8" t="inlineStr">
        <is>
          <t>CorpStage CIL Registry v1.1</t>
        </is>
      </c>
      <c r="P157" s="8" t="inlineStr">
        <is>
          <t>Group only (single enterprise-wide fact, does not repeat per node)</t>
        </is>
      </c>
      <c r="Q157" s="8" t="inlineStr">
        <is>
          <t>Global</t>
        </is>
      </c>
      <c r="R157" s="8" t="inlineStr">
        <is>
          <t>Tier 1 (Standard) — available to all frameworks and all customers</t>
        </is>
      </c>
      <c r="S15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8" ht="15" customHeight="1" s="6">
      <c r="A158" s="8" t="inlineStr">
        <is>
          <t>CDE-R157</t>
        </is>
      </c>
      <c r="B158" s="8" t="inlineStr">
        <is>
          <t>Maturity Assessment Methodology Used</t>
        </is>
      </c>
      <c r="C158" s="8" t="inlineStr">
        <is>
          <t>Text</t>
        </is>
      </c>
      <c r="D158" s="8" t="inlineStr">
        <is>
          <t>Recommended</t>
        </is>
      </c>
      <c r="E158" s="8" t="inlineStr">
        <is>
          <t>Optional</t>
        </is>
      </c>
      <c r="F158" s="8" t="inlineStr">
        <is>
          <t>P2</t>
        </is>
      </c>
      <c r="G158" s="8" t="inlineStr">
        <is>
          <t>Non-empty text</t>
        </is>
      </c>
      <c r="H158" s="8" t="inlineStr">
        <is>
          <t>TYPE:TEXT</t>
        </is>
      </c>
      <c r="I158" s="8" t="inlineStr">
        <is>
          <t>Point-in-time</t>
        </is>
      </c>
      <c r="J158" s="8" t="inlineStr">
        <is>
          <t>One-to-one</t>
        </is>
      </c>
      <c r="K158" s="8" t="inlineStr">
        <is>
          <t>N/A — not a one-to-many numeric field</t>
        </is>
      </c>
      <c r="L158" s="8" t="inlineStr">
        <is>
          <t>User Validation</t>
        </is>
      </c>
      <c r="M158" s="8" t="inlineStr">
        <is>
          <t>CIL Architecture Team</t>
        </is>
      </c>
      <c r="N158" s="8" t="inlineStr">
        <is>
          <t>2026-06-21</t>
        </is>
      </c>
      <c r="O158" s="8" t="inlineStr">
        <is>
          <t>CorpStage CIL Registry v1.1</t>
        </is>
      </c>
      <c r="P158" s="8" t="inlineStr">
        <is>
          <t>Group only (single enterprise-wide fact, does not repeat per node)</t>
        </is>
      </c>
      <c r="Q158" s="8" t="inlineStr">
        <is>
          <t>Global</t>
        </is>
      </c>
      <c r="R158" s="8" t="inlineStr">
        <is>
          <t>Tier 1 (Standard) — available to all frameworks and all customers</t>
        </is>
      </c>
      <c r="S15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59" ht="15" customHeight="1" s="6">
      <c r="A159" s="8" t="inlineStr">
        <is>
          <t>CDE-R158</t>
        </is>
      </c>
      <c r="B159" s="8" t="inlineStr">
        <is>
          <t>Maturity Assessment Last Conducted Date</t>
        </is>
      </c>
      <c r="C159" s="8" t="inlineStr">
        <is>
          <t>Date</t>
        </is>
      </c>
      <c r="D159" s="8" t="inlineStr">
        <is>
          <t>Supplemental</t>
        </is>
      </c>
      <c r="E159" s="8" t="inlineStr">
        <is>
          <t>Optional</t>
        </is>
      </c>
      <c r="F159" s="8" t="inlineStr">
        <is>
          <t>P3</t>
        </is>
      </c>
      <c r="G159" s="8" t="inlineStr">
        <is>
          <t>Valid date</t>
        </is>
      </c>
      <c r="H159" s="8" t="inlineStr">
        <is>
          <t>TYPE:DATE</t>
        </is>
      </c>
      <c r="I159" s="8" t="inlineStr">
        <is>
          <t>Point-in-time</t>
        </is>
      </c>
      <c r="J159" s="8" t="inlineStr">
        <is>
          <t>One-to-one</t>
        </is>
      </c>
      <c r="K159" s="8" t="inlineStr">
        <is>
          <t>N/A — not a one-to-many numeric field</t>
        </is>
      </c>
      <c r="L159" s="8" t="inlineStr">
        <is>
          <t>User Validation</t>
        </is>
      </c>
      <c r="M159" s="8" t="inlineStr">
        <is>
          <t>CIL Architecture Team</t>
        </is>
      </c>
      <c r="N159" s="8" t="inlineStr">
        <is>
          <t>2026-06-21</t>
        </is>
      </c>
      <c r="O159" s="8" t="inlineStr">
        <is>
          <t>CorpStage CIL Registry v1.1</t>
        </is>
      </c>
      <c r="P159" s="8" t="inlineStr">
        <is>
          <t>Group only (single enterprise-wide fact, does not repeat per node)</t>
        </is>
      </c>
      <c r="Q159" s="8" t="inlineStr">
        <is>
          <t>Global</t>
        </is>
      </c>
      <c r="R159" s="8" t="inlineStr">
        <is>
          <t>Tier 1 (Standard) — available to all frameworks and all customers</t>
        </is>
      </c>
      <c r="S15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0" ht="15" customHeight="1" s="6">
      <c r="A160" s="8" t="inlineStr">
        <is>
          <t>CDE-R159</t>
        </is>
      </c>
      <c r="B160" s="8" t="inlineStr">
        <is>
          <t>Risk Quantification Model Internally Validated</t>
        </is>
      </c>
      <c r="C160" s="8" t="inlineStr">
        <is>
          <t>Boolean</t>
        </is>
      </c>
      <c r="D160" s="8" t="inlineStr">
        <is>
          <t>Required</t>
        </is>
      </c>
      <c r="E160" s="8" t="inlineStr">
        <is>
          <t>Optional</t>
        </is>
      </c>
      <c r="F160" s="8" t="inlineStr">
        <is>
          <t>P1</t>
        </is>
      </c>
      <c r="G160" s="8" t="inlineStr">
        <is>
          <t>True/False/Unknown (tri-state)</t>
        </is>
      </c>
      <c r="H160" s="8" t="inlineStr">
        <is>
          <t>TYPE:BOOLEAN|ALLOWED:TRUE,FALSE,UNKNOWN</t>
        </is>
      </c>
      <c r="I160" s="8" t="inlineStr">
        <is>
          <t>Effective-dated</t>
        </is>
      </c>
      <c r="J160" s="8" t="inlineStr">
        <is>
          <t>One-to-one</t>
        </is>
      </c>
      <c r="K160" s="8" t="inlineStr">
        <is>
          <t>N/A — not a one-to-many numeric field</t>
        </is>
      </c>
      <c r="L160" s="8" t="inlineStr">
        <is>
          <t>User Validation</t>
        </is>
      </c>
      <c r="M160" s="8" t="inlineStr">
        <is>
          <t>CIL Architecture Team</t>
        </is>
      </c>
      <c r="N160" s="8" t="inlineStr">
        <is>
          <t>2026-06-21</t>
        </is>
      </c>
      <c r="O160" s="8" t="inlineStr">
        <is>
          <t>CorpStage CIL Registry v1.1</t>
        </is>
      </c>
      <c r="P160" s="8" t="inlineStr">
        <is>
          <t>Group only (single enterprise-wide fact, does not repeat per node)</t>
        </is>
      </c>
      <c r="Q160" s="8" t="inlineStr">
        <is>
          <t>Global</t>
        </is>
      </c>
      <c r="R160" s="8" t="inlineStr">
        <is>
          <t>Tier 1 (Standard) — available to all frameworks and all customers</t>
        </is>
      </c>
      <c r="S16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1" ht="15" customHeight="1" s="6">
      <c r="A161" s="8" t="inlineStr">
        <is>
          <t>CDE-R160</t>
        </is>
      </c>
      <c r="B161" s="8" t="inlineStr">
        <is>
          <t>Back-Testing of Risk Estimates Conducted</t>
        </is>
      </c>
      <c r="C161" s="8" t="inlineStr">
        <is>
          <t>Boolean</t>
        </is>
      </c>
      <c r="D161" s="8" t="inlineStr">
        <is>
          <t>Recommended</t>
        </is>
      </c>
      <c r="E161" s="8" t="inlineStr">
        <is>
          <t>Optional</t>
        </is>
      </c>
      <c r="F161" s="8" t="inlineStr">
        <is>
          <t>P2</t>
        </is>
      </c>
      <c r="G161" s="8" t="inlineStr">
        <is>
          <t>True/False/Unknown (tri-state)</t>
        </is>
      </c>
      <c r="H161" s="8" t="inlineStr">
        <is>
          <t>TYPE:BOOLEAN|ALLOWED:TRUE,FALSE,UNKNOWN</t>
        </is>
      </c>
      <c r="I161" s="8" t="inlineStr">
        <is>
          <t>Point-in-time</t>
        </is>
      </c>
      <c r="J161" s="8" t="inlineStr">
        <is>
          <t>One-to-one</t>
        </is>
      </c>
      <c r="K161" s="8" t="inlineStr">
        <is>
          <t>N/A — not a one-to-many numeric field</t>
        </is>
      </c>
      <c r="L161" s="8" t="inlineStr">
        <is>
          <t>User Validation</t>
        </is>
      </c>
      <c r="M161" s="8" t="inlineStr">
        <is>
          <t>CIL Architecture Team</t>
        </is>
      </c>
      <c r="N161" s="8" t="inlineStr">
        <is>
          <t>2026-06-21</t>
        </is>
      </c>
      <c r="O161" s="8" t="inlineStr">
        <is>
          <t>CorpStage CIL Registry v1.1</t>
        </is>
      </c>
      <c r="P161" s="8" t="inlineStr">
        <is>
          <t>Group only (single enterprise-wide fact, does not repeat per node)</t>
        </is>
      </c>
      <c r="Q161" s="8" t="inlineStr">
        <is>
          <t>Global</t>
        </is>
      </c>
      <c r="R161" s="8" t="inlineStr">
        <is>
          <t>Tier 1 (Standard) — available to all frameworks and all customers</t>
        </is>
      </c>
      <c r="S16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2" ht="15" customHeight="1" s="6">
      <c r="A162" s="8" t="inlineStr">
        <is>
          <t>CDE-R161</t>
        </is>
      </c>
      <c r="B162" s="8" t="inlineStr">
        <is>
          <t>Model Validation Last Conducted Date</t>
        </is>
      </c>
      <c r="C162" s="8" t="inlineStr">
        <is>
          <t>Date</t>
        </is>
      </c>
      <c r="D162" s="8" t="inlineStr">
        <is>
          <t>Supplemental</t>
        </is>
      </c>
      <c r="E162" s="8" t="inlineStr">
        <is>
          <t>Optional</t>
        </is>
      </c>
      <c r="F162" s="8" t="inlineStr">
        <is>
          <t>P3</t>
        </is>
      </c>
      <c r="G162" s="8" t="inlineStr">
        <is>
          <t>Valid date</t>
        </is>
      </c>
      <c r="H162" s="8" t="inlineStr">
        <is>
          <t>TYPE:DATE</t>
        </is>
      </c>
      <c r="I162" s="8" t="inlineStr">
        <is>
          <t>Point-in-time</t>
        </is>
      </c>
      <c r="J162" s="8" t="inlineStr">
        <is>
          <t>One-to-one</t>
        </is>
      </c>
      <c r="K162" s="8" t="inlineStr">
        <is>
          <t>N/A — not a one-to-many numeric field</t>
        </is>
      </c>
      <c r="L162" s="8" t="inlineStr">
        <is>
          <t>User Validation</t>
        </is>
      </c>
      <c r="M162" s="8" t="inlineStr">
        <is>
          <t>CIL Architecture Team</t>
        </is>
      </c>
      <c r="N162" s="8" t="inlineStr">
        <is>
          <t>2026-06-21</t>
        </is>
      </c>
      <c r="O162" s="8" t="inlineStr">
        <is>
          <t>CorpStage CIL Registry v1.1</t>
        </is>
      </c>
      <c r="P162" s="8" t="inlineStr">
        <is>
          <t>Group only (single enterprise-wide fact, does not repeat per node)</t>
        </is>
      </c>
      <c r="Q162" s="8" t="inlineStr">
        <is>
          <t>Global</t>
        </is>
      </c>
      <c r="R162" s="8" t="inlineStr">
        <is>
          <t>Tier 1 (Standard) — available to all frameworks and all customers</t>
        </is>
      </c>
      <c r="S16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3" ht="15" customHeight="1" s="6">
      <c r="A163" s="8" t="inlineStr">
        <is>
          <t>CDE-R162</t>
        </is>
      </c>
      <c r="B163" s="8" t="inlineStr">
        <is>
          <t>Pension Funding Shortfall Risk Identified</t>
        </is>
      </c>
      <c r="C163" s="8" t="inlineStr">
        <is>
          <t>Boolean</t>
        </is>
      </c>
      <c r="D163" s="8" t="inlineStr">
        <is>
          <t>Required</t>
        </is>
      </c>
      <c r="E163" s="8" t="inlineStr">
        <is>
          <t>Multi</t>
        </is>
      </c>
      <c r="F163" s="8" t="inlineStr">
        <is>
          <t>P1</t>
        </is>
      </c>
      <c r="G163" s="8" t="inlineStr">
        <is>
          <t>True/False/Unknown (tri-state)</t>
        </is>
      </c>
      <c r="H163" s="8" t="inlineStr">
        <is>
          <t>TYPE:BOOLEAN|ALLOWED:TRUE,FALSE,UNKNOWN</t>
        </is>
      </c>
      <c r="I163" s="8" t="inlineStr">
        <is>
          <t>Effective-dated</t>
        </is>
      </c>
      <c r="J163" s="8" t="inlineStr">
        <is>
          <t>One-to-one</t>
        </is>
      </c>
      <c r="K163" s="8" t="inlineStr">
        <is>
          <t>N/A — not a one-to-many numeric field</t>
        </is>
      </c>
      <c r="L163" s="8" t="inlineStr">
        <is>
          <t>Finance / ERP System (SAP S/4HANA, Oracle Fusion, NetSuite)</t>
        </is>
      </c>
      <c r="M163" s="8" t="inlineStr">
        <is>
          <t>CIL Architecture Team</t>
        </is>
      </c>
      <c r="N163" s="8" t="inlineStr">
        <is>
          <t>2026-06-21</t>
        </is>
      </c>
      <c r="O163" s="8" t="inlineStr">
        <is>
          <t>CorpStage CIL Registry v1.1</t>
        </is>
      </c>
      <c r="P163" s="8" t="inlineStr">
        <is>
          <t>Group only (single enterprise-wide fact, does not repeat per node)</t>
        </is>
      </c>
      <c r="Q163" s="8" t="inlineStr">
        <is>
          <t>Global</t>
        </is>
      </c>
      <c r="R163" s="8" t="inlineStr">
        <is>
          <t>Tier 1 (Standard) — available to all frameworks and all customers</t>
        </is>
      </c>
      <c r="S163" s="8" t="inlineStr">
        <is>
          <t>Owned by Risk Intelligence per Binding 6(b) — captures the RISK-SENSITIVITY view of the pension obligation, distinct from Domain 1 Enterprise Intelligence's CDE-397/398/399 (Defined Benefit Pension Obligation Exists/Value/Funding Status), which capture the underlying obligation FACTS. Domain 1 must reference this CDE for the risk-sensitivity quantification, not duplicate it.</t>
        </is>
      </c>
    </row>
    <row r="164" ht="15" customHeight="1" s="6">
      <c r="A164" s="8" t="inlineStr">
        <is>
          <t>CDE-R163</t>
        </is>
      </c>
      <c r="B164" s="8" t="inlineStr">
        <is>
          <t>Pension Obligation Interest Rate Sensitivity</t>
        </is>
      </c>
      <c r="C164" s="8" t="inlineStr">
        <is>
          <t>Text</t>
        </is>
      </c>
      <c r="D164" s="8" t="inlineStr">
        <is>
          <t>Recommended</t>
        </is>
      </c>
      <c r="E164" s="8" t="inlineStr">
        <is>
          <t>Optional</t>
        </is>
      </c>
      <c r="F164" s="8" t="inlineStr">
        <is>
          <t>P2</t>
        </is>
      </c>
      <c r="G164" s="8" t="inlineStr">
        <is>
          <t>High/Medium/Low</t>
        </is>
      </c>
      <c r="H164" s="8" t="inlineStr">
        <is>
          <t>TYPE:ENUM|ALLOWED:HIGH,MEDIUM,LOW</t>
        </is>
      </c>
      <c r="I164" s="8" t="inlineStr">
        <is>
          <t>Effective-dated</t>
        </is>
      </c>
      <c r="J164" s="8" t="inlineStr">
        <is>
          <t>One-to-one</t>
        </is>
      </c>
      <c r="K164" s="8" t="inlineStr">
        <is>
          <t>N/A — not a one-to-many numeric field</t>
        </is>
      </c>
      <c r="L164" s="8" t="inlineStr">
        <is>
          <t>Finance / ERP System (SAP S/4HANA, Oracle Fusion, NetSuite)</t>
        </is>
      </c>
      <c r="M164" s="8" t="inlineStr">
        <is>
          <t>CIL Architecture Team</t>
        </is>
      </c>
      <c r="N164" s="8" t="inlineStr">
        <is>
          <t>2026-06-21</t>
        </is>
      </c>
      <c r="O164" s="8" t="inlineStr">
        <is>
          <t>CorpStage CIL Registry v1.1</t>
        </is>
      </c>
      <c r="P164" s="8" t="inlineStr">
        <is>
          <t>Group only (single enterprise-wide fact, does not repeat per node)</t>
        </is>
      </c>
      <c r="Q164" s="8" t="inlineStr">
        <is>
          <t>Global</t>
        </is>
      </c>
      <c r="R164" s="8" t="inlineStr">
        <is>
          <t>Tier 1 (Standard) — available to all frameworks and all customers</t>
        </is>
      </c>
      <c r="S164" s="8" t="inlineStr">
        <is>
          <t>Owned by Risk Intelligence per Binding 6(b) — captures the RISK-SENSITIVITY view of the pension obligation, distinct from Domain 1 Enterprise Intelligence's CDE-397/398/399 (Defined Benefit Pension Obligation Exists/Value/Funding Status), which capture the underlying obligation FACTS. Domain 1 must reference this CDE for the risk-sensitivity quantification, not duplicate it.</t>
        </is>
      </c>
    </row>
    <row r="165" ht="15" customHeight="1" s="6">
      <c r="A165" s="8" t="inlineStr">
        <is>
          <t>CDE-R164</t>
        </is>
      </c>
      <c r="B165" s="8" t="inlineStr">
        <is>
          <t>Pension Risk Mitigation Action (e.g. de-risking, buyout)</t>
        </is>
      </c>
      <c r="C165" s="8" t="inlineStr">
        <is>
          <t>Text</t>
        </is>
      </c>
      <c r="D165" s="8" t="inlineStr">
        <is>
          <t>Supplemental</t>
        </is>
      </c>
      <c r="E165" s="8" t="inlineStr">
        <is>
          <t>Optional</t>
        </is>
      </c>
      <c r="F165" s="8" t="inlineStr">
        <is>
          <t>P3</t>
        </is>
      </c>
      <c r="G165" s="8" t="inlineStr">
        <is>
          <t>Non-empty text</t>
        </is>
      </c>
      <c r="H165" s="8" t="inlineStr">
        <is>
          <t>TYPE:TEXT</t>
        </is>
      </c>
      <c r="I165" s="8" t="inlineStr">
        <is>
          <t>Point-in-time</t>
        </is>
      </c>
      <c r="J165" s="8" t="inlineStr">
        <is>
          <t>One-to-many</t>
        </is>
      </c>
      <c r="K165" s="8" t="inlineStr">
        <is>
          <t>N/A — not a one-to-many numeric field</t>
        </is>
      </c>
      <c r="L165" s="8" t="inlineStr">
        <is>
          <t>User Validation</t>
        </is>
      </c>
      <c r="M165" s="8" t="inlineStr">
        <is>
          <t>CIL Architecture Team</t>
        </is>
      </c>
      <c r="N165" s="8" t="inlineStr">
        <is>
          <t>2026-06-21</t>
        </is>
      </c>
      <c r="O165" s="8" t="inlineStr">
        <is>
          <t>CorpStage CIL Registry v1.1</t>
        </is>
      </c>
      <c r="P165" s="8" t="inlineStr">
        <is>
          <t>Company, Group (collected per legal entity, not below Company level)</t>
        </is>
      </c>
      <c r="Q165" s="8" t="inlineStr">
        <is>
          <t>Global</t>
        </is>
      </c>
      <c r="R165" s="8" t="inlineStr">
        <is>
          <t>Tier 1 (Standard) — available to all frameworks and all customers</t>
        </is>
      </c>
      <c r="S165" s="8" t="inlineStr">
        <is>
          <t>Owned by Risk Intelligence per Binding 6(b) — captures the RISK-SENSITIVITY view of the pension obligation, distinct from Domain 1 Enterprise Intelligence's CDE-397/398/399 (Defined Benefit Pension Obligation Exists/Value/Funding Status), which capture the underlying obligation FACTS. Domain 1 must reference this CDE for the risk-sensitivity quantification, not duplicate it.</t>
        </is>
      </c>
    </row>
    <row r="166" ht="15" customHeight="1" s="6">
      <c r="A166" s="8" t="inlineStr">
        <is>
          <t>CDE-R165</t>
        </is>
      </c>
      <c r="B166" s="8" t="inlineStr">
        <is>
          <t>Risk-Taking Behavior Diverges from Stated Appetite</t>
        </is>
      </c>
      <c r="C166" s="8" t="inlineStr">
        <is>
          <t>Boolean</t>
        </is>
      </c>
      <c r="D166" s="8" t="inlineStr">
        <is>
          <t>Required</t>
        </is>
      </c>
      <c r="E166" s="8" t="inlineStr">
        <is>
          <t>Optional</t>
        </is>
      </c>
      <c r="F166" s="8" t="inlineStr">
        <is>
          <t>P1</t>
        </is>
      </c>
      <c r="G166" s="8" t="inlineStr">
        <is>
          <t>True/False/Unknown (tri-state)</t>
        </is>
      </c>
      <c r="H166" s="8" t="inlineStr">
        <is>
          <t>TYPE:BOOLEAN|ALLOWED:TRUE,FALSE,UNKNOWN</t>
        </is>
      </c>
      <c r="I166" s="8" t="inlineStr">
        <is>
          <t>Effective-dated</t>
        </is>
      </c>
      <c r="J166" s="8" t="inlineStr">
        <is>
          <t>One-to-one</t>
        </is>
      </c>
      <c r="K166" s="8" t="inlineStr">
        <is>
          <t>N/A — not a one-to-many numeric field</t>
        </is>
      </c>
      <c r="L166" s="8" t="inlineStr">
        <is>
          <t>User Validation</t>
        </is>
      </c>
      <c r="M166" s="8" t="inlineStr">
        <is>
          <t>CIL Architecture Team</t>
        </is>
      </c>
      <c r="N166" s="8" t="inlineStr">
        <is>
          <t>2026-06-21</t>
        </is>
      </c>
      <c r="O166" s="8" t="inlineStr">
        <is>
          <t>CorpStage CIL Registry v1.1</t>
        </is>
      </c>
      <c r="P166" s="8" t="inlineStr">
        <is>
          <t>Group only (single enterprise-wide fact, does not repeat per node)</t>
        </is>
      </c>
      <c r="Q166" s="8" t="inlineStr">
        <is>
          <t>Global</t>
        </is>
      </c>
      <c r="R166" s="8" t="inlineStr">
        <is>
          <t>Tier 1 (Standard) — available to all frameworks and all customers</t>
        </is>
      </c>
      <c r="S16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7" ht="15" customHeight="1" s="6">
      <c r="A167" s="8" t="inlineStr">
        <is>
          <t>CDE-R166</t>
        </is>
      </c>
      <c r="B167" s="8" t="inlineStr">
        <is>
          <t>Divergence Description (without formal breach)</t>
        </is>
      </c>
      <c r="C167" s="8" t="inlineStr">
        <is>
          <t>Text</t>
        </is>
      </c>
      <c r="D167" s="8" t="inlineStr">
        <is>
          <t>Recommended</t>
        </is>
      </c>
      <c r="E167" s="8" t="inlineStr">
        <is>
          <t>Optional</t>
        </is>
      </c>
      <c r="F167" s="8" t="inlineStr">
        <is>
          <t>P2</t>
        </is>
      </c>
      <c r="G167" s="8" t="inlineStr">
        <is>
          <t>Non-empty text</t>
        </is>
      </c>
      <c r="H167" s="8" t="inlineStr">
        <is>
          <t>TYPE:TEXT</t>
        </is>
      </c>
      <c r="I167" s="8" t="inlineStr">
        <is>
          <t>Point-in-time</t>
        </is>
      </c>
      <c r="J167" s="8" t="inlineStr">
        <is>
          <t>One-to-many</t>
        </is>
      </c>
      <c r="K167" s="8" t="inlineStr">
        <is>
          <t>N/A — not a one-to-many numeric field</t>
        </is>
      </c>
      <c r="L167" s="8" t="inlineStr">
        <is>
          <t>User Validation</t>
        </is>
      </c>
      <c r="M167" s="8" t="inlineStr">
        <is>
          <t>CIL Architecture Team</t>
        </is>
      </c>
      <c r="N167" s="8" t="inlineStr">
        <is>
          <t>2026-06-21</t>
        </is>
      </c>
      <c r="O167" s="8" t="inlineStr">
        <is>
          <t>CorpStage CIL Registry v1.1</t>
        </is>
      </c>
      <c r="P167" s="8" t="inlineStr">
        <is>
          <t>Company, Group (collected per legal entity, not below Company level)</t>
        </is>
      </c>
      <c r="Q167" s="8" t="inlineStr">
        <is>
          <t>Global</t>
        </is>
      </c>
      <c r="R167" s="8" t="inlineStr">
        <is>
          <t>Tier 1 (Standard) — available to all frameworks and all customers</t>
        </is>
      </c>
      <c r="S16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8" ht="15" customHeight="1" s="6">
      <c r="A168" s="8" t="inlineStr">
        <is>
          <t>CDE-R167</t>
        </is>
      </c>
      <c r="B168" s="8" t="inlineStr">
        <is>
          <t>Divergence Identified By (Internal Audit/Risk Function/Board)</t>
        </is>
      </c>
      <c r="C168" s="8" t="inlineStr">
        <is>
          <t>Text</t>
        </is>
      </c>
      <c r="D168" s="8" t="inlineStr">
        <is>
          <t>Supplemental</t>
        </is>
      </c>
      <c r="E168" s="8" t="inlineStr">
        <is>
          <t>Optional</t>
        </is>
      </c>
      <c r="F168" s="8" t="inlineStr">
        <is>
          <t>P3</t>
        </is>
      </c>
      <c r="G168" s="8" t="inlineStr">
        <is>
          <t>Internal Audit/Risk Function/Board</t>
        </is>
      </c>
      <c r="H168" s="8" t="inlineStr">
        <is>
          <t>TYPE:ENUM|ALLOWED:INTERNAL_AUDIT,RISK_FUNCTION,BOARD</t>
        </is>
      </c>
      <c r="I168" s="8" t="inlineStr">
        <is>
          <t>Point-in-time</t>
        </is>
      </c>
      <c r="J168" s="8" t="inlineStr">
        <is>
          <t>One-to-many</t>
        </is>
      </c>
      <c r="K168" s="8" t="inlineStr">
        <is>
          <t>N/A — not a one-to-many numeric field</t>
        </is>
      </c>
      <c r="L168" s="8" t="inlineStr">
        <is>
          <t>User Validation</t>
        </is>
      </c>
      <c r="M168" s="8" t="inlineStr">
        <is>
          <t>CIL Architecture Team</t>
        </is>
      </c>
      <c r="N168" s="8" t="inlineStr">
        <is>
          <t>2026-06-21</t>
        </is>
      </c>
      <c r="O168" s="8" t="inlineStr">
        <is>
          <t>CorpStage CIL Registry v1.1</t>
        </is>
      </c>
      <c r="P168" s="8" t="inlineStr">
        <is>
          <t>Company, Group (collected per legal entity, not below Company level)</t>
        </is>
      </c>
      <c r="Q168" s="8" t="inlineStr">
        <is>
          <t>Global</t>
        </is>
      </c>
      <c r="R168" s="8" t="inlineStr">
        <is>
          <t>Tier 1 (Standard) — available to all frameworks and all customers</t>
        </is>
      </c>
      <c r="S16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69" ht="15" customHeight="1" s="6">
      <c r="A169" s="8" t="inlineStr">
        <is>
          <t>CDE-R168</t>
        </is>
      </c>
      <c r="B169" s="8" t="inlineStr">
        <is>
          <t>Climate Transition Risk Identified (Carbon Pricing/Stranded Assets)</t>
        </is>
      </c>
      <c r="C169" s="8" t="inlineStr">
        <is>
          <t>Boolean</t>
        </is>
      </c>
      <c r="D169" s="8" t="inlineStr">
        <is>
          <t>Recommended</t>
        </is>
      </c>
      <c r="E169" s="8" t="inlineStr">
        <is>
          <t>Framework Specific</t>
        </is>
      </c>
      <c r="F169" s="8" t="inlineStr">
        <is>
          <t>P2</t>
        </is>
      </c>
      <c r="G169" s="8" t="inlineStr">
        <is>
          <t>True/False/Unknown (tri-state)</t>
        </is>
      </c>
      <c r="H169" s="8" t="inlineStr">
        <is>
          <t>TYPE:BOOLEAN|ALLOWED:TRUE,FALSE,UNKNOWN</t>
        </is>
      </c>
      <c r="I169" s="8" t="inlineStr">
        <is>
          <t>Effective-dated</t>
        </is>
      </c>
      <c r="J169" s="8" t="inlineStr">
        <is>
          <t>One-to-one</t>
        </is>
      </c>
      <c r="K169" s="8" t="inlineStr">
        <is>
          <t>N/A — not a one-to-many numeric field</t>
        </is>
      </c>
      <c r="L169" s="8" t="inlineStr">
        <is>
          <t>Annual Report / 10-K Filing (SEC EDGAR, Company IR Site)</t>
        </is>
      </c>
      <c r="M169" s="8" t="inlineStr">
        <is>
          <t>CIL Architecture Team</t>
        </is>
      </c>
      <c r="N169" s="8" t="inlineStr">
        <is>
          <t>2026-06-21</t>
        </is>
      </c>
      <c r="O169" s="8" t="inlineStr">
        <is>
          <t>CorpStage CIL Registry v1.1</t>
        </is>
      </c>
      <c r="P169" s="8" t="inlineStr">
        <is>
          <t>Group only (single enterprise-wide fact, does not repeat per node)</t>
        </is>
      </c>
      <c r="Q169" s="8" t="inlineStr">
        <is>
          <t>Global</t>
        </is>
      </c>
      <c r="R169" s="8" t="inlineStr">
        <is>
          <t>Tier 1 (Standard) — available to all frameworks and all customers</t>
        </is>
      </c>
      <c r="S16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0" ht="15" customHeight="1" s="6">
      <c r="A170" s="8" t="inlineStr">
        <is>
          <t>CDE-R169</t>
        </is>
      </c>
      <c r="B170" s="8" t="inlineStr">
        <is>
          <t>Transition Risk Estimated Financial Exposure</t>
        </is>
      </c>
      <c r="C170" s="8" t="inlineStr">
        <is>
          <t>Numeric</t>
        </is>
      </c>
      <c r="D170" s="8" t="inlineStr">
        <is>
          <t>Supplemental</t>
        </is>
      </c>
      <c r="E170" s="8" t="inlineStr">
        <is>
          <t>Framework Specific</t>
        </is>
      </c>
      <c r="F170" s="8" t="inlineStr">
        <is>
          <t>P3</t>
        </is>
      </c>
      <c r="G170" s="8" t="inlineStr">
        <is>
          <t>&gt;=0, numeric</t>
        </is>
      </c>
      <c r="H170" s="8" t="inlineStr">
        <is>
          <t>TYPE:NUMERIC|MIN:0</t>
        </is>
      </c>
      <c r="I170" s="8" t="inlineStr">
        <is>
          <t>Effective-dated</t>
        </is>
      </c>
      <c r="J170" s="8" t="inlineStr">
        <is>
          <t>One-to-one</t>
        </is>
      </c>
      <c r="K170" s="8" t="inlineStr">
        <is>
          <t>N/A — not a one-to-many numeric field</t>
        </is>
      </c>
      <c r="L170" s="8" t="inlineStr">
        <is>
          <t>Finance / ERP System (SAP S/4HANA, Oracle Fusion, NetSuite)</t>
        </is>
      </c>
      <c r="M170" s="8" t="inlineStr">
        <is>
          <t>CIL Architecture Team</t>
        </is>
      </c>
      <c r="N170" s="8" t="inlineStr">
        <is>
          <t>2026-06-21</t>
        </is>
      </c>
      <c r="O170" s="8" t="inlineStr">
        <is>
          <t>CorpStage CIL Registry v1.1</t>
        </is>
      </c>
      <c r="P170" s="8" t="inlineStr">
        <is>
          <t>Group only (single enterprise-wide fact, does not repeat per node)</t>
        </is>
      </c>
      <c r="Q170" s="8" t="inlineStr">
        <is>
          <t>Global</t>
        </is>
      </c>
      <c r="R170" s="8" t="inlineStr">
        <is>
          <t>Tier 1 (Standard) — available to all frameworks and all customers</t>
        </is>
      </c>
      <c r="S17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1" ht="15" customHeight="1" s="6">
      <c r="A171" s="8" t="inlineStr">
        <is>
          <t>CDE-R170</t>
        </is>
      </c>
      <c r="B171" s="8" t="inlineStr">
        <is>
          <t>AI/Algorithmic Risk Identified (Bias/Model Failure/Hallucination)</t>
        </is>
      </c>
      <c r="C171" s="8" t="inlineStr">
        <is>
          <t>Boolean</t>
        </is>
      </c>
      <c r="D171" s="8" t="inlineStr">
        <is>
          <t>Recommended</t>
        </is>
      </c>
      <c r="E171" s="8" t="inlineStr">
        <is>
          <t>Optional</t>
        </is>
      </c>
      <c r="F171" s="8" t="inlineStr">
        <is>
          <t>P2</t>
        </is>
      </c>
      <c r="G171" s="8" t="inlineStr">
        <is>
          <t>True/False/Unknown (tri-state)</t>
        </is>
      </c>
      <c r="H171" s="8" t="inlineStr">
        <is>
          <t>TYPE:BOOLEAN|ALLOWED:TRUE,FALSE,UNKNOWN</t>
        </is>
      </c>
      <c r="I171" s="8" t="inlineStr">
        <is>
          <t>Effective-dated</t>
        </is>
      </c>
      <c r="J171" s="8" t="inlineStr">
        <is>
          <t>One-to-one</t>
        </is>
      </c>
      <c r="K171" s="8" t="inlineStr">
        <is>
          <t>N/A — not a one-to-many numeric field</t>
        </is>
      </c>
      <c r="L171" s="8" t="inlineStr">
        <is>
          <t>User Validation</t>
        </is>
      </c>
      <c r="M171" s="8" t="inlineStr">
        <is>
          <t>CIL Architecture Team</t>
        </is>
      </c>
      <c r="N171" s="8" t="inlineStr">
        <is>
          <t>2026-06-21</t>
        </is>
      </c>
      <c r="O171" s="8" t="inlineStr">
        <is>
          <t>CorpStage CIL Registry v1.1</t>
        </is>
      </c>
      <c r="P171" s="8" t="inlineStr">
        <is>
          <t>Group only (single enterprise-wide fact, does not repeat per node)</t>
        </is>
      </c>
      <c r="Q171" s="8" t="inlineStr">
        <is>
          <t>Global</t>
        </is>
      </c>
      <c r="R171" s="8" t="inlineStr">
        <is>
          <t>Tier 1 (Standard) — available to all frameworks and all customers</t>
        </is>
      </c>
      <c r="S17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2" ht="15" customHeight="1" s="6">
      <c r="A172" s="8" t="inlineStr">
        <is>
          <t>CDE-R171</t>
        </is>
      </c>
      <c r="B172" s="8" t="inlineStr">
        <is>
          <t>AI Risk Governance/Review Process Exists</t>
        </is>
      </c>
      <c r="C172" s="8" t="inlineStr">
        <is>
          <t>Boolean</t>
        </is>
      </c>
      <c r="D172" s="8" t="inlineStr">
        <is>
          <t>Supplemental</t>
        </is>
      </c>
      <c r="E172" s="8" t="inlineStr">
        <is>
          <t>Optional</t>
        </is>
      </c>
      <c r="F172" s="8" t="inlineStr">
        <is>
          <t>P3</t>
        </is>
      </c>
      <c r="G172" s="8" t="inlineStr">
        <is>
          <t>True/False/Unknown (tri-state)</t>
        </is>
      </c>
      <c r="H172" s="8" t="inlineStr">
        <is>
          <t>TYPE:BOOLEAN|ALLOWED:TRUE,FALSE,UNKNOWN</t>
        </is>
      </c>
      <c r="I172" s="8" t="inlineStr">
        <is>
          <t>Point-in-time</t>
        </is>
      </c>
      <c r="J172" s="8" t="inlineStr">
        <is>
          <t>One-to-one</t>
        </is>
      </c>
      <c r="K172" s="8" t="inlineStr">
        <is>
          <t>N/A — not a one-to-many numeric field</t>
        </is>
      </c>
      <c r="L172" s="8" t="inlineStr">
        <is>
          <t>User Validation</t>
        </is>
      </c>
      <c r="M172" s="8" t="inlineStr">
        <is>
          <t>CIL Architecture Team</t>
        </is>
      </c>
      <c r="N172" s="8" t="inlineStr">
        <is>
          <t>2026-06-21</t>
        </is>
      </c>
      <c r="O172" s="8" t="inlineStr">
        <is>
          <t>CorpStage CIL Registry v1.1</t>
        </is>
      </c>
      <c r="P172" s="8" t="inlineStr">
        <is>
          <t>Group only (single enterprise-wide fact, does not repeat per node)</t>
        </is>
      </c>
      <c r="Q172" s="8" t="inlineStr">
        <is>
          <t>Global</t>
        </is>
      </c>
      <c r="R172" s="8" t="inlineStr">
        <is>
          <t>Tier 1 (Standard) — available to all frameworks and all customers</t>
        </is>
      </c>
      <c r="S17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3" ht="15" customHeight="1" s="6">
      <c r="A173" s="8" t="inlineStr">
        <is>
          <t>CDE-R172</t>
        </is>
      </c>
      <c r="B173" s="8" t="inlineStr">
        <is>
          <t>M&amp;A Due Diligence Risk Finding</t>
        </is>
      </c>
      <c r="C173" s="8" t="inlineStr">
        <is>
          <t>Text</t>
        </is>
      </c>
      <c r="D173" s="8" t="inlineStr">
        <is>
          <t>Required</t>
        </is>
      </c>
      <c r="E173" s="8" t="inlineStr">
        <is>
          <t>Optional</t>
        </is>
      </c>
      <c r="F173" s="8" t="inlineStr">
        <is>
          <t>P1</t>
        </is>
      </c>
      <c r="G173" s="8" t="inlineStr">
        <is>
          <t>Non-empty text</t>
        </is>
      </c>
      <c r="H173" s="8" t="inlineStr">
        <is>
          <t>TYPE:TEXT</t>
        </is>
      </c>
      <c r="I173" s="8" t="inlineStr">
        <is>
          <t>Point-in-time</t>
        </is>
      </c>
      <c r="J173" s="8" t="inlineStr">
        <is>
          <t>One-to-many</t>
        </is>
      </c>
      <c r="K173" s="8" t="inlineStr">
        <is>
          <t>N/A — not a one-to-many numeric field</t>
        </is>
      </c>
      <c r="L173" s="8" t="inlineStr">
        <is>
          <t>GRC / Risk Register (ServiceNow Risk, RSA Archer, LogicGate)</t>
        </is>
      </c>
      <c r="M173" s="8" t="inlineStr">
        <is>
          <t>CIL Architecture Team</t>
        </is>
      </c>
      <c r="N173" s="8" t="inlineStr">
        <is>
          <t>2026-06-21</t>
        </is>
      </c>
      <c r="O173" s="8" t="inlineStr">
        <is>
          <t>CorpStage CIL Registry v1.2</t>
        </is>
      </c>
      <c r="P173" s="8" t="inlineStr">
        <is>
          <t>Company, Group (collected per legal entity, not below Company level)</t>
        </is>
      </c>
      <c r="Q173" s="8" t="inlineStr">
        <is>
          <t>Global</t>
        </is>
      </c>
      <c r="R173" s="8" t="inlineStr">
        <is>
          <t>Tier 1 (Standard) — available to all frameworks and all customers</t>
        </is>
      </c>
      <c r="S173" s="8" t="inlineStr">
        <is>
          <t>Owned by Risk Intelligence per Binding 6(b) — captures the RISK-FINDINGS view, distinct from Domain 2 Strategy Intelligence's M&amp;A and integration-governance facts (transaction rationale, integration milestones). Domain 2 must reference this CDE for risk-specific findings, not duplicate it.</t>
        </is>
      </c>
    </row>
    <row r="174" ht="15" customHeight="1" s="6">
      <c r="A174" s="8" t="inlineStr">
        <is>
          <t>CDE-R173</t>
        </is>
      </c>
      <c r="B174" s="8" t="inlineStr">
        <is>
          <t>M&amp;A Risk Finding Severity Rating</t>
        </is>
      </c>
      <c r="C174" s="8" t="inlineStr">
        <is>
          <t>Text</t>
        </is>
      </c>
      <c r="D174" s="8" t="inlineStr">
        <is>
          <t>Recommended</t>
        </is>
      </c>
      <c r="E174" s="8" t="inlineStr">
        <is>
          <t>Optional</t>
        </is>
      </c>
      <c r="F174" s="8" t="inlineStr">
        <is>
          <t>P2</t>
        </is>
      </c>
      <c r="G174" s="8" t="inlineStr">
        <is>
          <t>High/Medium/Low</t>
        </is>
      </c>
      <c r="H174" s="8" t="inlineStr">
        <is>
          <t>TYPE:ENUM|ALLOWED:HIGH,MEDIUM,LOW</t>
        </is>
      </c>
      <c r="I174" s="8" t="inlineStr">
        <is>
          <t>Point-in-time</t>
        </is>
      </c>
      <c r="J174" s="8" t="inlineStr">
        <is>
          <t>One-to-many</t>
        </is>
      </c>
      <c r="K174" s="8" t="inlineStr">
        <is>
          <t>N/A — not a one-to-many numeric field</t>
        </is>
      </c>
      <c r="L174" s="8" t="inlineStr">
        <is>
          <t>GRC / Risk Register (ServiceNow Risk, RSA Archer, LogicGate)</t>
        </is>
      </c>
      <c r="M174" s="8" t="inlineStr">
        <is>
          <t>CIL Architecture Team</t>
        </is>
      </c>
      <c r="N174" s="8" t="inlineStr">
        <is>
          <t>2026-06-21</t>
        </is>
      </c>
      <c r="O174" s="8" t="inlineStr">
        <is>
          <t>CorpStage CIL Registry v1.2</t>
        </is>
      </c>
      <c r="P174" s="8" t="inlineStr">
        <is>
          <t>Company, Group (collected per legal entity, not below Company level)</t>
        </is>
      </c>
      <c r="Q174" s="8" t="inlineStr">
        <is>
          <t>Global</t>
        </is>
      </c>
      <c r="R174" s="8" t="inlineStr">
        <is>
          <t>Tier 1 (Standard) — available to all frameworks and all customers</t>
        </is>
      </c>
      <c r="S174" s="8" t="inlineStr">
        <is>
          <t>Owned by Risk Intelligence per Binding 6(b) — captures the RISK-FINDINGS view, distinct from Domain 2 Strategy Intelligence's M&amp;A and integration-governance facts (transaction rationale, integration milestones). Domain 2 must reference this CDE for risk-specific findings, not duplicate it.</t>
        </is>
      </c>
    </row>
    <row r="175" ht="15" customHeight="1" s="6">
      <c r="A175" s="8" t="inlineStr">
        <is>
          <t>CDE-R174</t>
        </is>
      </c>
      <c r="B175" s="8" t="inlineStr">
        <is>
          <t>M&amp;A Risk Finding Remediation Status</t>
        </is>
      </c>
      <c r="C175" s="8" t="inlineStr">
        <is>
          <t>Text</t>
        </is>
      </c>
      <c r="D175" s="8" t="inlineStr">
        <is>
          <t>Supplemental</t>
        </is>
      </c>
      <c r="E175" s="8" t="inlineStr">
        <is>
          <t>Optional</t>
        </is>
      </c>
      <c r="F175" s="8" t="inlineStr">
        <is>
          <t>P3</t>
        </is>
      </c>
      <c r="G175" s="8" t="inlineStr">
        <is>
          <t>Open/In Progress/Closed</t>
        </is>
      </c>
      <c r="H175" s="8" t="inlineStr">
        <is>
          <t>TYPE:ENUM|ALLOWED:OPEN,IN_PROGRESS,CLOSED</t>
        </is>
      </c>
      <c r="I175" s="8" t="inlineStr">
        <is>
          <t>Effective-dated</t>
        </is>
      </c>
      <c r="J175" s="8" t="inlineStr">
        <is>
          <t>One-to-many</t>
        </is>
      </c>
      <c r="K175" s="8" t="inlineStr">
        <is>
          <t>N/A — not a one-to-many numeric field</t>
        </is>
      </c>
      <c r="L175" s="8" t="inlineStr">
        <is>
          <t>User Validation</t>
        </is>
      </c>
      <c r="M175" s="8" t="inlineStr">
        <is>
          <t>CIL Architecture Team</t>
        </is>
      </c>
      <c r="N175" s="8" t="inlineStr">
        <is>
          <t>2026-06-21</t>
        </is>
      </c>
      <c r="O175" s="8" t="inlineStr">
        <is>
          <t>CorpStage CIL Registry v1.2</t>
        </is>
      </c>
      <c r="P175" s="8" t="inlineStr">
        <is>
          <t>Company, Group (collected per legal entity, not below Company level)</t>
        </is>
      </c>
      <c r="Q175" s="8" t="inlineStr">
        <is>
          <t>Global</t>
        </is>
      </c>
      <c r="R175" s="8" t="inlineStr">
        <is>
          <t>Tier 1 (Standard) — available to all frameworks and all customers</t>
        </is>
      </c>
      <c r="S175" s="8" t="inlineStr">
        <is>
          <t>Owned by Risk Intelligence per Binding 6(b) — captures the RISK-FINDINGS view, distinct from Domain 2 Strategy Intelligence's M&amp;A and integration-governance facts (transaction rationale, integration milestones). Domain 2 must reference this CDE for risk-specific findings, not duplicate it.</t>
        </is>
      </c>
    </row>
    <row r="176" ht="15" customHeight="1" s="6">
      <c r="A176" s="8" t="inlineStr">
        <is>
          <t>CDE-R175</t>
        </is>
      </c>
      <c r="B176" s="8" t="inlineStr">
        <is>
          <t>Pending Regulatory Change Tracked as Risk</t>
        </is>
      </c>
      <c r="C176" s="8" t="inlineStr">
        <is>
          <t>Text</t>
        </is>
      </c>
      <c r="D176" s="8" t="inlineStr">
        <is>
          <t>Required</t>
        </is>
      </c>
      <c r="E176" s="8" t="inlineStr">
        <is>
          <t>Multi</t>
        </is>
      </c>
      <c r="F176" s="8" t="inlineStr">
        <is>
          <t>P1</t>
        </is>
      </c>
      <c r="G176" s="8" t="inlineStr">
        <is>
          <t>Non-empty text</t>
        </is>
      </c>
      <c r="H176" s="8" t="inlineStr">
        <is>
          <t>TYPE:TEXT</t>
        </is>
      </c>
      <c r="I176" s="8" t="inlineStr">
        <is>
          <t>Point-in-time</t>
        </is>
      </c>
      <c r="J176" s="8" t="inlineStr">
        <is>
          <t>One-to-many</t>
        </is>
      </c>
      <c r="K176" s="8" t="inlineStr">
        <is>
          <t>N/A — not a one-to-many numeric field</t>
        </is>
      </c>
      <c r="L176" s="8" t="inlineStr">
        <is>
          <t>Regulatory Filings (SEC EDGAR, Companies House, National Business Registry)</t>
        </is>
      </c>
      <c r="M176" s="8" t="inlineStr">
        <is>
          <t>CIL Architecture Team</t>
        </is>
      </c>
      <c r="N176" s="8" t="inlineStr">
        <is>
          <t>2026-06-21</t>
        </is>
      </c>
      <c r="O176" s="8" t="inlineStr">
        <is>
          <t>CorpStage CIL Registry v1.2</t>
        </is>
      </c>
      <c r="P176" s="8" t="inlineStr">
        <is>
          <t>Company, Group (collected per legal entity, not below Company level)</t>
        </is>
      </c>
      <c r="Q176" s="8" t="inlineStr">
        <is>
          <t>Global</t>
        </is>
      </c>
      <c r="R176" s="8" t="inlineStr">
        <is>
          <t>Tier 1 (Standard) — available to all frameworks and all customers</t>
        </is>
      </c>
      <c r="S17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7" ht="15" customHeight="1" s="6">
      <c r="A177" s="8" t="inlineStr">
        <is>
          <t>CDE-R176</t>
        </is>
      </c>
      <c r="B177" s="8" t="inlineStr">
        <is>
          <t>Regulatory Change Expected Effective Date</t>
        </is>
      </c>
      <c r="C177" s="8" t="inlineStr">
        <is>
          <t>Date</t>
        </is>
      </c>
      <c r="D177" s="8" t="inlineStr">
        <is>
          <t>Recommended</t>
        </is>
      </c>
      <c r="E177" s="8" t="inlineStr">
        <is>
          <t>Optional</t>
        </is>
      </c>
      <c r="F177" s="8" t="inlineStr">
        <is>
          <t>P2</t>
        </is>
      </c>
      <c r="G177" s="8" t="inlineStr">
        <is>
          <t>Valid date</t>
        </is>
      </c>
      <c r="H177" s="8" t="inlineStr">
        <is>
          <t>TYPE:DATE</t>
        </is>
      </c>
      <c r="I177" s="8" t="inlineStr">
        <is>
          <t>Point-in-time</t>
        </is>
      </c>
      <c r="J177" s="8" t="inlineStr">
        <is>
          <t>One-to-many</t>
        </is>
      </c>
      <c r="K177" s="8" t="inlineStr">
        <is>
          <t>N/A — not a one-to-many numeric field</t>
        </is>
      </c>
      <c r="L177" s="8" t="inlineStr">
        <is>
          <t>Regulatory Filings (SEC EDGAR, Companies House, National Business Registry)</t>
        </is>
      </c>
      <c r="M177" s="8" t="inlineStr">
        <is>
          <t>CIL Architecture Team</t>
        </is>
      </c>
      <c r="N177" s="8" t="inlineStr">
        <is>
          <t>2026-06-21</t>
        </is>
      </c>
      <c r="O177" s="8" t="inlineStr">
        <is>
          <t>CorpStage CIL Registry v1.2</t>
        </is>
      </c>
      <c r="P177" s="8" t="inlineStr">
        <is>
          <t>Company, Group (collected per legal entity, not below Company level)</t>
        </is>
      </c>
      <c r="Q177" s="8" t="inlineStr">
        <is>
          <t>Global</t>
        </is>
      </c>
      <c r="R177" s="8" t="inlineStr">
        <is>
          <t>Tier 1 (Standard) — available to all frameworks and all customers</t>
        </is>
      </c>
      <c r="S17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8" ht="15" customHeight="1" s="6">
      <c r="A178" s="8" t="inlineStr">
        <is>
          <t>CDE-R177</t>
        </is>
      </c>
      <c r="B178" s="8" t="inlineStr">
        <is>
          <t>Regulatory Change Estimated Compliance Cost</t>
        </is>
      </c>
      <c r="C178" s="8" t="inlineStr">
        <is>
          <t>Numeric</t>
        </is>
      </c>
      <c r="D178" s="8" t="inlineStr">
        <is>
          <t>Supplemental</t>
        </is>
      </c>
      <c r="E178" s="8" t="inlineStr">
        <is>
          <t>Optional</t>
        </is>
      </c>
      <c r="F178" s="8" t="inlineStr">
        <is>
          <t>P3</t>
        </is>
      </c>
      <c r="G178" s="8" t="inlineStr">
        <is>
          <t>&gt;=0, numeric</t>
        </is>
      </c>
      <c r="H178" s="8" t="inlineStr">
        <is>
          <t>TYPE:NUMERIC|MIN:0</t>
        </is>
      </c>
      <c r="I178" s="8" t="inlineStr">
        <is>
          <t>Point-in-time</t>
        </is>
      </c>
      <c r="J178" s="8" t="inlineStr">
        <is>
          <t>One-to-many</t>
        </is>
      </c>
      <c r="K178" s="8" t="inlineStr">
        <is>
          <t>Independent per regulatory change; not aggregated across different jurisdictions</t>
        </is>
      </c>
      <c r="L178" s="8" t="inlineStr">
        <is>
          <t>User Validation</t>
        </is>
      </c>
      <c r="M178" s="8" t="inlineStr">
        <is>
          <t>CIL Architecture Team</t>
        </is>
      </c>
      <c r="N178" s="8" t="inlineStr">
        <is>
          <t>2026-06-21</t>
        </is>
      </c>
      <c r="O178" s="8" t="inlineStr">
        <is>
          <t>CorpStage CIL Registry v1.2</t>
        </is>
      </c>
      <c r="P178" s="8" t="inlineStr">
        <is>
          <t>Company, Group (collected per legal entity, not below Company level)</t>
        </is>
      </c>
      <c r="Q178" s="8" t="inlineStr">
        <is>
          <t>Global</t>
        </is>
      </c>
      <c r="R178" s="8" t="inlineStr">
        <is>
          <t>Tier 1 (Standard) — available to all frameworks and all customers</t>
        </is>
      </c>
      <c r="S17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79" ht="15" customHeight="1" s="6">
      <c r="A179" s="8" t="inlineStr">
        <is>
          <t>CDE-R178</t>
        </is>
      </c>
      <c r="B179" s="8" t="inlineStr">
        <is>
          <t>Risk Blind-Spot Self-Assessment Conducted</t>
        </is>
      </c>
      <c r="C179" s="8" t="inlineStr">
        <is>
          <t>Boolean</t>
        </is>
      </c>
      <c r="D179" s="8" t="inlineStr">
        <is>
          <t>Required</t>
        </is>
      </c>
      <c r="E179" s="8" t="inlineStr">
        <is>
          <t>Optional</t>
        </is>
      </c>
      <c r="F179" s="8" t="inlineStr">
        <is>
          <t>P1</t>
        </is>
      </c>
      <c r="G179" s="8" t="inlineStr">
        <is>
          <t>True/False/Unknown (tri-state)</t>
        </is>
      </c>
      <c r="H179" s="8" t="inlineStr">
        <is>
          <t>TYPE:BOOLEAN|ALLOWED:TRUE,FALSE,UNKNOWN</t>
        </is>
      </c>
      <c r="I179" s="8" t="inlineStr">
        <is>
          <t>Effective-dated</t>
        </is>
      </c>
      <c r="J179" s="8" t="inlineStr">
        <is>
          <t>One-to-one</t>
        </is>
      </c>
      <c r="K179" s="8" t="inlineStr">
        <is>
          <t>N/A — not a one-to-many numeric field</t>
        </is>
      </c>
      <c r="L179" s="8" t="inlineStr">
        <is>
          <t>User Validation</t>
        </is>
      </c>
      <c r="M179" s="8" t="inlineStr">
        <is>
          <t>CIL Architecture Team</t>
        </is>
      </c>
      <c r="N179" s="8" t="inlineStr">
        <is>
          <t>2026-06-21</t>
        </is>
      </c>
      <c r="O179" s="8" t="inlineStr">
        <is>
          <t>CorpStage CIL Registry v1.2</t>
        </is>
      </c>
      <c r="P179" s="8" t="inlineStr">
        <is>
          <t>Group only (single enterprise-wide fact, does not repeat per node)</t>
        </is>
      </c>
      <c r="Q179" s="8" t="inlineStr">
        <is>
          <t>Global</t>
        </is>
      </c>
      <c r="R179" s="8" t="inlineStr">
        <is>
          <t>Tier 1 (Standard) — available to all frameworks and all customers</t>
        </is>
      </c>
      <c r="S17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0" ht="15" customHeight="1" s="6">
      <c r="A180" s="8" t="inlineStr">
        <is>
          <t>CDE-R179</t>
        </is>
      </c>
      <c r="B180" s="8" t="inlineStr">
        <is>
          <t>Identified Coverage Gap Description</t>
        </is>
      </c>
      <c r="C180" s="8" t="inlineStr">
        <is>
          <t>Text</t>
        </is>
      </c>
      <c r="D180" s="8" t="inlineStr">
        <is>
          <t>Recommended</t>
        </is>
      </c>
      <c r="E180" s="8" t="inlineStr">
        <is>
          <t>Optional</t>
        </is>
      </c>
      <c r="F180" s="8" t="inlineStr">
        <is>
          <t>P2</t>
        </is>
      </c>
      <c r="G180" s="8" t="inlineStr">
        <is>
          <t>Non-empty text</t>
        </is>
      </c>
      <c r="H180" s="8" t="inlineStr">
        <is>
          <t>TYPE:TEXT</t>
        </is>
      </c>
      <c r="I180" s="8" t="inlineStr">
        <is>
          <t>Point-in-time</t>
        </is>
      </c>
      <c r="J180" s="8" t="inlineStr">
        <is>
          <t>One-to-many</t>
        </is>
      </c>
      <c r="K180" s="8" t="inlineStr">
        <is>
          <t>N/A — not a one-to-many numeric field</t>
        </is>
      </c>
      <c r="L180" s="8" t="inlineStr">
        <is>
          <t>User Validation</t>
        </is>
      </c>
      <c r="M180" s="8" t="inlineStr">
        <is>
          <t>CIL Architecture Team</t>
        </is>
      </c>
      <c r="N180" s="8" t="inlineStr">
        <is>
          <t>2026-06-21</t>
        </is>
      </c>
      <c r="O180" s="8" t="inlineStr">
        <is>
          <t>CorpStage CIL Registry v1.2</t>
        </is>
      </c>
      <c r="P180" s="8" t="inlineStr">
        <is>
          <t>Company, Group (collected per legal entity, not below Company level)</t>
        </is>
      </c>
      <c r="Q180" s="8" t="inlineStr">
        <is>
          <t>Global</t>
        </is>
      </c>
      <c r="R180" s="8" t="inlineStr">
        <is>
          <t>Tier 1 (Standard) — available to all frameworks and all customers</t>
        </is>
      </c>
      <c r="S18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1" ht="15" customHeight="1" s="6">
      <c r="A181" s="8" t="inlineStr">
        <is>
          <t>CDE-R180</t>
        </is>
      </c>
      <c r="B181" s="8" t="inlineStr">
        <is>
          <t>Blind-Spot Assessment Conducted By (Internal/External)</t>
        </is>
      </c>
      <c r="C181" s="8" t="inlineStr">
        <is>
          <t>Text</t>
        </is>
      </c>
      <c r="D181" s="8" t="inlineStr">
        <is>
          <t>Supplemental</t>
        </is>
      </c>
      <c r="E181" s="8" t="inlineStr">
        <is>
          <t>Optional</t>
        </is>
      </c>
      <c r="F181" s="8" t="inlineStr">
        <is>
          <t>P3</t>
        </is>
      </c>
      <c r="G181" s="8" t="inlineStr">
        <is>
          <t>Internal/External</t>
        </is>
      </c>
      <c r="H181" s="8" t="inlineStr">
        <is>
          <t>TYPE:ENUM|ALLOWED:INTERNAL,EXTERNAL</t>
        </is>
      </c>
      <c r="I181" s="8" t="inlineStr">
        <is>
          <t>Point-in-time</t>
        </is>
      </c>
      <c r="J181" s="8" t="inlineStr">
        <is>
          <t>One-to-one</t>
        </is>
      </c>
      <c r="K181" s="8" t="inlineStr">
        <is>
          <t>N/A — not a one-to-many numeric field</t>
        </is>
      </c>
      <c r="L181" s="8" t="inlineStr">
        <is>
          <t>User Validation</t>
        </is>
      </c>
      <c r="M181" s="8" t="inlineStr">
        <is>
          <t>CIL Architecture Team</t>
        </is>
      </c>
      <c r="N181" s="8" t="inlineStr">
        <is>
          <t>2026-06-21</t>
        </is>
      </c>
      <c r="O181" s="8" t="inlineStr">
        <is>
          <t>CorpStage CIL Registry v1.2</t>
        </is>
      </c>
      <c r="P181" s="8" t="inlineStr">
        <is>
          <t>Group only (single enterprise-wide fact, does not repeat per node)</t>
        </is>
      </c>
      <c r="Q181" s="8" t="inlineStr">
        <is>
          <t>Global</t>
        </is>
      </c>
      <c r="R181" s="8" t="inlineStr">
        <is>
          <t>Tier 1 (Standard) — available to all frameworks and all customers</t>
        </is>
      </c>
      <c r="S18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2" ht="15" customHeight="1" s="6">
      <c r="A182" s="8" t="inlineStr">
        <is>
          <t>CDE-R181</t>
        </is>
      </c>
      <c r="B182" s="8" t="inlineStr">
        <is>
          <t>Risk Appetite Varies by Business Unit/Subsidiary</t>
        </is>
      </c>
      <c r="C182" s="8" t="inlineStr">
        <is>
          <t>Boolean</t>
        </is>
      </c>
      <c r="D182" s="8" t="inlineStr">
        <is>
          <t>Required</t>
        </is>
      </c>
      <c r="E182" s="8" t="inlineStr">
        <is>
          <t>Optional</t>
        </is>
      </c>
      <c r="F182" s="8" t="inlineStr">
        <is>
          <t>P1</t>
        </is>
      </c>
      <c r="G182" s="8" t="inlineStr">
        <is>
          <t>True/False/Unknown (tri-state)</t>
        </is>
      </c>
      <c r="H182" s="8" t="inlineStr">
        <is>
          <t>TYPE:BOOLEAN|ALLOWED:TRUE,FALSE,UNKNOWN</t>
        </is>
      </c>
      <c r="I182" s="8" t="inlineStr">
        <is>
          <t>Effective-dated</t>
        </is>
      </c>
      <c r="J182" s="8" t="inlineStr">
        <is>
          <t>One-to-one</t>
        </is>
      </c>
      <c r="K182" s="8" t="inlineStr">
        <is>
          <t>N/A — not a one-to-many numeric field</t>
        </is>
      </c>
      <c r="L182" s="8" t="inlineStr">
        <is>
          <t>Board Portal / Governance Records (Diligent, BoardEffect)</t>
        </is>
      </c>
      <c r="M182" s="8" t="inlineStr">
        <is>
          <t>CIL Architecture Team</t>
        </is>
      </c>
      <c r="N182" s="8" t="inlineStr">
        <is>
          <t>2026-06-21</t>
        </is>
      </c>
      <c r="O182" s="8" t="inlineStr">
        <is>
          <t>CorpStage CIL Registry v1.2</t>
        </is>
      </c>
      <c r="P182" s="8" t="inlineStr">
        <is>
          <t>Group only (single enterprise-wide fact, does not repeat per node)</t>
        </is>
      </c>
      <c r="Q182" s="8" t="inlineStr">
        <is>
          <t>Global</t>
        </is>
      </c>
      <c r="R182" s="8" t="inlineStr">
        <is>
          <t>Tier 1 (Standard) — available to all frameworks and all customers</t>
        </is>
      </c>
      <c r="S18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3" ht="15" customHeight="1" s="6">
      <c r="A183" s="8" t="inlineStr">
        <is>
          <t>CDE-R182</t>
        </is>
      </c>
      <c r="B183" s="8" t="inlineStr">
        <is>
          <t>Business Unit/Subsidiary-Specific Risk Tolerance</t>
        </is>
      </c>
      <c r="C183" s="8" t="inlineStr">
        <is>
          <t>Text</t>
        </is>
      </c>
      <c r="D183" s="8" t="inlineStr">
        <is>
          <t>Recommended</t>
        </is>
      </c>
      <c r="E183" s="8" t="inlineStr">
        <is>
          <t>Optional</t>
        </is>
      </c>
      <c r="F183" s="8" t="inlineStr">
        <is>
          <t>P2</t>
        </is>
      </c>
      <c r="G183" s="8" t="inlineStr">
        <is>
          <t>Non-empty text</t>
        </is>
      </c>
      <c r="H183" s="8" t="inlineStr">
        <is>
          <t>TYPE:TEXT</t>
        </is>
      </c>
      <c r="I183" s="8" t="inlineStr">
        <is>
          <t>Point-in-time</t>
        </is>
      </c>
      <c r="J183" s="8" t="inlineStr">
        <is>
          <t>One-to-many</t>
        </is>
      </c>
      <c r="K183" s="8" t="inlineStr">
        <is>
          <t>N/A — not a one-to-many numeric field</t>
        </is>
      </c>
      <c r="L183" s="8" t="inlineStr">
        <is>
          <t>Board Portal / Governance Records (Diligent, BoardEffect)</t>
        </is>
      </c>
      <c r="M183" s="8" t="inlineStr">
        <is>
          <t>CIL Architecture Team</t>
        </is>
      </c>
      <c r="N183" s="8" t="inlineStr">
        <is>
          <t>2026-06-21</t>
        </is>
      </c>
      <c r="O183" s="8" t="inlineStr">
        <is>
          <t>CorpStage CIL Registry v1.2</t>
        </is>
      </c>
      <c r="P183" s="8" t="inlineStr">
        <is>
          <t>Company, Group (collected per legal entity, not below Company level)</t>
        </is>
      </c>
      <c r="Q183" s="8" t="inlineStr">
        <is>
          <t>Global</t>
        </is>
      </c>
      <c r="R183" s="8" t="inlineStr">
        <is>
          <t>Tier 1 (Standard) — available to all frameworks and all customers</t>
        </is>
      </c>
      <c r="S18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4" ht="15" customHeight="1" s="6">
      <c r="A184" s="8" t="inlineStr">
        <is>
          <t>CDE-R183</t>
        </is>
      </c>
      <c r="B184" s="8" t="inlineStr">
        <is>
          <t>Cyber Incident Probability Score</t>
        </is>
      </c>
      <c r="C184" s="8" t="inlineStr">
        <is>
          <t>Numeric</t>
        </is>
      </c>
      <c r="D184" s="8" t="inlineStr">
        <is>
          <t>Required</t>
        </is>
      </c>
      <c r="E184" s="8" t="inlineStr">
        <is>
          <t>Multi</t>
        </is>
      </c>
      <c r="F184" s="8" t="inlineStr">
        <is>
          <t>P1</t>
        </is>
      </c>
      <c r="G184" s="8" t="inlineStr">
        <is>
          <t>0-100, numeric</t>
        </is>
      </c>
      <c r="H184" s="8" t="inlineStr">
        <is>
          <t>TYPE:NUMERIC|MIN:0|MAX:100</t>
        </is>
      </c>
      <c r="I184" s="8" t="inlineStr">
        <is>
          <t>Effective-dated</t>
        </is>
      </c>
      <c r="J184" s="8" t="inlineStr">
        <is>
          <t>One-to-one</t>
        </is>
      </c>
      <c r="K184" s="8" t="inlineStr">
        <is>
          <t>N/A — not a one-to-many numeric field</t>
        </is>
      </c>
      <c r="L184" s="8" t="inlineStr">
        <is>
          <t>GRC / Risk Register (ServiceNow Risk, RSA Archer, LogicGate)</t>
        </is>
      </c>
      <c r="M184" s="8" t="inlineStr">
        <is>
          <t>CIL Architecture Team</t>
        </is>
      </c>
      <c r="N184" s="8" t="inlineStr">
        <is>
          <t>2026-06-21</t>
        </is>
      </c>
      <c r="O184" s="8" t="inlineStr">
        <is>
          <t>CorpStage CIL Registry v1.2</t>
        </is>
      </c>
      <c r="P184" s="8" t="inlineStr">
        <is>
          <t>Group only (single enterprise-wide fact, does not repeat per node)</t>
        </is>
      </c>
      <c r="Q184" s="8" t="inlineStr">
        <is>
          <t>Global</t>
        </is>
      </c>
      <c r="R184" s="8" t="inlineStr">
        <is>
          <t>Tier 1 (Standard) — available to all frameworks and all customers</t>
        </is>
      </c>
      <c r="S184" s="8" t="inlineStr">
        <is>
          <t>Owned by Risk Intelligence per Binding 6(a) — extracted as a BUSINESS-RISK fact (probability, financial exposure, Board oversight), distinct from a future Domain 14 Cyber &amp; Information Security Intelligence's technical facts (controls, architecture, incident response detail). Domain 14 must reference this CDE for the quantified-exposure fact, not create a duplicate.</t>
        </is>
      </c>
    </row>
    <row r="185" ht="15" customHeight="1" s="6">
      <c r="A185" s="8" t="inlineStr">
        <is>
          <t>CDE-R184</t>
        </is>
      </c>
      <c r="B185" s="8" t="inlineStr">
        <is>
          <t>Cyber Risk Estimated Financial Exposure</t>
        </is>
      </c>
      <c r="C185" s="8" t="inlineStr">
        <is>
          <t>Numeric</t>
        </is>
      </c>
      <c r="D185" s="8" t="inlineStr">
        <is>
          <t>Required</t>
        </is>
      </c>
      <c r="E185" s="8" t="inlineStr">
        <is>
          <t>Multi</t>
        </is>
      </c>
      <c r="F185" s="8" t="inlineStr">
        <is>
          <t>P1</t>
        </is>
      </c>
      <c r="G185" s="8" t="inlineStr">
        <is>
          <t>&gt;=0, numeric</t>
        </is>
      </c>
      <c r="H185" s="8" t="inlineStr">
        <is>
          <t>TYPE:NUMERIC|MIN:0</t>
        </is>
      </c>
      <c r="I185" s="8" t="inlineStr">
        <is>
          <t>Effective-dated</t>
        </is>
      </c>
      <c r="J185" s="8" t="inlineStr">
        <is>
          <t>One-to-one</t>
        </is>
      </c>
      <c r="K185" s="8" t="inlineStr">
        <is>
          <t>N/A — not a one-to-many numeric field</t>
        </is>
      </c>
      <c r="L185" s="8" t="inlineStr">
        <is>
          <t>GRC / Risk Register (ServiceNow Risk, RSA Archer, LogicGate)</t>
        </is>
      </c>
      <c r="M185" s="8" t="inlineStr">
        <is>
          <t>CIL Architecture Team</t>
        </is>
      </c>
      <c r="N185" s="8" t="inlineStr">
        <is>
          <t>2026-06-21</t>
        </is>
      </c>
      <c r="O185" s="8" t="inlineStr">
        <is>
          <t>CorpStage CIL Registry v1.2</t>
        </is>
      </c>
      <c r="P185" s="8" t="inlineStr">
        <is>
          <t>Group only (single enterprise-wide fact, does not repeat per node)</t>
        </is>
      </c>
      <c r="Q185" s="8" t="inlineStr">
        <is>
          <t>Global</t>
        </is>
      </c>
      <c r="R185" s="8" t="inlineStr">
        <is>
          <t>Tier 1 (Standard) — available to all frameworks and all customers</t>
        </is>
      </c>
      <c r="S185" s="8" t="inlineStr">
        <is>
          <t>Owned by Risk Intelligence per Binding 6(a) — extracted as a BUSINESS-RISK fact (probability, financial exposure, Board oversight), distinct from a future Domain 14 Cyber &amp; Information Security Intelligence's technical facts (controls, architecture, incident response detail). Domain 14 must reference this CDE for the quantified-exposure fact, not create a duplicate.</t>
        </is>
      </c>
    </row>
    <row r="186" ht="15" customHeight="1" s="6">
      <c r="A186" s="8" t="inlineStr">
        <is>
          <t>CDE-R185</t>
        </is>
      </c>
      <c r="B186" s="8" t="inlineStr">
        <is>
          <t>Cyber Risk Reported to Board as Business Risk</t>
        </is>
      </c>
      <c r="C186" s="8" t="inlineStr">
        <is>
          <t>Boolean</t>
        </is>
      </c>
      <c r="D186" s="8" t="inlineStr">
        <is>
          <t>Recommended</t>
        </is>
      </c>
      <c r="E186" s="8" t="inlineStr">
        <is>
          <t>Universal</t>
        </is>
      </c>
      <c r="F186" s="8" t="inlineStr">
        <is>
          <t>P2</t>
        </is>
      </c>
      <c r="G186" s="8" t="inlineStr">
        <is>
          <t>True/False/Unknown (tri-state)</t>
        </is>
      </c>
      <c r="H186" s="8" t="inlineStr">
        <is>
          <t>TYPE:BOOLEAN|ALLOWED:TRUE,FALSE,UNKNOWN</t>
        </is>
      </c>
      <c r="I186" s="8" t="inlineStr">
        <is>
          <t>Effective-dated</t>
        </is>
      </c>
      <c r="J186" s="8" t="inlineStr">
        <is>
          <t>One-to-one</t>
        </is>
      </c>
      <c r="K186" s="8" t="inlineStr">
        <is>
          <t>N/A — not a one-to-many numeric field</t>
        </is>
      </c>
      <c r="L186" s="8" t="inlineStr">
        <is>
          <t>Board Portal / Governance Records (Diligent, BoardEffect)</t>
        </is>
      </c>
      <c r="M186" s="8" t="inlineStr">
        <is>
          <t>CIL Architecture Team</t>
        </is>
      </c>
      <c r="N186" s="8" t="inlineStr">
        <is>
          <t>2026-06-21</t>
        </is>
      </c>
      <c r="O186" s="8" t="inlineStr">
        <is>
          <t>CorpStage CIL Registry v1.2</t>
        </is>
      </c>
      <c r="P186" s="8" t="inlineStr">
        <is>
          <t>Group only (single enterprise-wide fact, does not repeat per node)</t>
        </is>
      </c>
      <c r="Q186" s="8" t="inlineStr">
        <is>
          <t>Global</t>
        </is>
      </c>
      <c r="R186" s="8" t="inlineStr">
        <is>
          <t>Tier 1 (Standard) — available to all frameworks and all customers</t>
        </is>
      </c>
      <c r="S186" s="8" t="inlineStr">
        <is>
          <t>Owned by Risk Intelligence per Binding 6(a) — extracted as a BUSINESS-RISK fact (probability, financial exposure, Board oversight), distinct from a future Domain 14 Cyber &amp; Information Security Intelligence's technical facts (controls, architecture, incident response detail). Domain 14 must reference this CDE for the quantified-exposure fact, not create a duplicate.</t>
        </is>
      </c>
    </row>
    <row r="187" ht="15" customHeight="1" s="6">
      <c r="A187" s="8" t="inlineStr">
        <is>
          <t>CDE-R186</t>
        </is>
      </c>
      <c r="B187" s="8" t="inlineStr">
        <is>
          <t>Risk Appetite Variation Approved By</t>
        </is>
      </c>
      <c r="C187" s="8" t="inlineStr">
        <is>
          <t>Text</t>
        </is>
      </c>
      <c r="D187" s="8" t="inlineStr">
        <is>
          <t>Supplemental</t>
        </is>
      </c>
      <c r="E187" s="8" t="inlineStr">
        <is>
          <t>Optional</t>
        </is>
      </c>
      <c r="F187" s="8" t="inlineStr">
        <is>
          <t>P3</t>
        </is>
      </c>
      <c r="G187" s="8" t="inlineStr">
        <is>
          <t>Non-empty text</t>
        </is>
      </c>
      <c r="H187" s="8" t="inlineStr">
        <is>
          <t>TYPE:TEXT</t>
        </is>
      </c>
      <c r="I187" s="8" t="inlineStr">
        <is>
          <t>Point-in-time</t>
        </is>
      </c>
      <c r="J187" s="8" t="inlineStr">
        <is>
          <t>One-to-one</t>
        </is>
      </c>
      <c r="K187" s="8" t="inlineStr">
        <is>
          <t>N/A — not a one-to-many numeric field</t>
        </is>
      </c>
      <c r="L187" s="8" t="inlineStr">
        <is>
          <t>Board Portal / Governance Records (Diligent, BoardEffect)</t>
        </is>
      </c>
      <c r="M187" s="8" t="inlineStr">
        <is>
          <t>CIL Architecture Team</t>
        </is>
      </c>
      <c r="N187" s="8" t="inlineStr">
        <is>
          <t>2026-06-21</t>
        </is>
      </c>
      <c r="O187" s="8" t="inlineStr">
        <is>
          <t>CorpStage CIL Registry v1.2</t>
        </is>
      </c>
      <c r="P187" s="8" t="inlineStr">
        <is>
          <t>Group only (single enterprise-wide fact, does not repeat per node)</t>
        </is>
      </c>
      <c r="Q187" s="8" t="inlineStr">
        <is>
          <t>Global</t>
        </is>
      </c>
      <c r="R187" s="8" t="inlineStr">
        <is>
          <t>Tier 1 (Standard) — available to all frameworks and all customers</t>
        </is>
      </c>
      <c r="S18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8" ht="15" customHeight="1" s="6">
      <c r="A188" s="8" t="inlineStr">
        <is>
          <t>CDE-R187</t>
        </is>
      </c>
      <c r="B188" s="8" t="inlineStr">
        <is>
          <t>Economic/Risk Capital Allocation Methodology Used</t>
        </is>
      </c>
      <c r="C188" s="8" t="inlineStr">
        <is>
          <t>Boolean</t>
        </is>
      </c>
      <c r="D188" s="8" t="inlineStr">
        <is>
          <t>Recommended</t>
        </is>
      </c>
      <c r="E188" s="8" t="inlineStr">
        <is>
          <t>Optional</t>
        </is>
      </c>
      <c r="F188" s="8" t="inlineStr">
        <is>
          <t>P2</t>
        </is>
      </c>
      <c r="G188" s="8" t="inlineStr">
        <is>
          <t>True/False/Unknown (tri-state)</t>
        </is>
      </c>
      <c r="H188" s="8" t="inlineStr">
        <is>
          <t>TYPE:BOOLEAN|ALLOWED:TRUE,FALSE,UNKNOWN</t>
        </is>
      </c>
      <c r="I188" s="8" t="inlineStr">
        <is>
          <t>Effective-dated</t>
        </is>
      </c>
      <c r="J188" s="8" t="inlineStr">
        <is>
          <t>One-to-one</t>
        </is>
      </c>
      <c r="K188" s="8" t="inlineStr">
        <is>
          <t>N/A — not a one-to-many numeric field</t>
        </is>
      </c>
      <c r="L188" s="8" t="inlineStr">
        <is>
          <t>User Validation</t>
        </is>
      </c>
      <c r="M188" s="8" t="inlineStr">
        <is>
          <t>CIL Architecture Team</t>
        </is>
      </c>
      <c r="N188" s="8" t="inlineStr">
        <is>
          <t>2026-06-21</t>
        </is>
      </c>
      <c r="O188" s="8" t="inlineStr">
        <is>
          <t>CorpStage CIL Registry v1.3</t>
        </is>
      </c>
      <c r="P188" s="8" t="inlineStr">
        <is>
          <t>Group only (single enterprise-wide fact, does not repeat per node)</t>
        </is>
      </c>
      <c r="Q188" s="8" t="inlineStr">
        <is>
          <t>Global</t>
        </is>
      </c>
      <c r="R188" s="8" t="inlineStr">
        <is>
          <t>Tier 1 (Standard) — available to all frameworks and all customers</t>
        </is>
      </c>
      <c r="S18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89" ht="15" customHeight="1" s="6">
      <c r="A189" s="8" t="inlineStr">
        <is>
          <t>CDE-R188</t>
        </is>
      </c>
      <c r="B189" s="8" t="inlineStr">
        <is>
          <t>Economic Capital Held (Currency Value)</t>
        </is>
      </c>
      <c r="C189" s="8" t="inlineStr">
        <is>
          <t>Numeric</t>
        </is>
      </c>
      <c r="D189" s="8" t="inlineStr">
        <is>
          <t>Supplemental</t>
        </is>
      </c>
      <c r="E189" s="8" t="inlineStr">
        <is>
          <t>Optional</t>
        </is>
      </c>
      <c r="F189" s="8" t="inlineStr">
        <is>
          <t>P3</t>
        </is>
      </c>
      <c r="G189" s="8" t="inlineStr">
        <is>
          <t>&gt;=0, numeric</t>
        </is>
      </c>
      <c r="H189" s="8" t="inlineStr">
        <is>
          <t>TYPE:NUMERIC|MIN:0</t>
        </is>
      </c>
      <c r="I189" s="8" t="inlineStr">
        <is>
          <t>Effective-dated</t>
        </is>
      </c>
      <c r="J189" s="8" t="inlineStr">
        <is>
          <t>One-to-one</t>
        </is>
      </c>
      <c r="K189" s="8" t="inlineStr">
        <is>
          <t>N/A — not a one-to-many numeric field</t>
        </is>
      </c>
      <c r="L189" s="8" t="inlineStr">
        <is>
          <t>Finance / ERP System (SAP S/4HANA, Oracle Fusion, NetSuite)</t>
        </is>
      </c>
      <c r="M189" s="8" t="inlineStr">
        <is>
          <t>CIL Architecture Team</t>
        </is>
      </c>
      <c r="N189" s="8" t="inlineStr">
        <is>
          <t>2026-06-21</t>
        </is>
      </c>
      <c r="O189" s="8" t="inlineStr">
        <is>
          <t>CorpStage CIL Registry v1.3</t>
        </is>
      </c>
      <c r="P189" s="8" t="inlineStr">
        <is>
          <t>Group only (single enterprise-wide fact, does not repeat per node)</t>
        </is>
      </c>
      <c r="Q189" s="8" t="inlineStr">
        <is>
          <t>Global</t>
        </is>
      </c>
      <c r="R189" s="8" t="inlineStr">
        <is>
          <t>Tier 1 (Standard) — available to all frameworks and all customers</t>
        </is>
      </c>
      <c r="S18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0" ht="15" customHeight="1" s="6">
      <c r="A190" s="8" t="inlineStr">
        <is>
          <t>CDE-R189</t>
        </is>
      </c>
      <c r="B190" s="8" t="inlineStr">
        <is>
          <t>Risk Capital Methodology Description</t>
        </is>
      </c>
      <c r="C190" s="8" t="inlineStr">
        <is>
          <t>Text</t>
        </is>
      </c>
      <c r="D190" s="8" t="inlineStr">
        <is>
          <t>Supplemental</t>
        </is>
      </c>
      <c r="E190" s="8" t="inlineStr">
        <is>
          <t>Optional</t>
        </is>
      </c>
      <c r="F190" s="8" t="inlineStr">
        <is>
          <t>P3</t>
        </is>
      </c>
      <c r="G190" s="8" t="inlineStr">
        <is>
          <t>Non-empty text</t>
        </is>
      </c>
      <c r="H190" s="8" t="inlineStr">
        <is>
          <t>TYPE:TEXT</t>
        </is>
      </c>
      <c r="I190" s="8" t="inlineStr">
        <is>
          <t>Point-in-time</t>
        </is>
      </c>
      <c r="J190" s="8" t="inlineStr">
        <is>
          <t>One-to-one</t>
        </is>
      </c>
      <c r="K190" s="8" t="inlineStr">
        <is>
          <t>N/A — not a one-to-many numeric field</t>
        </is>
      </c>
      <c r="L190" s="8" t="inlineStr">
        <is>
          <t>User Validation</t>
        </is>
      </c>
      <c r="M190" s="8" t="inlineStr">
        <is>
          <t>CIL Architecture Team</t>
        </is>
      </c>
      <c r="N190" s="8" t="inlineStr">
        <is>
          <t>2026-06-21</t>
        </is>
      </c>
      <c r="O190" s="8" t="inlineStr">
        <is>
          <t>CorpStage CIL Registry v1.3</t>
        </is>
      </c>
      <c r="P190" s="8" t="inlineStr">
        <is>
          <t>Group only (single enterprise-wide fact, does not repeat per node)</t>
        </is>
      </c>
      <c r="Q190" s="8" t="inlineStr">
        <is>
          <t>Global</t>
        </is>
      </c>
      <c r="R190" s="8" t="inlineStr">
        <is>
          <t>Tier 1 (Standard) — available to all frameworks and all customers</t>
        </is>
      </c>
      <c r="S19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1" ht="15" customHeight="1" s="6">
      <c r="A191" s="8" t="inlineStr">
        <is>
          <t>CDE-R190</t>
        </is>
      </c>
      <c r="B191" s="8" t="inlineStr">
        <is>
          <t>Tail-Risk/Black-Swan Scenario Specifically Modeled</t>
        </is>
      </c>
      <c r="C191" s="8" t="inlineStr">
        <is>
          <t>Boolean</t>
        </is>
      </c>
      <c r="D191" s="8" t="inlineStr">
        <is>
          <t>Required</t>
        </is>
      </c>
      <c r="E191" s="8" t="inlineStr">
        <is>
          <t>Optional</t>
        </is>
      </c>
      <c r="F191" s="8" t="inlineStr">
        <is>
          <t>P1</t>
        </is>
      </c>
      <c r="G191" s="8" t="inlineStr">
        <is>
          <t>True/False/Unknown (tri-state)</t>
        </is>
      </c>
      <c r="H191" s="8" t="inlineStr">
        <is>
          <t>TYPE:BOOLEAN|ALLOWED:TRUE,FALSE,UNKNOWN</t>
        </is>
      </c>
      <c r="I191" s="8" t="inlineStr">
        <is>
          <t>Effective-dated</t>
        </is>
      </c>
      <c r="J191" s="8" t="inlineStr">
        <is>
          <t>One-to-one</t>
        </is>
      </c>
      <c r="K191" s="8" t="inlineStr">
        <is>
          <t>N/A — not a one-to-many numeric field</t>
        </is>
      </c>
      <c r="L191" s="8" t="inlineStr">
        <is>
          <t>User Validation</t>
        </is>
      </c>
      <c r="M191" s="8" t="inlineStr">
        <is>
          <t>CIL Architecture Team</t>
        </is>
      </c>
      <c r="N191" s="8" t="inlineStr">
        <is>
          <t>2026-06-21</t>
        </is>
      </c>
      <c r="O191" s="8" t="inlineStr">
        <is>
          <t>CorpStage CIL Registry v1.3</t>
        </is>
      </c>
      <c r="P191" s="8" t="inlineStr">
        <is>
          <t>Group only (single enterprise-wide fact, does not repeat per node)</t>
        </is>
      </c>
      <c r="Q191" s="8" t="inlineStr">
        <is>
          <t>Global</t>
        </is>
      </c>
      <c r="R191" s="8" t="inlineStr">
        <is>
          <t>Tier 1 (Standard) — available to all frameworks and all customers</t>
        </is>
      </c>
      <c r="S19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2" ht="15" customHeight="1" s="6">
      <c r="A192" s="8" t="inlineStr">
        <is>
          <t>CDE-R191</t>
        </is>
      </c>
      <c r="B192" s="8" t="inlineStr">
        <is>
          <t>Tail-Risk Scenario Description</t>
        </is>
      </c>
      <c r="C192" s="8" t="inlineStr">
        <is>
          <t>Text</t>
        </is>
      </c>
      <c r="D192" s="8" t="inlineStr">
        <is>
          <t>Recommended</t>
        </is>
      </c>
      <c r="E192" s="8" t="inlineStr">
        <is>
          <t>Optional</t>
        </is>
      </c>
      <c r="F192" s="8" t="inlineStr">
        <is>
          <t>P2</t>
        </is>
      </c>
      <c r="G192" s="8" t="inlineStr">
        <is>
          <t>Non-empty text</t>
        </is>
      </c>
      <c r="H192" s="8" t="inlineStr">
        <is>
          <t>TYPE:TEXT</t>
        </is>
      </c>
      <c r="I192" s="8" t="inlineStr">
        <is>
          <t>Point-in-time</t>
        </is>
      </c>
      <c r="J192" s="8" t="inlineStr">
        <is>
          <t>One-to-many</t>
        </is>
      </c>
      <c r="K192" s="8" t="inlineStr">
        <is>
          <t>N/A — not a one-to-many numeric field</t>
        </is>
      </c>
      <c r="L192" s="8" t="inlineStr">
        <is>
          <t>User Validation</t>
        </is>
      </c>
      <c r="M192" s="8" t="inlineStr">
        <is>
          <t>CIL Architecture Team</t>
        </is>
      </c>
      <c r="N192" s="8" t="inlineStr">
        <is>
          <t>2026-06-21</t>
        </is>
      </c>
      <c r="O192" s="8" t="inlineStr">
        <is>
          <t>CorpStage CIL Registry v1.3</t>
        </is>
      </c>
      <c r="P192" s="8" t="inlineStr">
        <is>
          <t>Company, Group (collected per legal entity, not below Company level)</t>
        </is>
      </c>
      <c r="Q192" s="8" t="inlineStr">
        <is>
          <t>Global</t>
        </is>
      </c>
      <c r="R192" s="8" t="inlineStr">
        <is>
          <t>Tier 1 (Standard) — available to all frameworks and all customers</t>
        </is>
      </c>
      <c r="S19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3" ht="15" customHeight="1" s="6">
      <c r="A193" s="8" t="inlineStr">
        <is>
          <t>CDE-R192</t>
        </is>
      </c>
      <c r="B193" s="8" t="inlineStr">
        <is>
          <t>Tail-Risk Scenario Estimated Impact</t>
        </is>
      </c>
      <c r="C193" s="8" t="inlineStr">
        <is>
          <t>Numeric</t>
        </is>
      </c>
      <c r="D193" s="8" t="inlineStr">
        <is>
          <t>Supplemental</t>
        </is>
      </c>
      <c r="E193" s="8" t="inlineStr">
        <is>
          <t>Optional</t>
        </is>
      </c>
      <c r="F193" s="8" t="inlineStr">
        <is>
          <t>P3</t>
        </is>
      </c>
      <c r="G193" s="8" t="inlineStr">
        <is>
          <t>&gt;=0, numeric</t>
        </is>
      </c>
      <c r="H193" s="8" t="inlineStr">
        <is>
          <t>TYPE:NUMERIC|MIN:0</t>
        </is>
      </c>
      <c r="I193" s="8" t="inlineStr">
        <is>
          <t>Point-in-time</t>
        </is>
      </c>
      <c r="J193" s="8" t="inlineStr">
        <is>
          <t>One-to-many</t>
        </is>
      </c>
      <c r="K193" s="8" t="inlineStr">
        <is>
          <t>Independent per scenario; tail scenarios are not additive</t>
        </is>
      </c>
      <c r="L193" s="8" t="inlineStr">
        <is>
          <t>User Validation</t>
        </is>
      </c>
      <c r="M193" s="8" t="inlineStr">
        <is>
          <t>CIL Architecture Team</t>
        </is>
      </c>
      <c r="N193" s="8" t="inlineStr">
        <is>
          <t>2026-06-21</t>
        </is>
      </c>
      <c r="O193" s="8" t="inlineStr">
        <is>
          <t>CorpStage CIL Registry v1.3</t>
        </is>
      </c>
      <c r="P193" s="8" t="inlineStr">
        <is>
          <t>Company, Group (collected per legal entity, not below Company level)</t>
        </is>
      </c>
      <c r="Q193" s="8" t="inlineStr">
        <is>
          <t>Global</t>
        </is>
      </c>
      <c r="R193" s="8" t="inlineStr">
        <is>
          <t>Tier 1 (Standard) — available to all frameworks and all customers</t>
        </is>
      </c>
      <c r="S19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4" ht="15" customHeight="1" s="6">
      <c r="A194" s="8" t="inlineStr">
        <is>
          <t>CDE-R193</t>
        </is>
      </c>
      <c r="B194" s="8" t="inlineStr">
        <is>
          <t>Risk Management Function Annual Budget</t>
        </is>
      </c>
      <c r="C194" s="8" t="inlineStr">
        <is>
          <t>Numeric</t>
        </is>
      </c>
      <c r="D194" s="8" t="inlineStr">
        <is>
          <t>Recommended</t>
        </is>
      </c>
      <c r="E194" s="8" t="inlineStr">
        <is>
          <t>Optional</t>
        </is>
      </c>
      <c r="F194" s="8" t="inlineStr">
        <is>
          <t>P2</t>
        </is>
      </c>
      <c r="G194" s="8" t="inlineStr">
        <is>
          <t>&gt;=0, numeric</t>
        </is>
      </c>
      <c r="H194" s="8" t="inlineStr">
        <is>
          <t>TYPE:NUMERIC|MIN:0</t>
        </is>
      </c>
      <c r="I194" s="8" t="inlineStr">
        <is>
          <t>Effective-dated</t>
        </is>
      </c>
      <c r="J194" s="8" t="inlineStr">
        <is>
          <t>One-to-one</t>
        </is>
      </c>
      <c r="K194" s="8" t="inlineStr">
        <is>
          <t>N/A — not a one-to-many numeric field</t>
        </is>
      </c>
      <c r="L194" s="8" t="inlineStr">
        <is>
          <t>Finance / ERP System (SAP S/4HANA, Oracle Fusion, NetSuite)</t>
        </is>
      </c>
      <c r="M194" s="8" t="inlineStr">
        <is>
          <t>CIL Architecture Team</t>
        </is>
      </c>
      <c r="N194" s="8" t="inlineStr">
        <is>
          <t>2026-06-21</t>
        </is>
      </c>
      <c r="O194" s="8" t="inlineStr">
        <is>
          <t>CorpStage CIL Registry v1.3</t>
        </is>
      </c>
      <c r="P194" s="8" t="inlineStr">
        <is>
          <t>Group only (single enterprise-wide fact, does not repeat per node)</t>
        </is>
      </c>
      <c r="Q194" s="8" t="inlineStr">
        <is>
          <t>Global</t>
        </is>
      </c>
      <c r="R194" s="8" t="inlineStr">
        <is>
          <t>Tier 1 (Standard) — available to all frameworks and all customers</t>
        </is>
      </c>
      <c r="S19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5" ht="15" customHeight="1" s="6">
      <c r="A195" s="8" t="inlineStr">
        <is>
          <t>CDE-R194</t>
        </is>
      </c>
      <c r="B195" s="8" t="inlineStr">
        <is>
          <t>Risk Management Function Headcount</t>
        </is>
      </c>
      <c r="C195" s="8" t="inlineStr">
        <is>
          <t>Numeric</t>
        </is>
      </c>
      <c r="D195" s="8" t="inlineStr">
        <is>
          <t>Recommended</t>
        </is>
      </c>
      <c r="E195" s="8" t="inlineStr">
        <is>
          <t>Optional</t>
        </is>
      </c>
      <c r="F195" s="8" t="inlineStr">
        <is>
          <t>P2</t>
        </is>
      </c>
      <c r="G195" s="8" t="inlineStr">
        <is>
          <t>&gt;=0, integer</t>
        </is>
      </c>
      <c r="H195" s="8" t="inlineStr">
        <is>
          <t>TYPE:INTEGER|MIN:0</t>
        </is>
      </c>
      <c r="I195" s="8" t="inlineStr">
        <is>
          <t>Effective-dated</t>
        </is>
      </c>
      <c r="J195" s="8" t="inlineStr">
        <is>
          <t>One-to-one</t>
        </is>
      </c>
      <c r="K195" s="8" t="inlineStr">
        <is>
          <t>N/A — not a one-to-many numeric field</t>
        </is>
      </c>
      <c r="L195" s="8" t="inlineStr">
        <is>
          <t>Internal System of Record / Finance-Verified Source</t>
        </is>
      </c>
      <c r="M195" s="8" t="inlineStr">
        <is>
          <t>CIL Architecture Team</t>
        </is>
      </c>
      <c r="N195" s="8" t="inlineStr">
        <is>
          <t>2026-06-21</t>
        </is>
      </c>
      <c r="O195" s="8" t="inlineStr">
        <is>
          <t>CorpStage CIL Registry v1.3</t>
        </is>
      </c>
      <c r="P195" s="8" t="inlineStr">
        <is>
          <t>Group only (single enterprise-wide fact, does not repeat per node)</t>
        </is>
      </c>
      <c r="Q195" s="8" t="inlineStr">
        <is>
          <t>Global</t>
        </is>
      </c>
      <c r="R195" s="8" t="inlineStr">
        <is>
          <t>Tier 1 (Standard) — available to all frameworks and all customers</t>
        </is>
      </c>
      <c r="S19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6" ht="15" customHeight="1" s="6">
      <c r="A196" s="8" t="inlineStr">
        <is>
          <t>CDE-R195</t>
        </is>
      </c>
      <c r="B196" s="8" t="inlineStr">
        <is>
          <t>Risk Function Resourcing Adequacy Self-Assessment</t>
        </is>
      </c>
      <c r="C196" s="8" t="inlineStr">
        <is>
          <t>Text</t>
        </is>
      </c>
      <c r="D196" s="8" t="inlineStr">
        <is>
          <t>Supplemental</t>
        </is>
      </c>
      <c r="E196" s="8" t="inlineStr">
        <is>
          <t>Optional</t>
        </is>
      </c>
      <c r="F196" s="8" t="inlineStr">
        <is>
          <t>P3</t>
        </is>
      </c>
      <c r="G196" s="8" t="inlineStr">
        <is>
          <t>Adequate/Under-Resourced/Over-Resourced</t>
        </is>
      </c>
      <c r="H196" s="8" t="inlineStr">
        <is>
          <t>TYPE:ENUM|ALLOWED:ADEQUATE,UNDER_RESOURCED,OVER_RESOURCED</t>
        </is>
      </c>
      <c r="I196" s="8" t="inlineStr">
        <is>
          <t>Point-in-time</t>
        </is>
      </c>
      <c r="J196" s="8" t="inlineStr">
        <is>
          <t>One-to-one</t>
        </is>
      </c>
      <c r="K196" s="8" t="inlineStr">
        <is>
          <t>N/A — not a one-to-many numeric field</t>
        </is>
      </c>
      <c r="L196" s="8" t="inlineStr">
        <is>
          <t>User Validation</t>
        </is>
      </c>
      <c r="M196" s="8" t="inlineStr">
        <is>
          <t>CIL Architecture Team</t>
        </is>
      </c>
      <c r="N196" s="8" t="inlineStr">
        <is>
          <t>2026-06-21</t>
        </is>
      </c>
      <c r="O196" s="8" t="inlineStr">
        <is>
          <t>CorpStage CIL Registry v1.3</t>
        </is>
      </c>
      <c r="P196" s="8" t="inlineStr">
        <is>
          <t>Group only (single enterprise-wide fact, does not repeat per node)</t>
        </is>
      </c>
      <c r="Q196" s="8" t="inlineStr">
        <is>
          <t>Global</t>
        </is>
      </c>
      <c r="R196" s="8" t="inlineStr">
        <is>
          <t>Tier 1 (Standard) — available to all frameworks and all customers</t>
        </is>
      </c>
      <c r="S19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7" ht="15" customHeight="1" s="6">
      <c r="A197" s="8" t="inlineStr">
        <is>
          <t>CDE-R196</t>
        </is>
      </c>
      <c r="B197" s="8" t="inlineStr">
        <is>
          <t>Public Risk Disclosure Cross-Checked Against Internal Register</t>
        </is>
      </c>
      <c r="C197" s="8" t="inlineStr">
        <is>
          <t>Boolean</t>
        </is>
      </c>
      <c r="D197" s="8" t="inlineStr">
        <is>
          <t>Required</t>
        </is>
      </c>
      <c r="E197" s="8" t="inlineStr">
        <is>
          <t>Optional</t>
        </is>
      </c>
      <c r="F197" s="8" t="inlineStr">
        <is>
          <t>P1</t>
        </is>
      </c>
      <c r="G197" s="8" t="inlineStr">
        <is>
          <t>True/False/Unknown (tri-state)</t>
        </is>
      </c>
      <c r="H197" s="8" t="inlineStr">
        <is>
          <t>TYPE:BOOLEAN|ALLOWED:TRUE,FALSE,UNKNOWN</t>
        </is>
      </c>
      <c r="I197" s="8" t="inlineStr">
        <is>
          <t>Effective-dated</t>
        </is>
      </c>
      <c r="J197" s="8" t="inlineStr">
        <is>
          <t>One-to-one</t>
        </is>
      </c>
      <c r="K197" s="8" t="inlineStr">
        <is>
          <t>N/A — not a one-to-many numeric field</t>
        </is>
      </c>
      <c r="L197" s="8" t="inlineStr">
        <is>
          <t>User Validation</t>
        </is>
      </c>
      <c r="M197" s="8" t="inlineStr">
        <is>
          <t>CIL Architecture Team</t>
        </is>
      </c>
      <c r="N197" s="8" t="inlineStr">
        <is>
          <t>2026-06-21</t>
        </is>
      </c>
      <c r="O197" s="8" t="inlineStr">
        <is>
          <t>CorpStage CIL Registry v1.3</t>
        </is>
      </c>
      <c r="P197" s="8" t="inlineStr">
        <is>
          <t>Group only (single enterprise-wide fact, does not repeat per node)</t>
        </is>
      </c>
      <c r="Q197" s="8" t="inlineStr">
        <is>
          <t>Global</t>
        </is>
      </c>
      <c r="R197" s="8" t="inlineStr">
        <is>
          <t>Tier 1 (Standard) — available to all frameworks and all customers</t>
        </is>
      </c>
      <c r="S19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8" ht="15" customHeight="1" s="6">
      <c r="A198" s="8" t="inlineStr">
        <is>
          <t>CDE-R197</t>
        </is>
      </c>
      <c r="B198" s="8" t="inlineStr">
        <is>
          <t>Disclosure Consistency Check Performed By</t>
        </is>
      </c>
      <c r="C198" s="8" t="inlineStr">
        <is>
          <t>Text</t>
        </is>
      </c>
      <c r="D198" s="8" t="inlineStr">
        <is>
          <t>Recommended</t>
        </is>
      </c>
      <c r="E198" s="8" t="inlineStr">
        <is>
          <t>Optional</t>
        </is>
      </c>
      <c r="F198" s="8" t="inlineStr">
        <is>
          <t>P2</t>
        </is>
      </c>
      <c r="G198" s="8" t="inlineStr">
        <is>
          <t>Internal Audit/External Auditor/Risk Function</t>
        </is>
      </c>
      <c r="H198" s="8" t="inlineStr">
        <is>
          <t>TYPE:ENUM|ALLOWED:INTERNAL_AUDIT,EXTERNAL_AUDITOR,RISK_FUNCTION</t>
        </is>
      </c>
      <c r="I198" s="8" t="inlineStr">
        <is>
          <t>Point-in-time</t>
        </is>
      </c>
      <c r="J198" s="8" t="inlineStr">
        <is>
          <t>One-to-one</t>
        </is>
      </c>
      <c r="K198" s="8" t="inlineStr">
        <is>
          <t>N/A — not a one-to-many numeric field</t>
        </is>
      </c>
      <c r="L198" s="8" t="inlineStr">
        <is>
          <t>User Validation</t>
        </is>
      </c>
      <c r="M198" s="8" t="inlineStr">
        <is>
          <t>CIL Architecture Team</t>
        </is>
      </c>
      <c r="N198" s="8" t="inlineStr">
        <is>
          <t>2026-06-21</t>
        </is>
      </c>
      <c r="O198" s="8" t="inlineStr">
        <is>
          <t>CorpStage CIL Registry v1.3</t>
        </is>
      </c>
      <c r="P198" s="8" t="inlineStr">
        <is>
          <t>Group only (single enterprise-wide fact, does not repeat per node)</t>
        </is>
      </c>
      <c r="Q198" s="8" t="inlineStr">
        <is>
          <t>Global</t>
        </is>
      </c>
      <c r="R198" s="8" t="inlineStr">
        <is>
          <t>Tier 1 (Standard) — available to all frameworks and all customers</t>
        </is>
      </c>
      <c r="S19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199" ht="15" customHeight="1" s="6">
      <c r="A199" s="8" t="inlineStr">
        <is>
          <t>CDE-R198</t>
        </is>
      </c>
      <c r="B199" s="8" t="inlineStr">
        <is>
          <t>Disclosure-to-Register Inconsistency Identified</t>
        </is>
      </c>
      <c r="C199" s="8" t="inlineStr">
        <is>
          <t>Boolean</t>
        </is>
      </c>
      <c r="D199" s="8" t="inlineStr">
        <is>
          <t>Recommended</t>
        </is>
      </c>
      <c r="E199" s="8" t="inlineStr">
        <is>
          <t>Optional</t>
        </is>
      </c>
      <c r="F199" s="8" t="inlineStr">
        <is>
          <t>P2</t>
        </is>
      </c>
      <c r="G199" s="8" t="inlineStr">
        <is>
          <t>True/False/Unknown (tri-state)</t>
        </is>
      </c>
      <c r="H199" s="8" t="inlineStr">
        <is>
          <t>TYPE:BOOLEAN|ALLOWED:TRUE,FALSE,UNKNOWN</t>
        </is>
      </c>
      <c r="I199" s="8" t="inlineStr">
        <is>
          <t>Point-in-time</t>
        </is>
      </c>
      <c r="J199" s="8" t="inlineStr">
        <is>
          <t>One-to-one</t>
        </is>
      </c>
      <c r="K199" s="8" t="inlineStr">
        <is>
          <t>N/A — not a one-to-many numeric field</t>
        </is>
      </c>
      <c r="L199" s="8" t="inlineStr">
        <is>
          <t>User Validation</t>
        </is>
      </c>
      <c r="M199" s="8" t="inlineStr">
        <is>
          <t>CIL Architecture Team</t>
        </is>
      </c>
      <c r="N199" s="8" t="inlineStr">
        <is>
          <t>2026-06-21</t>
        </is>
      </c>
      <c r="O199" s="8" t="inlineStr">
        <is>
          <t>CorpStage CIL Registry v1.3</t>
        </is>
      </c>
      <c r="P199" s="8" t="inlineStr">
        <is>
          <t>Group only (single enterprise-wide fact, does not repeat per node)</t>
        </is>
      </c>
      <c r="Q199" s="8" t="inlineStr">
        <is>
          <t>Global</t>
        </is>
      </c>
      <c r="R199" s="8" t="inlineStr">
        <is>
          <t>Tier 1 (Standard) — available to all frameworks and all customers</t>
        </is>
      </c>
      <c r="S19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0" ht="15" customHeight="1" s="6">
      <c r="A200" s="8" t="inlineStr">
        <is>
          <t>CDE-R199</t>
        </is>
      </c>
      <c r="B200" s="8" t="inlineStr">
        <is>
          <t>Risk Governance Independence from Controlling Shareholder</t>
        </is>
      </c>
      <c r="C200" s="8" t="inlineStr">
        <is>
          <t>Boolean</t>
        </is>
      </c>
      <c r="D200" s="8" t="inlineStr">
        <is>
          <t>Required</t>
        </is>
      </c>
      <c r="E200" s="8" t="inlineStr">
        <is>
          <t>Optional</t>
        </is>
      </c>
      <c r="F200" s="8" t="inlineStr">
        <is>
          <t>P1</t>
        </is>
      </c>
      <c r="G200" s="8" t="inlineStr">
        <is>
          <t>True/False/Unknown (tri-state)</t>
        </is>
      </c>
      <c r="H200" s="8" t="inlineStr">
        <is>
          <t>TYPE:BOOLEAN|ALLOWED:TRUE,FALSE,UNKNOWN</t>
        </is>
      </c>
      <c r="I200" s="8" t="inlineStr">
        <is>
          <t>Effective-dated</t>
        </is>
      </c>
      <c r="J200" s="8" t="inlineStr">
        <is>
          <t>One-to-one</t>
        </is>
      </c>
      <c r="K200" s="8" t="inlineStr">
        <is>
          <t>N/A — not a one-to-many numeric field</t>
        </is>
      </c>
      <c r="L200" s="8" t="inlineStr">
        <is>
          <t>Board Portal / Governance Records (Diligent, BoardEffect)</t>
        </is>
      </c>
      <c r="M200" s="8" t="inlineStr">
        <is>
          <t>CIL Architecture Team</t>
        </is>
      </c>
      <c r="N200" s="8" t="inlineStr">
        <is>
          <t>2026-06-21</t>
        </is>
      </c>
      <c r="O200" s="8" t="inlineStr">
        <is>
          <t>CorpStage CIL Registry v1.4</t>
        </is>
      </c>
      <c r="P200" s="8" t="inlineStr">
        <is>
          <t>Group only (single enterprise-wide fact, does not repeat per node)</t>
        </is>
      </c>
      <c r="Q200" s="8" t="inlineStr">
        <is>
          <t>Global</t>
        </is>
      </c>
      <c r="R200" s="8" t="inlineStr">
        <is>
          <t>Tier 1 (Standard) — available to all frameworks and all customers</t>
        </is>
      </c>
      <c r="S200" s="8" t="inlineStr">
        <is>
          <t>Owned by Risk Intelligence per Binding 6(b) — captures the RISK-GOVERNANCE-INDEPENDENCE view, distinct from Domain 1 Enterprise Intelligence's CDE-364/368 (ownership structure facts) and Domain 2 Strategy Intelligence's CDE-S310-318 (strategic-consequence facts). Domain 1 and Domain 2 must reference this CDE for the risk-oversight independence fact, not duplicate it.</t>
        </is>
      </c>
    </row>
    <row r="201" ht="15" customHeight="1" s="6">
      <c r="A201" s="8" t="inlineStr">
        <is>
          <t>CDE-R200</t>
        </is>
      </c>
      <c r="B201" s="8" t="inlineStr">
        <is>
          <t>Independent Risk Committee Member Count</t>
        </is>
      </c>
      <c r="C201" s="8" t="inlineStr">
        <is>
          <t>Numeric</t>
        </is>
      </c>
      <c r="D201" s="8" t="inlineStr">
        <is>
          <t>Recommended</t>
        </is>
      </c>
      <c r="E201" s="8" t="inlineStr">
        <is>
          <t>Optional</t>
        </is>
      </c>
      <c r="F201" s="8" t="inlineStr">
        <is>
          <t>P2</t>
        </is>
      </c>
      <c r="G201" s="8" t="inlineStr">
        <is>
          <t>&gt;=0, integer</t>
        </is>
      </c>
      <c r="H201" s="8" t="inlineStr">
        <is>
          <t>TYPE:INTEGER|MIN:0</t>
        </is>
      </c>
      <c r="I201" s="8" t="inlineStr">
        <is>
          <t>Effective-dated</t>
        </is>
      </c>
      <c r="J201" s="8" t="inlineStr">
        <is>
          <t>One-to-one</t>
        </is>
      </c>
      <c r="K201" s="8" t="inlineStr">
        <is>
          <t>N/A — not a one-to-many numeric field</t>
        </is>
      </c>
      <c r="L201" s="8" t="inlineStr">
        <is>
          <t>Board Portal / Governance Records (Diligent, BoardEffect)</t>
        </is>
      </c>
      <c r="M201" s="8" t="inlineStr">
        <is>
          <t>CIL Architecture Team</t>
        </is>
      </c>
      <c r="N201" s="8" t="inlineStr">
        <is>
          <t>2026-06-21</t>
        </is>
      </c>
      <c r="O201" s="8" t="inlineStr">
        <is>
          <t>CorpStage CIL Registry v1.4</t>
        </is>
      </c>
      <c r="P201" s="8" t="inlineStr">
        <is>
          <t>Group only (single enterprise-wide fact, does not repeat per node)</t>
        </is>
      </c>
      <c r="Q201" s="8" t="inlineStr">
        <is>
          <t>Global</t>
        </is>
      </c>
      <c r="R201" s="8" t="inlineStr">
        <is>
          <t>Tier 1 (Standard) — available to all frameworks and all customers</t>
        </is>
      </c>
      <c r="S201" s="8" t="inlineStr">
        <is>
          <t>Owned by Risk Intelligence per Binding 6(b) — captures the RISK-GOVERNANCE-INDEPENDENCE view, distinct from Domain 1 Enterprise Intelligence's CDE-364/368 (ownership structure facts) and Domain 2 Strategy Intelligence's CDE-S310-318 (strategic-consequence facts). Domain 1 and Domain 2 must reference this CDE for the risk-oversight independence fact, not duplicate it.</t>
        </is>
      </c>
    </row>
    <row r="202" ht="15" customHeight="1" s="6">
      <c r="A202" s="8" t="inlineStr">
        <is>
          <t>CDE-R201</t>
        </is>
      </c>
      <c r="B202" s="8" t="inlineStr">
        <is>
          <t>Risk Veto/Override by Controlling Shareholder Documented</t>
        </is>
      </c>
      <c r="C202" s="8" t="inlineStr">
        <is>
          <t>Boolean</t>
        </is>
      </c>
      <c r="D202" s="8" t="inlineStr">
        <is>
          <t>Supplemental</t>
        </is>
      </c>
      <c r="E202" s="8" t="inlineStr">
        <is>
          <t>Optional</t>
        </is>
      </c>
      <c r="F202" s="8" t="inlineStr">
        <is>
          <t>P3</t>
        </is>
      </c>
      <c r="G202" s="8" t="inlineStr">
        <is>
          <t>True/False/Unknown (tri-state)</t>
        </is>
      </c>
      <c r="H202" s="8" t="inlineStr">
        <is>
          <t>TYPE:BOOLEAN|ALLOWED:TRUE,FALSE,UNKNOWN</t>
        </is>
      </c>
      <c r="I202" s="8" t="inlineStr">
        <is>
          <t>Point-in-time</t>
        </is>
      </c>
      <c r="J202" s="8" t="inlineStr">
        <is>
          <t>One-to-many</t>
        </is>
      </c>
      <c r="K202" s="8" t="inlineStr">
        <is>
          <t>N/A — not a one-to-many numeric field</t>
        </is>
      </c>
      <c r="L202" s="8" t="inlineStr">
        <is>
          <t>User Validation</t>
        </is>
      </c>
      <c r="M202" s="8" t="inlineStr">
        <is>
          <t>CIL Architecture Team</t>
        </is>
      </c>
      <c r="N202" s="8" t="inlineStr">
        <is>
          <t>2026-06-21</t>
        </is>
      </c>
      <c r="O202" s="8" t="inlineStr">
        <is>
          <t>CorpStage CIL Registry v1.4</t>
        </is>
      </c>
      <c r="P202" s="8" t="inlineStr">
        <is>
          <t>Group only (single enterprise-wide fact, does not repeat per node)</t>
        </is>
      </c>
      <c r="Q202" s="8" t="inlineStr">
        <is>
          <t>Global</t>
        </is>
      </c>
      <c r="R202" s="8" t="inlineStr">
        <is>
          <t>Tier 1 (Standard) — available to all frameworks and all customers</t>
        </is>
      </c>
      <c r="S202" s="8" t="inlineStr">
        <is>
          <t>Owned by Risk Intelligence per Binding 6(b) — captures the RISK-GOVERNANCE-INDEPENDENCE view, distinct from Domain 1 Enterprise Intelligence's CDE-364/368 (ownership structure facts) and Domain 2 Strategy Intelligence's CDE-S310-318 (strategic-consequence facts). Domain 1 and Domain 2 must reference this CDE for the risk-oversight independence fact, not duplicate it.</t>
        </is>
      </c>
    </row>
    <row r="203" ht="15" customHeight="1" s="6">
      <c r="A203" s="8" t="inlineStr">
        <is>
          <t>CDE-R202</t>
        </is>
      </c>
      <c r="B203" s="8" t="inlineStr">
        <is>
          <t>Risk Function Continuity Plan During Financial Distress</t>
        </is>
      </c>
      <c r="C203" s="8" t="inlineStr">
        <is>
          <t>Boolean</t>
        </is>
      </c>
      <c r="D203" s="8" t="inlineStr">
        <is>
          <t>Required</t>
        </is>
      </c>
      <c r="E203" s="8" t="inlineStr">
        <is>
          <t>Optional</t>
        </is>
      </c>
      <c r="F203" s="8" t="inlineStr">
        <is>
          <t>P1</t>
        </is>
      </c>
      <c r="G203" s="8" t="inlineStr">
        <is>
          <t>True/False/Unknown (tri-state)</t>
        </is>
      </c>
      <c r="H203" s="8" t="inlineStr">
        <is>
          <t>TYPE:BOOLEAN|ALLOWED:TRUE,FALSE,UNKNOWN</t>
        </is>
      </c>
      <c r="I203" s="8" t="inlineStr">
        <is>
          <t>Effective-dated</t>
        </is>
      </c>
      <c r="J203" s="8" t="inlineStr">
        <is>
          <t>One-to-one</t>
        </is>
      </c>
      <c r="K203" s="8" t="inlineStr">
        <is>
          <t>N/A — not a one-to-many numeric field</t>
        </is>
      </c>
      <c r="L203" s="8" t="inlineStr">
        <is>
          <t>User Validation</t>
        </is>
      </c>
      <c r="M203" s="8" t="inlineStr">
        <is>
          <t>CIL Architecture Team</t>
        </is>
      </c>
      <c r="N203" s="8" t="inlineStr">
        <is>
          <t>2026-06-21</t>
        </is>
      </c>
      <c r="O203" s="8" t="inlineStr">
        <is>
          <t>CorpStage CIL Registry v1.4</t>
        </is>
      </c>
      <c r="P203" s="8" t="inlineStr">
        <is>
          <t>Group only (single enterprise-wide fact, does not repeat per node)</t>
        </is>
      </c>
      <c r="Q203" s="8" t="inlineStr">
        <is>
          <t>Global</t>
        </is>
      </c>
      <c r="R203" s="8" t="inlineStr">
        <is>
          <t>Tier 1 (Standard) — available to all frameworks and all customers</t>
        </is>
      </c>
      <c r="S20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4" ht="15" customHeight="1" s="6">
      <c r="A204" s="8" t="inlineStr">
        <is>
          <t>CDE-R203</t>
        </is>
      </c>
      <c r="B204" s="8" t="inlineStr">
        <is>
          <t>Risk Function Independence from Cost-Cutting During Distress</t>
        </is>
      </c>
      <c r="C204" s="8" t="inlineStr">
        <is>
          <t>Boolean</t>
        </is>
      </c>
      <c r="D204" s="8" t="inlineStr">
        <is>
          <t>Recommended</t>
        </is>
      </c>
      <c r="E204" s="8" t="inlineStr">
        <is>
          <t>Optional</t>
        </is>
      </c>
      <c r="F204" s="8" t="inlineStr">
        <is>
          <t>P2</t>
        </is>
      </c>
      <c r="G204" s="8" t="inlineStr">
        <is>
          <t>True/False/Unknown (tri-state)</t>
        </is>
      </c>
      <c r="H204" s="8" t="inlineStr">
        <is>
          <t>TYPE:BOOLEAN|ALLOWED:TRUE,FALSE,UNKNOWN</t>
        </is>
      </c>
      <c r="I204" s="8" t="inlineStr">
        <is>
          <t>Point-in-time</t>
        </is>
      </c>
      <c r="J204" s="8" t="inlineStr">
        <is>
          <t>One-to-one</t>
        </is>
      </c>
      <c r="K204" s="8" t="inlineStr">
        <is>
          <t>N/A — not a one-to-many numeric field</t>
        </is>
      </c>
      <c r="L204" s="8" t="inlineStr">
        <is>
          <t>User Validation</t>
        </is>
      </c>
      <c r="M204" s="8" t="inlineStr">
        <is>
          <t>CIL Architecture Team</t>
        </is>
      </c>
      <c r="N204" s="8" t="inlineStr">
        <is>
          <t>2026-06-21</t>
        </is>
      </c>
      <c r="O204" s="8" t="inlineStr">
        <is>
          <t>CorpStage CIL Registry v1.4</t>
        </is>
      </c>
      <c r="P204" s="8" t="inlineStr">
        <is>
          <t>Group only (single enterprise-wide fact, does not repeat per node)</t>
        </is>
      </c>
      <c r="Q204" s="8" t="inlineStr">
        <is>
          <t>Global</t>
        </is>
      </c>
      <c r="R204" s="8" t="inlineStr">
        <is>
          <t>Tier 1 (Standard) — available to all frameworks and all customers</t>
        </is>
      </c>
      <c r="S20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5" ht="15" customHeight="1" s="6">
      <c r="A205" s="8" t="inlineStr">
        <is>
          <t>CDE-R204</t>
        </is>
      </c>
      <c r="B205" s="8" t="inlineStr">
        <is>
          <t>CRO/Risk Function Succession Plan Exists</t>
        </is>
      </c>
      <c r="C205" s="8" t="inlineStr">
        <is>
          <t>Boolean</t>
        </is>
      </c>
      <c r="D205" s="8" t="inlineStr">
        <is>
          <t>Required</t>
        </is>
      </c>
      <c r="E205" s="8" t="inlineStr">
        <is>
          <t>Optional</t>
        </is>
      </c>
      <c r="F205" s="8" t="inlineStr">
        <is>
          <t>P1</t>
        </is>
      </c>
      <c r="G205" s="8" t="inlineStr">
        <is>
          <t>True/False/Unknown (tri-state)</t>
        </is>
      </c>
      <c r="H205" s="8" t="inlineStr">
        <is>
          <t>TYPE:BOOLEAN|ALLOWED:TRUE,FALSE,UNKNOWN</t>
        </is>
      </c>
      <c r="I205" s="8" t="inlineStr">
        <is>
          <t>Effective-dated</t>
        </is>
      </c>
      <c r="J205" s="8" t="inlineStr">
        <is>
          <t>One-to-one</t>
        </is>
      </c>
      <c r="K205" s="8" t="inlineStr">
        <is>
          <t>N/A — not a one-to-many numeric field</t>
        </is>
      </c>
      <c r="L205" s="8" t="inlineStr">
        <is>
          <t>Board Portal / Governance Records (Diligent, BoardEffect)</t>
        </is>
      </c>
      <c r="M205" s="8" t="inlineStr">
        <is>
          <t>CIL Architecture Team</t>
        </is>
      </c>
      <c r="N205" s="8" t="inlineStr">
        <is>
          <t>2026-06-21</t>
        </is>
      </c>
      <c r="O205" s="8" t="inlineStr">
        <is>
          <t>CorpStage CIL Registry v1.4</t>
        </is>
      </c>
      <c r="P205" s="8" t="inlineStr">
        <is>
          <t>Group only (single enterprise-wide fact, does not repeat per node)</t>
        </is>
      </c>
      <c r="Q205" s="8" t="inlineStr">
        <is>
          <t>Global</t>
        </is>
      </c>
      <c r="R205" s="8" t="inlineStr">
        <is>
          <t>Tier 1 (Standard) — available to all frameworks and all customers</t>
        </is>
      </c>
      <c r="S20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6" ht="15" customHeight="1" s="6">
      <c r="A206" s="8" t="inlineStr">
        <is>
          <t>CDE-R205</t>
        </is>
      </c>
      <c r="B206" s="8" t="inlineStr">
        <is>
          <t>CRO Tenure (years)</t>
        </is>
      </c>
      <c r="C206" s="8" t="inlineStr">
        <is>
          <t>Numeric</t>
        </is>
      </c>
      <c r="D206" s="8" t="inlineStr">
        <is>
          <t>Recommended</t>
        </is>
      </c>
      <c r="E206" s="8" t="inlineStr">
        <is>
          <t>Optional</t>
        </is>
      </c>
      <c r="F206" s="8" t="inlineStr">
        <is>
          <t>P2</t>
        </is>
      </c>
      <c r="G206" s="8" t="inlineStr">
        <is>
          <t>&gt;=0, numeric</t>
        </is>
      </c>
      <c r="H206" s="8" t="inlineStr">
        <is>
          <t>TYPE:NUMERIC|MIN:0</t>
        </is>
      </c>
      <c r="I206" s="8" t="inlineStr">
        <is>
          <t>Effective-dated</t>
        </is>
      </c>
      <c r="J206" s="8" t="inlineStr">
        <is>
          <t>One-to-one</t>
        </is>
      </c>
      <c r="K206" s="8" t="inlineStr">
        <is>
          <t>N/A — not a one-to-many numeric field</t>
        </is>
      </c>
      <c r="L206" s="8" t="inlineStr">
        <is>
          <t>Annual Report / 10-K Filing (SEC EDGAR, Company IR Site)</t>
        </is>
      </c>
      <c r="M206" s="8" t="inlineStr">
        <is>
          <t>CIL Architecture Team</t>
        </is>
      </c>
      <c r="N206" s="8" t="inlineStr">
        <is>
          <t>2026-06-21</t>
        </is>
      </c>
      <c r="O206" s="8" t="inlineStr">
        <is>
          <t>CorpStage CIL Registry v1.4</t>
        </is>
      </c>
      <c r="P206" s="8" t="inlineStr">
        <is>
          <t>Group only (single enterprise-wide fact, does not repeat per node)</t>
        </is>
      </c>
      <c r="Q206" s="8" t="inlineStr">
        <is>
          <t>Global</t>
        </is>
      </c>
      <c r="R206" s="8" t="inlineStr">
        <is>
          <t>Tier 1 (Standard) — available to all frameworks and all customers</t>
        </is>
      </c>
      <c r="S20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7" ht="15" customHeight="1" s="6">
      <c r="A207" s="8" t="inlineStr">
        <is>
          <t>CDE-R206</t>
        </is>
      </c>
      <c r="B207" s="8" t="inlineStr">
        <is>
          <t>Risk Function Bench Strength (qualified internal successors)</t>
        </is>
      </c>
      <c r="C207" s="8" t="inlineStr">
        <is>
          <t>Numeric</t>
        </is>
      </c>
      <c r="D207" s="8" t="inlineStr">
        <is>
          <t>Supplemental</t>
        </is>
      </c>
      <c r="E207" s="8" t="inlineStr">
        <is>
          <t>Optional</t>
        </is>
      </c>
      <c r="F207" s="8" t="inlineStr">
        <is>
          <t>P3</t>
        </is>
      </c>
      <c r="G207" s="8" t="inlineStr">
        <is>
          <t>&gt;=0, integer</t>
        </is>
      </c>
      <c r="H207" s="8" t="inlineStr">
        <is>
          <t>TYPE:INTEGER|MIN:0</t>
        </is>
      </c>
      <c r="I207" s="8" t="inlineStr">
        <is>
          <t>Point-in-time</t>
        </is>
      </c>
      <c r="J207" s="8" t="inlineStr">
        <is>
          <t>One-to-one</t>
        </is>
      </c>
      <c r="K207" s="8" t="inlineStr">
        <is>
          <t>N/A — not a one-to-many numeric field</t>
        </is>
      </c>
      <c r="L207" s="8" t="inlineStr">
        <is>
          <t>User Validation</t>
        </is>
      </c>
      <c r="M207" s="8" t="inlineStr">
        <is>
          <t>CIL Architecture Team</t>
        </is>
      </c>
      <c r="N207" s="8" t="inlineStr">
        <is>
          <t>2026-06-21</t>
        </is>
      </c>
      <c r="O207" s="8" t="inlineStr">
        <is>
          <t>CorpStage CIL Registry v1.4</t>
        </is>
      </c>
      <c r="P207" s="8" t="inlineStr">
        <is>
          <t>Group only (single enterprise-wide fact, does not repeat per node)</t>
        </is>
      </c>
      <c r="Q207" s="8" t="inlineStr">
        <is>
          <t>Global</t>
        </is>
      </c>
      <c r="R207" s="8" t="inlineStr">
        <is>
          <t>Tier 1 (Standard) — available to all frameworks and all customers</t>
        </is>
      </c>
      <c r="S20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8" ht="15" customHeight="1" s="6">
      <c r="A208" s="8" t="inlineStr">
        <is>
          <t>CDE-R207</t>
        </is>
      </c>
      <c r="B208" s="8" t="inlineStr">
        <is>
          <t>Insurance Market Availability Risk Identified</t>
        </is>
      </c>
      <c r="C208" s="8" t="inlineStr">
        <is>
          <t>Boolean</t>
        </is>
      </c>
      <c r="D208" s="8" t="inlineStr">
        <is>
          <t>Recommended</t>
        </is>
      </c>
      <c r="E208" s="8" t="inlineStr">
        <is>
          <t>Optional</t>
        </is>
      </c>
      <c r="F208" s="8" t="inlineStr">
        <is>
          <t>P2</t>
        </is>
      </c>
      <c r="G208" s="8" t="inlineStr">
        <is>
          <t>True/False/Unknown (tri-state)</t>
        </is>
      </c>
      <c r="H208" s="8" t="inlineStr">
        <is>
          <t>TYPE:BOOLEAN|ALLOWED:TRUE,FALSE,UNKNOWN</t>
        </is>
      </c>
      <c r="I208" s="8" t="inlineStr">
        <is>
          <t>Effective-dated</t>
        </is>
      </c>
      <c r="J208" s="8" t="inlineStr">
        <is>
          <t>One-to-one</t>
        </is>
      </c>
      <c r="K208" s="8" t="inlineStr">
        <is>
          <t>N/A — not a one-to-many numeric field</t>
        </is>
      </c>
      <c r="L208" s="8" t="inlineStr">
        <is>
          <t>User Validation</t>
        </is>
      </c>
      <c r="M208" s="8" t="inlineStr">
        <is>
          <t>CIL Architecture Team</t>
        </is>
      </c>
      <c r="N208" s="8" t="inlineStr">
        <is>
          <t>2026-06-21</t>
        </is>
      </c>
      <c r="O208" s="8" t="inlineStr">
        <is>
          <t>CorpStage CIL Registry v1.4</t>
        </is>
      </c>
      <c r="P208" s="8" t="inlineStr">
        <is>
          <t>Group only (single enterprise-wide fact, does not repeat per node)</t>
        </is>
      </c>
      <c r="Q208" s="8" t="inlineStr">
        <is>
          <t>Global</t>
        </is>
      </c>
      <c r="R208" s="8" t="inlineStr">
        <is>
          <t>Tier 1 (Standard) — available to all frameworks and all customers</t>
        </is>
      </c>
      <c r="S20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09" ht="15" customHeight="1" s="6">
      <c r="A209" s="8" t="inlineStr">
        <is>
          <t>CDE-R208</t>
        </is>
      </c>
      <c r="B209" s="8" t="inlineStr">
        <is>
          <t>Coverage Affordability Trend (3yr)</t>
        </is>
      </c>
      <c r="C209" s="8" t="inlineStr">
        <is>
          <t>Text</t>
        </is>
      </c>
      <c r="D209" s="8" t="inlineStr">
        <is>
          <t>Supplemental</t>
        </is>
      </c>
      <c r="E209" s="8" t="inlineStr">
        <is>
          <t>Optional</t>
        </is>
      </c>
      <c r="F209" s="8" t="inlineStr">
        <is>
          <t>P3</t>
        </is>
      </c>
      <c r="G209" s="8" t="inlineStr">
        <is>
          <t>Increasing/Stable/Declining</t>
        </is>
      </c>
      <c r="H209" s="8" t="inlineStr">
        <is>
          <t>TYPE:ENUM|ALLOWED:INCREASING,STABLE,DECLINING</t>
        </is>
      </c>
      <c r="I209" s="8" t="inlineStr">
        <is>
          <t>Point-in-time</t>
        </is>
      </c>
      <c r="J209" s="8" t="inlineStr">
        <is>
          <t>One-to-one</t>
        </is>
      </c>
      <c r="K209" s="8" t="inlineStr">
        <is>
          <t>N/A — not a one-to-many numeric field</t>
        </is>
      </c>
      <c r="L209" s="8" t="inlineStr">
        <is>
          <t>Finance / ERP System (SAP S/4HANA, Oracle Fusion, NetSuite)</t>
        </is>
      </c>
      <c r="M209" s="8" t="inlineStr">
        <is>
          <t>CIL Architecture Team</t>
        </is>
      </c>
      <c r="N209" s="8" t="inlineStr">
        <is>
          <t>2026-06-21</t>
        </is>
      </c>
      <c r="O209" s="8" t="inlineStr">
        <is>
          <t>CorpStage CIL Registry v1.4</t>
        </is>
      </c>
      <c r="P209" s="8" t="inlineStr">
        <is>
          <t>Group only (single enterprise-wide fact, does not repeat per node)</t>
        </is>
      </c>
      <c r="Q209" s="8" t="inlineStr">
        <is>
          <t>Global</t>
        </is>
      </c>
      <c r="R209" s="8" t="inlineStr">
        <is>
          <t>Tier 1 (Standard) — available to all frameworks and all customers</t>
        </is>
      </c>
      <c r="S20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0" ht="15" customHeight="1" s="6">
      <c r="A210" s="8" t="inlineStr">
        <is>
          <t>CDE-R209</t>
        </is>
      </c>
      <c r="B210" s="8" t="inlineStr">
        <is>
          <t>Uninsurable Risk Category Identified</t>
        </is>
      </c>
      <c r="C210" s="8" t="inlineStr">
        <is>
          <t>Text</t>
        </is>
      </c>
      <c r="D210" s="8" t="inlineStr">
        <is>
          <t>Supplemental</t>
        </is>
      </c>
      <c r="E210" s="8" t="inlineStr">
        <is>
          <t>Optional</t>
        </is>
      </c>
      <c r="F210" s="8" t="inlineStr">
        <is>
          <t>P3</t>
        </is>
      </c>
      <c r="G210" s="8" t="inlineStr">
        <is>
          <t>Non-empty text</t>
        </is>
      </c>
      <c r="H210" s="8" t="inlineStr">
        <is>
          <t>TYPE:TEXT</t>
        </is>
      </c>
      <c r="I210" s="8" t="inlineStr">
        <is>
          <t>Point-in-time</t>
        </is>
      </c>
      <c r="J210" s="8" t="inlineStr">
        <is>
          <t>One-to-many</t>
        </is>
      </c>
      <c r="K210" s="8" t="inlineStr">
        <is>
          <t>N/A — not a one-to-many numeric field</t>
        </is>
      </c>
      <c r="L210" s="8" t="inlineStr">
        <is>
          <t>User Validation</t>
        </is>
      </c>
      <c r="M210" s="8" t="inlineStr">
        <is>
          <t>CIL Architecture Team</t>
        </is>
      </c>
      <c r="N210" s="8" t="inlineStr">
        <is>
          <t>2026-06-21</t>
        </is>
      </c>
      <c r="O210" s="8" t="inlineStr">
        <is>
          <t>CorpStage CIL Registry v1.4</t>
        </is>
      </c>
      <c r="P210" s="8" t="inlineStr">
        <is>
          <t>Group only (single enterprise-wide fact, does not repeat per node)</t>
        </is>
      </c>
      <c r="Q210" s="8" t="inlineStr">
        <is>
          <t>Global</t>
        </is>
      </c>
      <c r="R210" s="8" t="inlineStr">
        <is>
          <t>Tier 1 (Standard) — available to all frameworks and all customers</t>
        </is>
      </c>
      <c r="S21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1" ht="15" customHeight="1" s="6">
      <c r="A211" s="8" t="inlineStr">
        <is>
          <t>CDE-R210</t>
        </is>
      </c>
      <c r="B211" s="8" t="inlineStr">
        <is>
          <t>Risk Function Continuity Plan Last Tested Date</t>
        </is>
      </c>
      <c r="C211" s="8" t="inlineStr">
        <is>
          <t>Date</t>
        </is>
      </c>
      <c r="D211" s="8" t="inlineStr">
        <is>
          <t>Supplemental</t>
        </is>
      </c>
      <c r="E211" s="8" t="inlineStr">
        <is>
          <t>Optional</t>
        </is>
      </c>
      <c r="F211" s="8" t="inlineStr">
        <is>
          <t>P3</t>
        </is>
      </c>
      <c r="G211" s="8" t="inlineStr">
        <is>
          <t>Valid date</t>
        </is>
      </c>
      <c r="H211" s="8" t="inlineStr">
        <is>
          <t>TYPE:DATE</t>
        </is>
      </c>
      <c r="I211" s="8" t="inlineStr">
        <is>
          <t>Point-in-time</t>
        </is>
      </c>
      <c r="J211" s="8" t="inlineStr">
        <is>
          <t>One-to-one</t>
        </is>
      </c>
      <c r="K211" s="8" t="inlineStr">
        <is>
          <t>N/A — not a one-to-many numeric field</t>
        </is>
      </c>
      <c r="L211" s="8" t="inlineStr">
        <is>
          <t>User Validation</t>
        </is>
      </c>
      <c r="M211" s="8" t="inlineStr">
        <is>
          <t>CIL Architecture Team</t>
        </is>
      </c>
      <c r="N211" s="8" t="inlineStr">
        <is>
          <t>2026-06-21</t>
        </is>
      </c>
      <c r="O211" s="8" t="inlineStr">
        <is>
          <t>CorpStage CIL Registry v1.4</t>
        </is>
      </c>
      <c r="P211" s="8" t="inlineStr">
        <is>
          <t>Group only (single enterprise-wide fact, does not repeat per node)</t>
        </is>
      </c>
      <c r="Q211" s="8" t="inlineStr">
        <is>
          <t>Global</t>
        </is>
      </c>
      <c r="R211" s="8" t="inlineStr">
        <is>
          <t>Tier 1 (Standard) — available to all frameworks and all customers</t>
        </is>
      </c>
      <c r="S21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2" ht="15" customHeight="1" s="6">
      <c r="A212" s="8" t="inlineStr">
        <is>
          <t>CDE-R211</t>
        </is>
      </c>
      <c r="B212" s="8" t="inlineStr">
        <is>
          <t>Risk-Adjusted Return Metric Used</t>
        </is>
      </c>
      <c r="C212" s="8" t="inlineStr">
        <is>
          <t>Boolean</t>
        </is>
      </c>
      <c r="D212" s="8" t="inlineStr">
        <is>
          <t>Recommended</t>
        </is>
      </c>
      <c r="E212" s="8" t="inlineStr">
        <is>
          <t>Optional</t>
        </is>
      </c>
      <c r="F212" s="8" t="inlineStr">
        <is>
          <t>P2</t>
        </is>
      </c>
      <c r="G212" s="8" t="inlineStr">
        <is>
          <t>True/False/Unknown (tri-state)</t>
        </is>
      </c>
      <c r="H212" s="8" t="inlineStr">
        <is>
          <t>TYPE:BOOLEAN|ALLOWED:TRUE,FALSE,UNKNOWN</t>
        </is>
      </c>
      <c r="I212" s="8" t="inlineStr">
        <is>
          <t>Effective-dated</t>
        </is>
      </c>
      <c r="J212" s="8" t="inlineStr">
        <is>
          <t>One-to-one</t>
        </is>
      </c>
      <c r="K212" s="8" t="inlineStr">
        <is>
          <t>N/A — not a one-to-many numeric field</t>
        </is>
      </c>
      <c r="L212" s="8" t="inlineStr">
        <is>
          <t>Finance / ERP System (SAP S/4HANA, Oracle Fusion, NetSuite)</t>
        </is>
      </c>
      <c r="M212" s="8" t="inlineStr">
        <is>
          <t>CIL Architecture Team</t>
        </is>
      </c>
      <c r="N212" s="8" t="inlineStr">
        <is>
          <t>2026-06-21</t>
        </is>
      </c>
      <c r="O212" s="8" t="inlineStr">
        <is>
          <t>CorpStage CIL Registry v1.5</t>
        </is>
      </c>
      <c r="P212" s="8" t="inlineStr">
        <is>
          <t>Group only (single enterprise-wide fact, does not repeat per node)</t>
        </is>
      </c>
      <c r="Q212" s="8" t="inlineStr">
        <is>
          <t>Global</t>
        </is>
      </c>
      <c r="R212" s="8" t="inlineStr">
        <is>
          <t>Tier 1 (Standard) — available to all frameworks and all customers</t>
        </is>
      </c>
      <c r="S21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3" ht="15" customHeight="1" s="6">
      <c r="A213" s="8" t="inlineStr">
        <is>
          <t>CDE-R212</t>
        </is>
      </c>
      <c r="B213" s="8" t="inlineStr">
        <is>
          <t>Risk-Adjusted Return Metric Type (RAROC/Sharpe/Other)</t>
        </is>
      </c>
      <c r="C213" s="8" t="inlineStr">
        <is>
          <t>Text</t>
        </is>
      </c>
      <c r="D213" s="8" t="inlineStr">
        <is>
          <t>Recommended</t>
        </is>
      </c>
      <c r="E213" s="8" t="inlineStr">
        <is>
          <t>Optional</t>
        </is>
      </c>
      <c r="F213" s="8" t="inlineStr">
        <is>
          <t>P2</t>
        </is>
      </c>
      <c r="G213" s="8" t="inlineStr">
        <is>
          <t>RAROC/Sharpe/Other</t>
        </is>
      </c>
      <c r="H213" s="8" t="inlineStr">
        <is>
          <t>TYPE:ENUM|ALLOWED:RAROC,SHARPE,OTHER</t>
        </is>
      </c>
      <c r="I213" s="8" t="inlineStr">
        <is>
          <t>Point-in-time</t>
        </is>
      </c>
      <c r="J213" s="8" t="inlineStr">
        <is>
          <t>One-to-one</t>
        </is>
      </c>
      <c r="K213" s="8" t="inlineStr">
        <is>
          <t>N/A — not a one-to-many numeric field</t>
        </is>
      </c>
      <c r="L213" s="8" t="inlineStr">
        <is>
          <t>Finance / ERP System (SAP S/4HANA, Oracle Fusion, NetSuite)</t>
        </is>
      </c>
      <c r="M213" s="8" t="inlineStr">
        <is>
          <t>CIL Architecture Team</t>
        </is>
      </c>
      <c r="N213" s="8" t="inlineStr">
        <is>
          <t>2026-06-21</t>
        </is>
      </c>
      <c r="O213" s="8" t="inlineStr">
        <is>
          <t>CorpStage CIL Registry v1.5</t>
        </is>
      </c>
      <c r="P213" s="8" t="inlineStr">
        <is>
          <t>Group only (single enterprise-wide fact, does not repeat per node)</t>
        </is>
      </c>
      <c r="Q213" s="8" t="inlineStr">
        <is>
          <t>Global</t>
        </is>
      </c>
      <c r="R213" s="8" t="inlineStr">
        <is>
          <t>Tier 1 (Standard) — available to all frameworks and all customers</t>
        </is>
      </c>
      <c r="S21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4" ht="15" customHeight="1" s="6">
      <c r="A214" s="8" t="inlineStr">
        <is>
          <t>CDE-R213</t>
        </is>
      </c>
      <c r="B214" s="8" t="inlineStr">
        <is>
          <t>Risk-Adjusted Return Applied to Capital Allocation Decisions</t>
        </is>
      </c>
      <c r="C214" s="8" t="inlineStr">
        <is>
          <t>Boolean</t>
        </is>
      </c>
      <c r="D214" s="8" t="inlineStr">
        <is>
          <t>Supplemental</t>
        </is>
      </c>
      <c r="E214" s="8" t="inlineStr">
        <is>
          <t>Optional</t>
        </is>
      </c>
      <c r="F214" s="8" t="inlineStr">
        <is>
          <t>P3</t>
        </is>
      </c>
      <c r="G214" s="8" t="inlineStr">
        <is>
          <t>True/False/Unknown (tri-state)</t>
        </is>
      </c>
      <c r="H214" s="8" t="inlineStr">
        <is>
          <t>TYPE:BOOLEAN|ALLOWED:TRUE,FALSE,UNKNOWN</t>
        </is>
      </c>
      <c r="I214" s="8" t="inlineStr">
        <is>
          <t>Point-in-time</t>
        </is>
      </c>
      <c r="J214" s="8" t="inlineStr">
        <is>
          <t>One-to-one</t>
        </is>
      </c>
      <c r="K214" s="8" t="inlineStr">
        <is>
          <t>N/A — not a one-to-many numeric field</t>
        </is>
      </c>
      <c r="L214" s="8" t="inlineStr">
        <is>
          <t>User Validation</t>
        </is>
      </c>
      <c r="M214" s="8" t="inlineStr">
        <is>
          <t>CIL Architecture Team</t>
        </is>
      </c>
      <c r="N214" s="8" t="inlineStr">
        <is>
          <t>2026-06-21</t>
        </is>
      </c>
      <c r="O214" s="8" t="inlineStr">
        <is>
          <t>CorpStage CIL Registry v1.5</t>
        </is>
      </c>
      <c r="P214" s="8" t="inlineStr">
        <is>
          <t>Group only (single enterprise-wide fact, does not repeat per node)</t>
        </is>
      </c>
      <c r="Q214" s="8" t="inlineStr">
        <is>
          <t>Global</t>
        </is>
      </c>
      <c r="R214" s="8" t="inlineStr">
        <is>
          <t>Tier 1 (Standard) — available to all frameworks and all customers</t>
        </is>
      </c>
      <c r="S21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5" ht="15" customHeight="1" s="6">
      <c r="A215" s="8" t="inlineStr">
        <is>
          <t>CDE-R214</t>
        </is>
      </c>
      <c r="B215" s="8" t="inlineStr">
        <is>
          <t>Risk Disclosure Made to Regulator</t>
        </is>
      </c>
      <c r="C215" s="8" t="inlineStr">
        <is>
          <t>Text</t>
        </is>
      </c>
      <c r="D215" s="8" t="inlineStr">
        <is>
          <t>Required</t>
        </is>
      </c>
      <c r="E215" s="8" t="inlineStr">
        <is>
          <t>Multi</t>
        </is>
      </c>
      <c r="F215" s="8" t="inlineStr">
        <is>
          <t>P1</t>
        </is>
      </c>
      <c r="G215" s="8" t="inlineStr">
        <is>
          <t>Non-empty text</t>
        </is>
      </c>
      <c r="H215" s="8" t="inlineStr">
        <is>
          <t>TYPE:TEXT</t>
        </is>
      </c>
      <c r="I215" s="8" t="inlineStr">
        <is>
          <t>Effective-dated</t>
        </is>
      </c>
      <c r="J215" s="8" t="inlineStr">
        <is>
          <t>One-to-many</t>
        </is>
      </c>
      <c r="K215" s="8" t="inlineStr">
        <is>
          <t>N/A — not a one-to-many numeric field</t>
        </is>
      </c>
      <c r="L215" s="8" t="inlineStr">
        <is>
          <t>Regulatory Filings (SEC EDGAR, Companies House, National Business Registry)</t>
        </is>
      </c>
      <c r="M215" s="8" t="inlineStr">
        <is>
          <t>CIL Architecture Team</t>
        </is>
      </c>
      <c r="N215" s="8" t="inlineStr">
        <is>
          <t>2026-06-21</t>
        </is>
      </c>
      <c r="O215" s="8" t="inlineStr">
        <is>
          <t>CorpStage CIL Registry v1.5</t>
        </is>
      </c>
      <c r="P215" s="8" t="inlineStr">
        <is>
          <t>Company, Group (collected per legal entity, not below Company level)</t>
        </is>
      </c>
      <c r="Q215" s="8" t="inlineStr">
        <is>
          <t>Global</t>
        </is>
      </c>
      <c r="R215" s="8" t="inlineStr">
        <is>
          <t>Tier 1 (Standard) — available to all frameworks and all customers</t>
        </is>
      </c>
      <c r="S21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6" ht="15" customHeight="1" s="6">
      <c r="A216" s="8" t="inlineStr">
        <is>
          <t>CDE-R215</t>
        </is>
      </c>
      <c r="B216" s="8" t="inlineStr">
        <is>
          <t>Regulatory Risk Disclosure Frequency</t>
        </is>
      </c>
      <c r="C216" s="8" t="inlineStr">
        <is>
          <t>Text</t>
        </is>
      </c>
      <c r="D216" s="8" t="inlineStr">
        <is>
          <t>Recommended</t>
        </is>
      </c>
      <c r="E216" s="8" t="inlineStr">
        <is>
          <t>Optional</t>
        </is>
      </c>
      <c r="F216" s="8" t="inlineStr">
        <is>
          <t>P2</t>
        </is>
      </c>
      <c r="G216" s="8" t="inlineStr">
        <is>
          <t>Annual/Quarterly/Event-Driven</t>
        </is>
      </c>
      <c r="H216" s="8" t="inlineStr">
        <is>
          <t>TYPE:ENUM|ALLOWED:ANNUAL,QUARTERLY,EVENT_DRIVEN</t>
        </is>
      </c>
      <c r="I216" s="8" t="inlineStr">
        <is>
          <t>Effective-dated</t>
        </is>
      </c>
      <c r="J216" s="8" t="inlineStr">
        <is>
          <t>One-to-many</t>
        </is>
      </c>
      <c r="K216" s="8" t="inlineStr">
        <is>
          <t>N/A — not a one-to-many numeric field</t>
        </is>
      </c>
      <c r="L216" s="8" t="inlineStr">
        <is>
          <t>Regulatory Filings (SEC EDGAR, Companies House, National Business Registry)</t>
        </is>
      </c>
      <c r="M216" s="8" t="inlineStr">
        <is>
          <t>CIL Architecture Team</t>
        </is>
      </c>
      <c r="N216" s="8" t="inlineStr">
        <is>
          <t>2026-06-21</t>
        </is>
      </c>
      <c r="O216" s="8" t="inlineStr">
        <is>
          <t>CorpStage CIL Registry v1.5</t>
        </is>
      </c>
      <c r="P216" s="8" t="inlineStr">
        <is>
          <t>Company, Group (collected per legal entity, not below Company level)</t>
        </is>
      </c>
      <c r="Q216" s="8" t="inlineStr">
        <is>
          <t>Global</t>
        </is>
      </c>
      <c r="R216" s="8" t="inlineStr">
        <is>
          <t>Tier 1 (Standard) — available to all frameworks and all customers</t>
        </is>
      </c>
      <c r="S21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7" ht="15" customHeight="1" s="6">
      <c r="A217" s="8" t="inlineStr">
        <is>
          <t>CDE-R216</t>
        </is>
      </c>
      <c r="B217" s="8" t="inlineStr">
        <is>
          <t>Regulatory Risk Disclosure Differs from Board Report Scope</t>
        </is>
      </c>
      <c r="C217" s="8" t="inlineStr">
        <is>
          <t>Boolean</t>
        </is>
      </c>
      <c r="D217" s="8" t="inlineStr">
        <is>
          <t>Supplemental</t>
        </is>
      </c>
      <c r="E217" s="8" t="inlineStr">
        <is>
          <t>Optional</t>
        </is>
      </c>
      <c r="F217" s="8" t="inlineStr">
        <is>
          <t>P3</t>
        </is>
      </c>
      <c r="G217" s="8" t="inlineStr">
        <is>
          <t>True/False/Unknown (tri-state)</t>
        </is>
      </c>
      <c r="H217" s="8" t="inlineStr">
        <is>
          <t>TYPE:BOOLEAN|ALLOWED:TRUE,FALSE,UNKNOWN</t>
        </is>
      </c>
      <c r="I217" s="8" t="inlineStr">
        <is>
          <t>Point-in-time</t>
        </is>
      </c>
      <c r="J217" s="8" t="inlineStr">
        <is>
          <t>One-to-one</t>
        </is>
      </c>
      <c r="K217" s="8" t="inlineStr">
        <is>
          <t>N/A — not a one-to-many numeric field</t>
        </is>
      </c>
      <c r="L217" s="8" t="inlineStr">
        <is>
          <t>User Validation</t>
        </is>
      </c>
      <c r="M217" s="8" t="inlineStr">
        <is>
          <t>CIL Architecture Team</t>
        </is>
      </c>
      <c r="N217" s="8" t="inlineStr">
        <is>
          <t>2026-06-21</t>
        </is>
      </c>
      <c r="O217" s="8" t="inlineStr">
        <is>
          <t>CorpStage CIL Registry v1.5</t>
        </is>
      </c>
      <c r="P217" s="8" t="inlineStr">
        <is>
          <t>Group only (single enterprise-wide fact, does not repeat per node)</t>
        </is>
      </c>
      <c r="Q217" s="8" t="inlineStr">
        <is>
          <t>Global</t>
        </is>
      </c>
      <c r="R217" s="8" t="inlineStr">
        <is>
          <t>Tier 1 (Standard) — available to all frameworks and all customers</t>
        </is>
      </c>
      <c r="S21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8" ht="15" customHeight="1" s="6">
      <c r="A218" s="8" t="inlineStr">
        <is>
          <t>CDE-R217</t>
        </is>
      </c>
      <c r="B218" s="8" t="inlineStr">
        <is>
          <t>Risk Velocity Rating (Speed of Escalation)</t>
        </is>
      </c>
      <c r="C218" s="8" t="inlineStr">
        <is>
          <t>Text</t>
        </is>
      </c>
      <c r="D218" s="8" t="inlineStr">
        <is>
          <t>Required</t>
        </is>
      </c>
      <c r="E218" s="8" t="inlineStr">
        <is>
          <t>Optional</t>
        </is>
      </c>
      <c r="F218" s="8" t="inlineStr">
        <is>
          <t>P1</t>
        </is>
      </c>
      <c r="G218" s="8" t="inlineStr">
        <is>
          <t>Fast (hours-days)/Moderate (weeks)/Slow (months)</t>
        </is>
      </c>
      <c r="H218" s="8" t="inlineStr">
        <is>
          <t>TYPE:ENUM|ALLOWED:FAST,MODERATE,SLOW</t>
        </is>
      </c>
      <c r="I218" s="8" t="inlineStr">
        <is>
          <t>Effective-dated</t>
        </is>
      </c>
      <c r="J218" s="8" t="inlineStr">
        <is>
          <t>One-to-many</t>
        </is>
      </c>
      <c r="K218" s="8" t="inlineStr">
        <is>
          <t>N/A — not a one-to-many numeric field</t>
        </is>
      </c>
      <c r="L218" s="8" t="inlineStr">
        <is>
          <t>GRC / Risk Register (ServiceNow Risk, RSA Archer, LogicGate)</t>
        </is>
      </c>
      <c r="M218" s="8" t="inlineStr">
        <is>
          <t>CIL Architecture Team</t>
        </is>
      </c>
      <c r="N218" s="8" t="inlineStr">
        <is>
          <t>2026-06-21</t>
        </is>
      </c>
      <c r="O218" s="8" t="inlineStr">
        <is>
          <t>CorpStage CIL Registry v1.5</t>
        </is>
      </c>
      <c r="P218" s="8" t="inlineStr">
        <is>
          <t>Company, Group (collected per legal entity, not below Company level)</t>
        </is>
      </c>
      <c r="Q218" s="8" t="inlineStr">
        <is>
          <t>Global</t>
        </is>
      </c>
      <c r="R218" s="8" t="inlineStr">
        <is>
          <t>Tier 1 (Standard) — available to all frameworks and all customers</t>
        </is>
      </c>
      <c r="S21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19" ht="15" customHeight="1" s="6">
      <c r="A219" s="8" t="inlineStr">
        <is>
          <t>CDE-R218</t>
        </is>
      </c>
      <c r="B219" s="8" t="inlineStr">
        <is>
          <t>Risk Velocity Assessment Methodology</t>
        </is>
      </c>
      <c r="C219" s="8" t="inlineStr">
        <is>
          <t>Text</t>
        </is>
      </c>
      <c r="D219" s="8" t="inlineStr">
        <is>
          <t>Recommended</t>
        </is>
      </c>
      <c r="E219" s="8" t="inlineStr">
        <is>
          <t>Optional</t>
        </is>
      </c>
      <c r="F219" s="8" t="inlineStr">
        <is>
          <t>P2</t>
        </is>
      </c>
      <c r="G219" s="8" t="inlineStr">
        <is>
          <t>Non-empty text</t>
        </is>
      </c>
      <c r="H219" s="8" t="inlineStr">
        <is>
          <t>TYPE:TEXT</t>
        </is>
      </c>
      <c r="I219" s="8" t="inlineStr">
        <is>
          <t>Point-in-time</t>
        </is>
      </c>
      <c r="J219" s="8" t="inlineStr">
        <is>
          <t>One-to-one</t>
        </is>
      </c>
      <c r="K219" s="8" t="inlineStr">
        <is>
          <t>N/A — not a one-to-many numeric field</t>
        </is>
      </c>
      <c r="L219" s="8" t="inlineStr">
        <is>
          <t>User Validation</t>
        </is>
      </c>
      <c r="M219" s="8" t="inlineStr">
        <is>
          <t>CIL Architecture Team</t>
        </is>
      </c>
      <c r="N219" s="8" t="inlineStr">
        <is>
          <t>2026-06-21</t>
        </is>
      </c>
      <c r="O219" s="8" t="inlineStr">
        <is>
          <t>CorpStage CIL Registry v1.5</t>
        </is>
      </c>
      <c r="P219" s="8" t="inlineStr">
        <is>
          <t>Group only (single enterprise-wide fact, does not repeat per node)</t>
        </is>
      </c>
      <c r="Q219" s="8" t="inlineStr">
        <is>
          <t>Global</t>
        </is>
      </c>
      <c r="R219" s="8" t="inlineStr">
        <is>
          <t>Tier 1 (Standard) — available to all frameworks and all customers</t>
        </is>
      </c>
      <c r="S21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0" ht="15" customHeight="1" s="6">
      <c r="A220" s="8" t="inlineStr">
        <is>
          <t>CDE-R219</t>
        </is>
      </c>
      <c r="B220" s="8" t="inlineStr">
        <is>
          <t>Fast-Velocity Risk Monitoring Frequency</t>
        </is>
      </c>
      <c r="C220" s="8" t="inlineStr">
        <is>
          <t>Text</t>
        </is>
      </c>
      <c r="D220" s="8" t="inlineStr">
        <is>
          <t>Supplemental</t>
        </is>
      </c>
      <c r="E220" s="8" t="inlineStr">
        <is>
          <t>Optional</t>
        </is>
      </c>
      <c r="F220" s="8" t="inlineStr">
        <is>
          <t>P3</t>
        </is>
      </c>
      <c r="G220" s="8" t="inlineStr">
        <is>
          <t>Real-time/Daily/Weekly</t>
        </is>
      </c>
      <c r="H220" s="8" t="inlineStr">
        <is>
          <t>TYPE:ENUM|ALLOWED:REAL_TIME,DAILY,WEEKLY</t>
        </is>
      </c>
      <c r="I220" s="8" t="inlineStr">
        <is>
          <t>Point-in-time</t>
        </is>
      </c>
      <c r="J220" s="8" t="inlineStr">
        <is>
          <t>One-to-many</t>
        </is>
      </c>
      <c r="K220" s="8" t="inlineStr">
        <is>
          <t>N/A — not a one-to-many numeric field</t>
        </is>
      </c>
      <c r="L220" s="8" t="inlineStr">
        <is>
          <t>User Validation</t>
        </is>
      </c>
      <c r="M220" s="8" t="inlineStr">
        <is>
          <t>CIL Architecture Team</t>
        </is>
      </c>
      <c r="N220" s="8" t="inlineStr">
        <is>
          <t>2026-06-21</t>
        </is>
      </c>
      <c r="O220" s="8" t="inlineStr">
        <is>
          <t>CorpStage CIL Registry v1.5</t>
        </is>
      </c>
      <c r="P220" s="8" t="inlineStr">
        <is>
          <t>Company, Group (collected per legal entity, not below Company level)</t>
        </is>
      </c>
      <c r="Q220" s="8" t="inlineStr">
        <is>
          <t>Global</t>
        </is>
      </c>
      <c r="R220" s="8" t="inlineStr">
        <is>
          <t>Tier 1 (Standard) — available to all frameworks and all customers</t>
        </is>
      </c>
      <c r="S22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1" ht="15" customHeight="1" s="6">
      <c r="A221" s="8" t="inlineStr">
        <is>
          <t>CDE-R220</t>
        </is>
      </c>
      <c r="B221" s="8" t="inlineStr">
        <is>
          <t>Data Privacy/Regulatory Risk Identified</t>
        </is>
      </c>
      <c r="C221" s="8" t="inlineStr">
        <is>
          <t>Boolean</t>
        </is>
      </c>
      <c r="D221" s="8" t="inlineStr">
        <is>
          <t>Required</t>
        </is>
      </c>
      <c r="E221" s="8" t="inlineStr">
        <is>
          <t>Multi</t>
        </is>
      </c>
      <c r="F221" s="8" t="inlineStr">
        <is>
          <t>P1</t>
        </is>
      </c>
      <c r="G221" s="8" t="inlineStr">
        <is>
          <t>True/False/Unknown (tri-state)</t>
        </is>
      </c>
      <c r="H221" s="8" t="inlineStr">
        <is>
          <t>TYPE:BOOLEAN|ALLOWED:TRUE,FALSE,UNKNOWN</t>
        </is>
      </c>
      <c r="I221" s="8" t="inlineStr">
        <is>
          <t>Effective-dated</t>
        </is>
      </c>
      <c r="J221" s="8" t="inlineStr">
        <is>
          <t>One-to-one</t>
        </is>
      </c>
      <c r="K221" s="8" t="inlineStr">
        <is>
          <t>N/A — not a one-to-many numeric field</t>
        </is>
      </c>
      <c r="L221" s="8" t="inlineStr">
        <is>
          <t>Regulatory Filings (SEC EDGAR, Companies House, National Business Registry)</t>
        </is>
      </c>
      <c r="M221" s="8" t="inlineStr">
        <is>
          <t>CIL Architecture Team</t>
        </is>
      </c>
      <c r="N221" s="8" t="inlineStr">
        <is>
          <t>2026-06-21</t>
        </is>
      </c>
      <c r="O221" s="8" t="inlineStr">
        <is>
          <t>CorpStage CIL Registry v1.6</t>
        </is>
      </c>
      <c r="P221" s="8" t="inlineStr">
        <is>
          <t>Group only (single enterprise-wide fact, does not repeat per node)</t>
        </is>
      </c>
      <c r="Q221" s="8" t="inlineStr">
        <is>
          <t>Global</t>
        </is>
      </c>
      <c r="R221" s="8" t="inlineStr">
        <is>
          <t>Tier 1 (Standard) — available to all frameworks and all customers</t>
        </is>
      </c>
      <c r="S221" s="8" t="inlineStr">
        <is>
          <t>Owned by Risk Intelligence per Binding 6(a) — extracted as a BUSINESS-RISK fact, distinct from a future Domain 14 Cyber &amp; Information Security Intelligence's technical privacy-control facts, and distinct from this domain's own CDE-R183/184 (cyber incident risk), since data privacy/regulatory risk (e.g. fines for non-compliance) is a separate exposure category from a cyber breach event.</t>
        </is>
      </c>
    </row>
    <row r="222" ht="15" customHeight="1" s="6">
      <c r="A222" s="8" t="inlineStr">
        <is>
          <t>CDE-R221</t>
        </is>
      </c>
      <c r="B222" s="8" t="inlineStr">
        <is>
          <t>Data Privacy Risk Estimated Financial Exposure (Fines/Penalties)</t>
        </is>
      </c>
      <c r="C222" s="8" t="inlineStr">
        <is>
          <t>Numeric</t>
        </is>
      </c>
      <c r="D222" s="8" t="inlineStr">
        <is>
          <t>Recommended</t>
        </is>
      </c>
      <c r="E222" s="8" t="inlineStr">
        <is>
          <t>Multi</t>
        </is>
      </c>
      <c r="F222" s="8" t="inlineStr">
        <is>
          <t>P2</t>
        </is>
      </c>
      <c r="G222" s="8" t="inlineStr">
        <is>
          <t>&gt;=0, numeric</t>
        </is>
      </c>
      <c r="H222" s="8" t="inlineStr">
        <is>
          <t>TYPE:NUMERIC|MIN:0</t>
        </is>
      </c>
      <c r="I222" s="8" t="inlineStr">
        <is>
          <t>Effective-dated</t>
        </is>
      </c>
      <c r="J222" s="8" t="inlineStr">
        <is>
          <t>One-to-one</t>
        </is>
      </c>
      <c r="K222" s="8" t="inlineStr">
        <is>
          <t>N/A — not a one-to-many numeric field</t>
        </is>
      </c>
      <c r="L222" s="8" t="inlineStr">
        <is>
          <t>Finance / ERP System (SAP S/4HANA, Oracle Fusion, NetSuite)</t>
        </is>
      </c>
      <c r="M222" s="8" t="inlineStr">
        <is>
          <t>CIL Architecture Team</t>
        </is>
      </c>
      <c r="N222" s="8" t="inlineStr">
        <is>
          <t>2026-06-21</t>
        </is>
      </c>
      <c r="O222" s="8" t="inlineStr">
        <is>
          <t>CorpStage CIL Registry v1.6</t>
        </is>
      </c>
      <c r="P222" s="8" t="inlineStr">
        <is>
          <t>Group only (single enterprise-wide fact, does not repeat per node)</t>
        </is>
      </c>
      <c r="Q222" s="8" t="inlineStr">
        <is>
          <t>Global</t>
        </is>
      </c>
      <c r="R222" s="8" t="inlineStr">
        <is>
          <t>Tier 1 (Standard) — available to all frameworks and all customers</t>
        </is>
      </c>
      <c r="S222" s="8" t="inlineStr">
        <is>
          <t>Owned by Risk Intelligence per Binding 6(a) — extracted as a BUSINESS-RISK fact, distinct from a future Domain 14 Cyber &amp; Information Security Intelligence's technical privacy-control facts, and distinct from this domain's own CDE-R183/184 (cyber incident risk), since data privacy/regulatory risk (e.g. fines for non-compliance) is a separate exposure category from a cyber breach event.</t>
        </is>
      </c>
    </row>
    <row r="223" ht="15" customHeight="1" s="6">
      <c r="A223" s="8" t="inlineStr">
        <is>
          <t>CDE-R222</t>
        </is>
      </c>
      <c r="B223" s="8" t="inlineStr">
        <is>
          <t>Cross-Border Data Transfer Risk Jurisdiction</t>
        </is>
      </c>
      <c r="C223" s="8" t="inlineStr">
        <is>
          <t>Text</t>
        </is>
      </c>
      <c r="D223" s="8" t="inlineStr">
        <is>
          <t>Supplemental</t>
        </is>
      </c>
      <c r="E223" s="8" t="inlineStr">
        <is>
          <t>Optional</t>
        </is>
      </c>
      <c r="F223" s="8" t="inlineStr">
        <is>
          <t>P3</t>
        </is>
      </c>
      <c r="G223" s="8" t="inlineStr">
        <is>
          <t>Non-empty text</t>
        </is>
      </c>
      <c r="H223" s="8" t="inlineStr">
        <is>
          <t>TYPE:TEXT</t>
        </is>
      </c>
      <c r="I223" s="8" t="inlineStr">
        <is>
          <t>Point-in-time</t>
        </is>
      </c>
      <c r="J223" s="8" t="inlineStr">
        <is>
          <t>One-to-many</t>
        </is>
      </c>
      <c r="K223" s="8" t="inlineStr">
        <is>
          <t>N/A — not a one-to-many numeric field</t>
        </is>
      </c>
      <c r="L223" s="8" t="inlineStr">
        <is>
          <t>Regulatory Filings (SEC EDGAR, Companies House, National Business Registry)</t>
        </is>
      </c>
      <c r="M223" s="8" t="inlineStr">
        <is>
          <t>CIL Architecture Team</t>
        </is>
      </c>
      <c r="N223" s="8" t="inlineStr">
        <is>
          <t>2026-06-21</t>
        </is>
      </c>
      <c r="O223" s="8" t="inlineStr">
        <is>
          <t>CorpStage CIL Registry v1.6</t>
        </is>
      </c>
      <c r="P223" s="8" t="inlineStr">
        <is>
          <t>Company, Group (collected per legal entity, not below Company level)</t>
        </is>
      </c>
      <c r="Q223" s="8" t="inlineStr">
        <is>
          <t>Global</t>
        </is>
      </c>
      <c r="R223" s="8" t="inlineStr">
        <is>
          <t>Tier 1 (Standard) — available to all frameworks and all customers</t>
        </is>
      </c>
      <c r="S223" s="8" t="inlineStr">
        <is>
          <t>Owned by Risk Intelligence per Binding 6(a) — extracted as a BUSINESS-RISK fact, distinct from a future Domain 14 Cyber &amp; Information Security Intelligence's technical privacy-control facts, and distinct from this domain's own CDE-R183/184 (cyber incident risk), since data privacy/regulatory risk (e.g. fines for non-compliance) is a separate exposure category from a cyber breach event.</t>
        </is>
      </c>
    </row>
    <row r="224" ht="15" customHeight="1" s="6">
      <c r="A224" s="8" t="inlineStr">
        <is>
          <t>CDE-R223</t>
        </is>
      </c>
      <c r="B224" s="8" t="inlineStr">
        <is>
          <t>Compound/Simultaneous Multi-Risk Crisis Scenario Modeled</t>
        </is>
      </c>
      <c r="C224" s="8" t="inlineStr">
        <is>
          <t>Boolean</t>
        </is>
      </c>
      <c r="D224" s="8" t="inlineStr">
        <is>
          <t>Recommended</t>
        </is>
      </c>
      <c r="E224" s="8" t="inlineStr">
        <is>
          <t>Optional</t>
        </is>
      </c>
      <c r="F224" s="8" t="inlineStr">
        <is>
          <t>P2</t>
        </is>
      </c>
      <c r="G224" s="8" t="inlineStr">
        <is>
          <t>True/False/Unknown (tri-state)</t>
        </is>
      </c>
      <c r="H224" s="8" t="inlineStr">
        <is>
          <t>TYPE:BOOLEAN|ALLOWED:TRUE,FALSE,UNKNOWN</t>
        </is>
      </c>
      <c r="I224" s="8" t="inlineStr">
        <is>
          <t>Effective-dated</t>
        </is>
      </c>
      <c r="J224" s="8" t="inlineStr">
        <is>
          <t>One-to-one</t>
        </is>
      </c>
      <c r="K224" s="8" t="inlineStr">
        <is>
          <t>N/A — not a one-to-many numeric field</t>
        </is>
      </c>
      <c r="L224" s="8" t="inlineStr">
        <is>
          <t>User Validation</t>
        </is>
      </c>
      <c r="M224" s="8" t="inlineStr">
        <is>
          <t>CIL Architecture Team</t>
        </is>
      </c>
      <c r="N224" s="8" t="inlineStr">
        <is>
          <t>2026-06-21</t>
        </is>
      </c>
      <c r="O224" s="8" t="inlineStr">
        <is>
          <t>CorpStage CIL Registry v1.6</t>
        </is>
      </c>
      <c r="P224" s="8" t="inlineStr">
        <is>
          <t>Group only (single enterprise-wide fact, does not repeat per node)</t>
        </is>
      </c>
      <c r="Q224" s="8" t="inlineStr">
        <is>
          <t>Global</t>
        </is>
      </c>
      <c r="R224" s="8" t="inlineStr">
        <is>
          <t>Tier 1 (Standard) — available to all frameworks and all customers</t>
        </is>
      </c>
      <c r="S22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5" ht="15" customHeight="1" s="6">
      <c r="A225" s="8" t="inlineStr">
        <is>
          <t>CDE-R224</t>
        </is>
      </c>
      <c r="B225" s="8" t="inlineStr">
        <is>
          <t>Insurer/Hedge Counterparty Credit Risk Assessed</t>
        </is>
      </c>
      <c r="C225" s="8" t="inlineStr">
        <is>
          <t>Boolean</t>
        </is>
      </c>
      <c r="D225" s="8" t="inlineStr">
        <is>
          <t>Recommended</t>
        </is>
      </c>
      <c r="E225" s="8" t="inlineStr">
        <is>
          <t>Optional</t>
        </is>
      </c>
      <c r="F225" s="8" t="inlineStr">
        <is>
          <t>P2</t>
        </is>
      </c>
      <c r="G225" s="8" t="inlineStr">
        <is>
          <t>True/False/Unknown (tri-state)</t>
        </is>
      </c>
      <c r="H225" s="8" t="inlineStr">
        <is>
          <t>TYPE:BOOLEAN|ALLOWED:TRUE,FALSE,UNKNOWN</t>
        </is>
      </c>
      <c r="I225" s="8" t="inlineStr">
        <is>
          <t>Effective-dated</t>
        </is>
      </c>
      <c r="J225" s="8" t="inlineStr">
        <is>
          <t>One-to-one</t>
        </is>
      </c>
      <c r="K225" s="8" t="inlineStr">
        <is>
          <t>N/A — not a one-to-many numeric field</t>
        </is>
      </c>
      <c r="L225" s="8" t="inlineStr">
        <is>
          <t>Finance / ERP System (SAP S/4HANA, Oracle Fusion, NetSuite)</t>
        </is>
      </c>
      <c r="M225" s="8" t="inlineStr">
        <is>
          <t>CIL Architecture Team</t>
        </is>
      </c>
      <c r="N225" s="8" t="inlineStr">
        <is>
          <t>2026-06-21</t>
        </is>
      </c>
      <c r="O225" s="8" t="inlineStr">
        <is>
          <t>CorpStage CIL Registry v1.6</t>
        </is>
      </c>
      <c r="P225" s="8" t="inlineStr">
        <is>
          <t>Group only (single enterprise-wide fact, does not repeat per node)</t>
        </is>
      </c>
      <c r="Q225" s="8" t="inlineStr">
        <is>
          <t>Global</t>
        </is>
      </c>
      <c r="R225" s="8" t="inlineStr">
        <is>
          <t>Tier 1 (Standard) — available to all frameworks and all customers</t>
        </is>
      </c>
      <c r="S22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6" ht="15" customHeight="1" s="6">
      <c r="A226" s="8" t="inlineStr">
        <is>
          <t>CDE-R225</t>
        </is>
      </c>
      <c r="B226" s="8" t="inlineStr">
        <is>
          <t>Risk Profile Benchmarked Against Industry Peers</t>
        </is>
      </c>
      <c r="C226" s="8" t="inlineStr">
        <is>
          <t>Boolean</t>
        </is>
      </c>
      <c r="D226" s="8" t="inlineStr">
        <is>
          <t>Recommended</t>
        </is>
      </c>
      <c r="E226" s="8" t="inlineStr">
        <is>
          <t>Optional</t>
        </is>
      </c>
      <c r="F226" s="8" t="inlineStr">
        <is>
          <t>P2</t>
        </is>
      </c>
      <c r="G226" s="8" t="inlineStr">
        <is>
          <t>True/False/Unknown (tri-state)</t>
        </is>
      </c>
      <c r="H226" s="8" t="inlineStr">
        <is>
          <t>TYPE:BOOLEAN|ALLOWED:TRUE,FALSE,UNKNOWN</t>
        </is>
      </c>
      <c r="I226" s="8" t="inlineStr">
        <is>
          <t>Effective-dated</t>
        </is>
      </c>
      <c r="J226" s="8" t="inlineStr">
        <is>
          <t>One-to-one</t>
        </is>
      </c>
      <c r="K226" s="8" t="inlineStr">
        <is>
          <t>N/A — not a one-to-many numeric field</t>
        </is>
      </c>
      <c r="L226" s="8" t="inlineStr">
        <is>
          <t>User Validation</t>
        </is>
      </c>
      <c r="M226" s="8" t="inlineStr">
        <is>
          <t>CIL Architecture Team</t>
        </is>
      </c>
      <c r="N226" s="8" t="inlineStr">
        <is>
          <t>2026-06-21</t>
        </is>
      </c>
      <c r="O226" s="8" t="inlineStr">
        <is>
          <t>CorpStage CIL Registry v1.7</t>
        </is>
      </c>
      <c r="P226" s="8" t="inlineStr">
        <is>
          <t>Group only (single enterprise-wide fact, does not repeat per node)</t>
        </is>
      </c>
      <c r="Q226" s="8" t="inlineStr">
        <is>
          <t>Global</t>
        </is>
      </c>
      <c r="R226" s="8" t="inlineStr">
        <is>
          <t>Tier 1 (Standard) — available to all frameworks and all customers</t>
        </is>
      </c>
      <c r="S226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7" ht="15" customHeight="1" s="6">
      <c r="A227" s="8" t="inlineStr">
        <is>
          <t>CDE-R226</t>
        </is>
      </c>
      <c r="B227" s="8" t="inlineStr">
        <is>
          <t>Benchmark Comparison Result (Above/At/Below Peer Average)</t>
        </is>
      </c>
      <c r="C227" s="8" t="inlineStr">
        <is>
          <t>Text</t>
        </is>
      </c>
      <c r="D227" s="8" t="inlineStr">
        <is>
          <t>Recommended</t>
        </is>
      </c>
      <c r="E227" s="8" t="inlineStr">
        <is>
          <t>Optional</t>
        </is>
      </c>
      <c r="F227" s="8" t="inlineStr">
        <is>
          <t>P2</t>
        </is>
      </c>
      <c r="G227" s="8" t="inlineStr">
        <is>
          <t>Above/At/Below</t>
        </is>
      </c>
      <c r="H227" s="8" t="inlineStr">
        <is>
          <t>TYPE:ENUM|ALLOWED:ABOVE,AT,BELOW</t>
        </is>
      </c>
      <c r="I227" s="8" t="inlineStr">
        <is>
          <t>Point-in-time</t>
        </is>
      </c>
      <c r="J227" s="8" t="inlineStr">
        <is>
          <t>One-to-one</t>
        </is>
      </c>
      <c r="K227" s="8" t="inlineStr">
        <is>
          <t>N/A — not a one-to-many numeric field</t>
        </is>
      </c>
      <c r="L227" s="8" t="inlineStr">
        <is>
          <t>User Validation</t>
        </is>
      </c>
      <c r="M227" s="8" t="inlineStr">
        <is>
          <t>CIL Architecture Team</t>
        </is>
      </c>
      <c r="N227" s="8" t="inlineStr">
        <is>
          <t>2026-06-21</t>
        </is>
      </c>
      <c r="O227" s="8" t="inlineStr">
        <is>
          <t>CorpStage CIL Registry v1.7</t>
        </is>
      </c>
      <c r="P227" s="8" t="inlineStr">
        <is>
          <t>Group only (single enterprise-wide fact, does not repeat per node)</t>
        </is>
      </c>
      <c r="Q227" s="8" t="inlineStr">
        <is>
          <t>Global</t>
        </is>
      </c>
      <c r="R227" s="8" t="inlineStr">
        <is>
          <t>Tier 1 (Standard) — available to all frameworks and all customers</t>
        </is>
      </c>
      <c r="S22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8" ht="15" customHeight="1" s="6">
      <c r="A228" s="8" t="inlineStr">
        <is>
          <t>CDE-R227</t>
        </is>
      </c>
      <c r="B228" s="8" t="inlineStr">
        <is>
          <t>Benchmark Source/Provider</t>
        </is>
      </c>
      <c r="C228" s="8" t="inlineStr">
        <is>
          <t>Text</t>
        </is>
      </c>
      <c r="D228" s="8" t="inlineStr">
        <is>
          <t>Supplemental</t>
        </is>
      </c>
      <c r="E228" s="8" t="inlineStr">
        <is>
          <t>Optional</t>
        </is>
      </c>
      <c r="F228" s="8" t="inlineStr">
        <is>
          <t>P3</t>
        </is>
      </c>
      <c r="G228" s="8" t="inlineStr">
        <is>
          <t>Non-empty text</t>
        </is>
      </c>
      <c r="H228" s="8" t="inlineStr">
        <is>
          <t>TYPE:TEXT</t>
        </is>
      </c>
      <c r="I228" s="8" t="inlineStr">
        <is>
          <t>Point-in-time</t>
        </is>
      </c>
      <c r="J228" s="8" t="inlineStr">
        <is>
          <t>One-to-one</t>
        </is>
      </c>
      <c r="K228" s="8" t="inlineStr">
        <is>
          <t>N/A — not a one-to-many numeric field</t>
        </is>
      </c>
      <c r="L228" s="8" t="inlineStr">
        <is>
          <t>User Validation</t>
        </is>
      </c>
      <c r="M228" s="8" t="inlineStr">
        <is>
          <t>CIL Architecture Team</t>
        </is>
      </c>
      <c r="N228" s="8" t="inlineStr">
        <is>
          <t>2026-06-21</t>
        </is>
      </c>
      <c r="O228" s="8" t="inlineStr">
        <is>
          <t>CorpStage CIL Registry v1.7</t>
        </is>
      </c>
      <c r="P228" s="8" t="inlineStr">
        <is>
          <t>Group only (single enterprise-wide fact, does not repeat per node)</t>
        </is>
      </c>
      <c r="Q228" s="8" t="inlineStr">
        <is>
          <t>Global</t>
        </is>
      </c>
      <c r="R228" s="8" t="inlineStr">
        <is>
          <t>Tier 1 (Standard) — available to all frameworks and all customers</t>
        </is>
      </c>
      <c r="S22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29" ht="15" customHeight="1" s="6">
      <c r="A229" s="8" t="inlineStr">
        <is>
          <t>CDE-R228</t>
        </is>
      </c>
      <c r="B229" s="8" t="inlineStr">
        <is>
          <t>Risk Register Confidentiality Classification</t>
        </is>
      </c>
      <c r="C229" s="8" t="inlineStr">
        <is>
          <t>Text</t>
        </is>
      </c>
      <c r="D229" s="8" t="inlineStr">
        <is>
          <t>Required</t>
        </is>
      </c>
      <c r="E229" s="8" t="inlineStr">
        <is>
          <t>Optional</t>
        </is>
      </c>
      <c r="F229" s="8" t="inlineStr">
        <is>
          <t>P1</t>
        </is>
      </c>
      <c r="G229" s="8" t="inlineStr">
        <is>
          <t>Public/Internal/Confidential/Strictly Confidential</t>
        </is>
      </c>
      <c r="H229" s="8" t="inlineStr">
        <is>
          <t>TYPE:ENUM|ALLOWED:PUBLIC,INTERNAL,CONFIDENTIAL,STRICTLY_CONFIDENTIAL</t>
        </is>
      </c>
      <c r="I229" s="8" t="inlineStr">
        <is>
          <t>Effective-dated</t>
        </is>
      </c>
      <c r="J229" s="8" t="inlineStr">
        <is>
          <t>One-to-one</t>
        </is>
      </c>
      <c r="K229" s="8" t="inlineStr">
        <is>
          <t>N/A — not a one-to-many numeric field</t>
        </is>
      </c>
      <c r="L229" s="8" t="inlineStr">
        <is>
          <t>User Validation</t>
        </is>
      </c>
      <c r="M229" s="8" t="inlineStr">
        <is>
          <t>CIL Architecture Team</t>
        </is>
      </c>
      <c r="N229" s="8" t="inlineStr">
        <is>
          <t>2026-06-21</t>
        </is>
      </c>
      <c r="O229" s="8" t="inlineStr">
        <is>
          <t>CorpStage CIL Registry v1.7</t>
        </is>
      </c>
      <c r="P229" s="8" t="inlineStr">
        <is>
          <t>Group only (single enterprise-wide fact, does not repeat per node)</t>
        </is>
      </c>
      <c r="Q229" s="8" t="inlineStr">
        <is>
          <t>Global</t>
        </is>
      </c>
      <c r="R229" s="8" t="inlineStr">
        <is>
          <t>Tier 1 (Standard) — available to all frameworks and all customers</t>
        </is>
      </c>
      <c r="S229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0" ht="15" customHeight="1" s="6">
      <c r="A230" s="8" t="inlineStr">
        <is>
          <t>CDE-R229</t>
        </is>
      </c>
      <c r="B230" s="8" t="inlineStr">
        <is>
          <t>Risk Register Access Control List Defined</t>
        </is>
      </c>
      <c r="C230" s="8" t="inlineStr">
        <is>
          <t>Boolean</t>
        </is>
      </c>
      <c r="D230" s="8" t="inlineStr">
        <is>
          <t>Recommended</t>
        </is>
      </c>
      <c r="E230" s="8" t="inlineStr">
        <is>
          <t>Optional</t>
        </is>
      </c>
      <c r="F230" s="8" t="inlineStr">
        <is>
          <t>P2</t>
        </is>
      </c>
      <c r="G230" s="8" t="inlineStr">
        <is>
          <t>True/False/Unknown (tri-state)</t>
        </is>
      </c>
      <c r="H230" s="8" t="inlineStr">
        <is>
          <t>TYPE:BOOLEAN|ALLOWED:TRUE,FALSE,UNKNOWN</t>
        </is>
      </c>
      <c r="I230" s="8" t="inlineStr">
        <is>
          <t>Effective-dated</t>
        </is>
      </c>
      <c r="J230" s="8" t="inlineStr">
        <is>
          <t>One-to-one</t>
        </is>
      </c>
      <c r="K230" s="8" t="inlineStr">
        <is>
          <t>N/A — not a one-to-many numeric field</t>
        </is>
      </c>
      <c r="L230" s="8" t="inlineStr">
        <is>
          <t>User Validation</t>
        </is>
      </c>
      <c r="M230" s="8" t="inlineStr">
        <is>
          <t>CIL Architecture Team</t>
        </is>
      </c>
      <c r="N230" s="8" t="inlineStr">
        <is>
          <t>2026-06-21</t>
        </is>
      </c>
      <c r="O230" s="8" t="inlineStr">
        <is>
          <t>CorpStage CIL Registry v1.7</t>
        </is>
      </c>
      <c r="P230" s="8" t="inlineStr">
        <is>
          <t>Group only (single enterprise-wide fact, does not repeat per node)</t>
        </is>
      </c>
      <c r="Q230" s="8" t="inlineStr">
        <is>
          <t>Global</t>
        </is>
      </c>
      <c r="R230" s="8" t="inlineStr">
        <is>
          <t>Tier 1 (Standard) — available to all frameworks and all customers</t>
        </is>
      </c>
      <c r="S230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1" ht="15" customHeight="1" s="6">
      <c r="A231" s="8" t="inlineStr">
        <is>
          <t>CDE-R230</t>
        </is>
      </c>
      <c r="B231" s="8" t="inlineStr">
        <is>
          <t>Risk Register Access Last Reviewed Date</t>
        </is>
      </c>
      <c r="C231" s="8" t="inlineStr">
        <is>
          <t>Date</t>
        </is>
      </c>
      <c r="D231" s="8" t="inlineStr">
        <is>
          <t>Supplemental</t>
        </is>
      </c>
      <c r="E231" s="8" t="inlineStr">
        <is>
          <t>Optional</t>
        </is>
      </c>
      <c r="F231" s="8" t="inlineStr">
        <is>
          <t>P3</t>
        </is>
      </c>
      <c r="G231" s="8" t="inlineStr">
        <is>
          <t>Valid date</t>
        </is>
      </c>
      <c r="H231" s="8" t="inlineStr">
        <is>
          <t>TYPE:DATE</t>
        </is>
      </c>
      <c r="I231" s="8" t="inlineStr">
        <is>
          <t>Point-in-time</t>
        </is>
      </c>
      <c r="J231" s="8" t="inlineStr">
        <is>
          <t>One-to-one</t>
        </is>
      </c>
      <c r="K231" s="8" t="inlineStr">
        <is>
          <t>N/A — not a one-to-many numeric field</t>
        </is>
      </c>
      <c r="L231" s="8" t="inlineStr">
        <is>
          <t>User Validation</t>
        </is>
      </c>
      <c r="M231" s="8" t="inlineStr">
        <is>
          <t>CIL Architecture Team</t>
        </is>
      </c>
      <c r="N231" s="8" t="inlineStr">
        <is>
          <t>2026-06-21</t>
        </is>
      </c>
      <c r="O231" s="8" t="inlineStr">
        <is>
          <t>CorpStage CIL Registry v1.7</t>
        </is>
      </c>
      <c r="P231" s="8" t="inlineStr">
        <is>
          <t>Group only (single enterprise-wide fact, does not repeat per node)</t>
        </is>
      </c>
      <c r="Q231" s="8" t="inlineStr">
        <is>
          <t>Global</t>
        </is>
      </c>
      <c r="R231" s="8" t="inlineStr">
        <is>
          <t>Tier 1 (Standard) — available to all frameworks and all customers</t>
        </is>
      </c>
      <c r="S231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2" ht="15" customHeight="1" s="6">
      <c r="A232" s="8" t="inlineStr">
        <is>
          <t>CDE-R231</t>
        </is>
      </c>
      <c r="B232" s="8" t="inlineStr">
        <is>
          <t>Physical Climate Risk Financial Exposure (Currency Value)</t>
        </is>
      </c>
      <c r="C232" s="8" t="inlineStr">
        <is>
          <t>Numeric</t>
        </is>
      </c>
      <c r="D232" s="8" t="inlineStr">
        <is>
          <t>Recommended</t>
        </is>
      </c>
      <c r="E232" s="8" t="inlineStr">
        <is>
          <t>Framework Specific</t>
        </is>
      </c>
      <c r="F232" s="8" t="inlineStr">
        <is>
          <t>P2</t>
        </is>
      </c>
      <c r="G232" s="8" t="inlineStr">
        <is>
          <t>&gt;=0, numeric</t>
        </is>
      </c>
      <c r="H232" s="8" t="inlineStr">
        <is>
          <t>TYPE:NUMERIC|MIN:0</t>
        </is>
      </c>
      <c r="I232" s="8" t="inlineStr">
        <is>
          <t>Effective-dated</t>
        </is>
      </c>
      <c r="J232" s="8" t="inlineStr">
        <is>
          <t>One-to-many</t>
        </is>
      </c>
      <c r="K232" s="8" t="inlineStr">
        <is>
          <t>Independent per facility; SUM across facilities gives total physical climate risk exposure if reporting aggregate</t>
        </is>
      </c>
      <c r="L232" s="8" t="inlineStr">
        <is>
          <t>User Validation</t>
        </is>
      </c>
      <c r="M232" s="8" t="inlineStr">
        <is>
          <t>CIL Architecture Team</t>
        </is>
      </c>
      <c r="N232" s="8" t="inlineStr">
        <is>
          <t>2026-06-21</t>
        </is>
      </c>
      <c r="O232" s="8" t="inlineStr">
        <is>
          <t>CorpStage CIL Registry v1.7</t>
        </is>
      </c>
      <c r="P232" s="8" t="inlineStr">
        <is>
          <t>Plant, Site, Company, Group (collected at lowest defined node, aggregates upward)</t>
        </is>
      </c>
      <c r="Q232" s="8" t="inlineStr">
        <is>
          <t>Global</t>
        </is>
      </c>
      <c r="R232" s="8" t="inlineStr">
        <is>
          <t>Tier 1 (Standard) — available to all frameworks and all customers</t>
        </is>
      </c>
      <c r="S232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3" ht="15" customHeight="1" s="6">
      <c r="A233" s="8" t="inlineStr">
        <is>
          <t>CDE-R232</t>
        </is>
      </c>
      <c r="B233" s="8" t="inlineStr">
        <is>
          <t>Event-Driven Risk Appetite Review Trigger Defined</t>
        </is>
      </c>
      <c r="C233" s="8" t="inlineStr">
        <is>
          <t>Boolean</t>
        </is>
      </c>
      <c r="D233" s="8" t="inlineStr">
        <is>
          <t>Recommended</t>
        </is>
      </c>
      <c r="E233" s="8" t="inlineStr">
        <is>
          <t>Optional</t>
        </is>
      </c>
      <c r="F233" s="8" t="inlineStr">
        <is>
          <t>P2</t>
        </is>
      </c>
      <c r="G233" s="8" t="inlineStr">
        <is>
          <t>True/False/Unknown (tri-state)</t>
        </is>
      </c>
      <c r="H233" s="8" t="inlineStr">
        <is>
          <t>TYPE:BOOLEAN|ALLOWED:TRUE,FALSE,UNKNOWN</t>
        </is>
      </c>
      <c r="I233" s="8" t="inlineStr">
        <is>
          <t>Effective-dated</t>
        </is>
      </c>
      <c r="J233" s="8" t="inlineStr">
        <is>
          <t>One-to-one</t>
        </is>
      </c>
      <c r="K233" s="8" t="inlineStr">
        <is>
          <t>N/A — not a one-to-many numeric field</t>
        </is>
      </c>
      <c r="L233" s="8" t="inlineStr">
        <is>
          <t>Board Portal / Governance Records (Diligent, BoardEffect)</t>
        </is>
      </c>
      <c r="M233" s="8" t="inlineStr">
        <is>
          <t>CIL Architecture Team</t>
        </is>
      </c>
      <c r="N233" s="8" t="inlineStr">
        <is>
          <t>2026-06-21</t>
        </is>
      </c>
      <c r="O233" s="8" t="inlineStr">
        <is>
          <t>CorpStage CIL Registry v1.8</t>
        </is>
      </c>
      <c r="P233" s="8" t="inlineStr">
        <is>
          <t>Group only (single enterprise-wide fact, does not repeat per node)</t>
        </is>
      </c>
      <c r="Q233" s="8" t="inlineStr">
        <is>
          <t>Global</t>
        </is>
      </c>
      <c r="R233" s="8" t="inlineStr">
        <is>
          <t>Tier 1 (Standard) — available to all frameworks and all customers</t>
        </is>
      </c>
      <c r="S23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4" ht="15" customHeight="1" s="6">
      <c r="A234" s="8" t="inlineStr">
        <is>
          <t>CDE-R233</t>
        </is>
      </c>
      <c r="B234" s="8" t="inlineStr">
        <is>
          <t>CRO Reporting Line Conflict-of-Interest Assessed</t>
        </is>
      </c>
      <c r="C234" s="8" t="inlineStr">
        <is>
          <t>Boolean</t>
        </is>
      </c>
      <c r="D234" s="8" t="inlineStr">
        <is>
          <t>Recommended</t>
        </is>
      </c>
      <c r="E234" s="8" t="inlineStr">
        <is>
          <t>Optional</t>
        </is>
      </c>
      <c r="F234" s="8" t="inlineStr">
        <is>
          <t>P2</t>
        </is>
      </c>
      <c r="G234" s="8" t="inlineStr">
        <is>
          <t>True/False/Unknown (tri-state)</t>
        </is>
      </c>
      <c r="H234" s="8" t="inlineStr">
        <is>
          <t>TYPE:BOOLEAN|ALLOWED:TRUE,FALSE,UNKNOWN</t>
        </is>
      </c>
      <c r="I234" s="8" t="inlineStr">
        <is>
          <t>Effective-dated</t>
        </is>
      </c>
      <c r="J234" s="8" t="inlineStr">
        <is>
          <t>One-to-one</t>
        </is>
      </c>
      <c r="K234" s="8" t="inlineStr">
        <is>
          <t>N/A — not a one-to-many numeric field</t>
        </is>
      </c>
      <c r="L234" s="8" t="inlineStr">
        <is>
          <t>User Validation</t>
        </is>
      </c>
      <c r="M234" s="8" t="inlineStr">
        <is>
          <t>CIL Architecture Team</t>
        </is>
      </c>
      <c r="N234" s="8" t="inlineStr">
        <is>
          <t>2026-06-21</t>
        </is>
      </c>
      <c r="O234" s="8" t="inlineStr">
        <is>
          <t>CorpStage CIL Registry v1.8</t>
        </is>
      </c>
      <c r="P234" s="8" t="inlineStr">
        <is>
          <t>Group only (single enterprise-wide fact, does not repeat per node)</t>
        </is>
      </c>
      <c r="Q234" s="8" t="inlineStr">
        <is>
          <t>Global</t>
        </is>
      </c>
      <c r="R234" s="8" t="inlineStr">
        <is>
          <t>Tier 1 (Standard) — available to all frameworks and all customers</t>
        </is>
      </c>
      <c r="S23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5" ht="15" customHeight="1" s="6">
      <c r="A235" s="8" t="inlineStr">
        <is>
          <t>CDE-R234</t>
        </is>
      </c>
      <c r="B235" s="8" t="inlineStr">
        <is>
          <t>Supply Chain Disruption Estimated Financial Impact</t>
        </is>
      </c>
      <c r="C235" s="8" t="inlineStr">
        <is>
          <t>Numeric</t>
        </is>
      </c>
      <c r="D235" s="8" t="inlineStr">
        <is>
          <t>Recommended</t>
        </is>
      </c>
      <c r="E235" s="8" t="inlineStr">
        <is>
          <t>Optional</t>
        </is>
      </c>
      <c r="F235" s="8" t="inlineStr">
        <is>
          <t>P2</t>
        </is>
      </c>
      <c r="G235" s="8" t="inlineStr">
        <is>
          <t>&gt;=0, numeric</t>
        </is>
      </c>
      <c r="H235" s="8" t="inlineStr">
        <is>
          <t>TYPE:NUMERIC|MIN:0</t>
        </is>
      </c>
      <c r="I235" s="8" t="inlineStr">
        <is>
          <t>Effective-dated</t>
        </is>
      </c>
      <c r="J235" s="8" t="inlineStr">
        <is>
          <t>One-to-many</t>
        </is>
      </c>
      <c r="K235" s="8" t="inlineStr">
        <is>
          <t>Independent per critical input; not aggregated across different inputs</t>
        </is>
      </c>
      <c r="L235" s="8" t="inlineStr">
        <is>
          <t>User Validation</t>
        </is>
      </c>
      <c r="M235" s="8" t="inlineStr">
        <is>
          <t>CIL Architecture Team</t>
        </is>
      </c>
      <c r="N235" s="8" t="inlineStr">
        <is>
          <t>2026-06-21</t>
        </is>
      </c>
      <c r="O235" s="8" t="inlineStr">
        <is>
          <t>CorpStage CIL Registry v1.8</t>
        </is>
      </c>
      <c r="P235" s="8" t="inlineStr">
        <is>
          <t>Company, Group (collected per legal entity, not below Company level)</t>
        </is>
      </c>
      <c r="Q235" s="8" t="inlineStr">
        <is>
          <t>Global</t>
        </is>
      </c>
      <c r="R235" s="8" t="inlineStr">
        <is>
          <t>Tier 1 (Standard) — available to all frameworks and all customers</t>
        </is>
      </c>
      <c r="S23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6" ht="15" customHeight="1" s="6">
      <c r="A236" s="8" t="inlineStr">
        <is>
          <t>CDE-R235</t>
        </is>
      </c>
      <c r="B236" s="8" t="inlineStr">
        <is>
          <t>Risk Level Constrains Dividend/Buyback Capacity</t>
        </is>
      </c>
      <c r="C236" s="8" t="inlineStr">
        <is>
          <t>Boolean</t>
        </is>
      </c>
      <c r="D236" s="8" t="inlineStr">
        <is>
          <t>Recommended</t>
        </is>
      </c>
      <c r="E236" s="8" t="inlineStr">
        <is>
          <t>Optional</t>
        </is>
      </c>
      <c r="F236" s="8" t="inlineStr">
        <is>
          <t>P2</t>
        </is>
      </c>
      <c r="G236" s="8" t="inlineStr">
        <is>
          <t>True/False/Unknown (tri-state)</t>
        </is>
      </c>
      <c r="H236" s="8" t="inlineStr">
        <is>
          <t>TYPE:BOOLEAN|ALLOWED:TRUE,FALSE,UNKNOWN</t>
        </is>
      </c>
      <c r="I236" s="8" t="inlineStr">
        <is>
          <t>Effective-dated</t>
        </is>
      </c>
      <c r="J236" s="8" t="inlineStr">
        <is>
          <t>One-to-one</t>
        </is>
      </c>
      <c r="K236" s="8" t="inlineStr">
        <is>
          <t>N/A — not a one-to-many numeric field</t>
        </is>
      </c>
      <c r="L236" s="8" t="inlineStr">
        <is>
          <t>Board Portal / Governance Records (Diligent, BoardEffect)</t>
        </is>
      </c>
      <c r="M236" s="8" t="inlineStr">
        <is>
          <t>CIL Architecture Team</t>
        </is>
      </c>
      <c r="N236" s="8" t="inlineStr">
        <is>
          <t>2026-06-21</t>
        </is>
      </c>
      <c r="O236" s="8" t="inlineStr">
        <is>
          <t>CorpStage CIL Registry v1.9</t>
        </is>
      </c>
      <c r="P236" s="8" t="inlineStr">
        <is>
          <t>Group only (single enterprise-wide fact, does not repeat per node)</t>
        </is>
      </c>
      <c r="Q236" s="8" t="inlineStr">
        <is>
          <t>Global</t>
        </is>
      </c>
      <c r="R236" s="8" t="inlineStr">
        <is>
          <t>Tier 1 (Standard) — available to all frameworks and all customers</t>
        </is>
      </c>
      <c r="S236" s="8" t="inlineStr">
        <is>
          <t>Owned by Risk Intelligence per Binding 6(a) — extracted as a RISK-CONSTRAINT fact (does risk level limit shareholder return capacity), distinct from Domain 2 Strategy Intelligence's CDE-S056/106 (Dividend Payout Ratio %/Dividend Policy Last Revised Date). Domain 2 must reference this CDE for the risk-constraint context, not duplicate it.</t>
        </is>
      </c>
    </row>
    <row r="237" ht="15" customHeight="1" s="6">
      <c r="A237" s="8" t="inlineStr">
        <is>
          <t>CDE-R236</t>
        </is>
      </c>
      <c r="B237" s="8" t="inlineStr">
        <is>
          <t>Risk Rating Historical Trend (3yr)</t>
        </is>
      </c>
      <c r="C237" s="8" t="inlineStr">
        <is>
          <t>Text</t>
        </is>
      </c>
      <c r="D237" s="8" t="inlineStr">
        <is>
          <t>Recommended</t>
        </is>
      </c>
      <c r="E237" s="8" t="inlineStr">
        <is>
          <t>Optional</t>
        </is>
      </c>
      <c r="F237" s="8" t="inlineStr">
        <is>
          <t>P2</t>
        </is>
      </c>
      <c r="G237" s="8" t="inlineStr">
        <is>
          <t>Increasing/Stable/Declining</t>
        </is>
      </c>
      <c r="H237" s="8" t="inlineStr">
        <is>
          <t>TYPE:ENUM|ALLOWED:INCREASING,STABLE,DECLINING</t>
        </is>
      </c>
      <c r="I237" s="8" t="inlineStr">
        <is>
          <t>Point-in-time</t>
        </is>
      </c>
      <c r="J237" s="8" t="inlineStr">
        <is>
          <t>One-to-many</t>
        </is>
      </c>
      <c r="K237" s="8" t="inlineStr">
        <is>
          <t>N/A — not a one-to-many numeric field</t>
        </is>
      </c>
      <c r="L237" s="8" t="inlineStr">
        <is>
          <t>GRC / Risk Register (ServiceNow Risk, RSA Archer, LogicGate)</t>
        </is>
      </c>
      <c r="M237" s="8" t="inlineStr">
        <is>
          <t>CIL Architecture Team</t>
        </is>
      </c>
      <c r="N237" s="8" t="inlineStr">
        <is>
          <t>2026-06-21</t>
        </is>
      </c>
      <c r="O237" s="8" t="inlineStr">
        <is>
          <t>CorpStage CIL Registry v1.9</t>
        </is>
      </c>
      <c r="P237" s="8" t="inlineStr">
        <is>
          <t>Company, Group (collected per legal entity, not below Company level)</t>
        </is>
      </c>
      <c r="Q237" s="8" t="inlineStr">
        <is>
          <t>Global</t>
        </is>
      </c>
      <c r="R237" s="8" t="inlineStr">
        <is>
          <t>Tier 1 (Standard) — available to all frameworks and all customers</t>
        </is>
      </c>
      <c r="S237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8" ht="15" customHeight="1" s="6">
      <c r="A238" s="8" t="inlineStr">
        <is>
          <t>CDE-R237</t>
        </is>
      </c>
      <c r="B238" s="8" t="inlineStr">
        <is>
          <t>Risk Oversight Independence from Executive Management</t>
        </is>
      </c>
      <c r="C238" s="8" t="inlineStr">
        <is>
          <t>Boolean</t>
        </is>
      </c>
      <c r="D238" s="8" t="inlineStr">
        <is>
          <t>Required</t>
        </is>
      </c>
      <c r="E238" s="8" t="inlineStr">
        <is>
          <t>Multi</t>
        </is>
      </c>
      <c r="F238" s="8" t="inlineStr">
        <is>
          <t>P1</t>
        </is>
      </c>
      <c r="G238" s="8" t="inlineStr">
        <is>
          <t>True/False/Unknown (tri-state)</t>
        </is>
      </c>
      <c r="H238" s="8" t="inlineStr">
        <is>
          <t>TYPE:BOOLEAN|ALLOWED:TRUE,FALSE,UNKNOWN</t>
        </is>
      </c>
      <c r="I238" s="8" t="inlineStr">
        <is>
          <t>Effective-dated</t>
        </is>
      </c>
      <c r="J238" s="8" t="inlineStr">
        <is>
          <t>One-to-one</t>
        </is>
      </c>
      <c r="K238" s="8" t="inlineStr">
        <is>
          <t>N/A — not a one-to-many numeric field</t>
        </is>
      </c>
      <c r="L238" s="8" t="inlineStr">
        <is>
          <t>Board Portal / Governance Records (Diligent, BoardEffect)</t>
        </is>
      </c>
      <c r="M238" s="8" t="inlineStr">
        <is>
          <t>CIL Architecture Team</t>
        </is>
      </c>
      <c r="N238" s="8" t="inlineStr">
        <is>
          <t>2026-06-21</t>
        </is>
      </c>
      <c r="O238" s="8" t="inlineStr">
        <is>
          <t>CorpStage CIL Registry v1.9</t>
        </is>
      </c>
      <c r="P238" s="8" t="inlineStr">
        <is>
          <t>Group only (single enterprise-wide fact, does not repeat per node)</t>
        </is>
      </c>
      <c r="Q238" s="8" t="inlineStr">
        <is>
          <t>Global</t>
        </is>
      </c>
      <c r="R238" s="8" t="inlineStr">
        <is>
          <t>Tier 1 (Standard) — available to all frameworks and all customers</t>
        </is>
      </c>
      <c r="S238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39" ht="15" customHeight="1" s="6">
      <c r="A239" s="8" t="inlineStr">
        <is>
          <t>CDE-R238</t>
        </is>
      </c>
      <c r="B239" s="8" t="inlineStr">
        <is>
          <t>Revenue from Largest Customer Percentage</t>
        </is>
      </c>
      <c r="C239" s="8" t="inlineStr">
        <is>
          <t>Numeric</t>
        </is>
      </c>
      <c r="D239" s="8" t="inlineStr">
        <is>
          <t>Required</t>
        </is>
      </c>
      <c r="E239" s="8" t="inlineStr">
        <is>
          <t>Multi</t>
        </is>
      </c>
      <c r="F239" s="8" t="inlineStr">
        <is>
          <t>P1</t>
        </is>
      </c>
      <c r="G239" s="8" t="inlineStr">
        <is>
          <t>0-100, numeric</t>
        </is>
      </c>
      <c r="H239" s="8" t="inlineStr">
        <is>
          <t>TYPE:NUMERIC|MIN:0|MAX:100</t>
        </is>
      </c>
      <c r="I239" s="8" t="inlineStr">
        <is>
          <t>Effective-dated</t>
        </is>
      </c>
      <c r="J239" s="8" t="inlineStr">
        <is>
          <t>One-to-one</t>
        </is>
      </c>
      <c r="K239" s="8" t="inlineStr">
        <is>
          <t>N/A — not a one-to-many numeric field</t>
        </is>
      </c>
      <c r="L239" s="8" t="inlineStr">
        <is>
          <t>GRC / Risk Register (ServiceNow Risk, RSA Archer, LogicGate)</t>
        </is>
      </c>
      <c r="M239" s="8" t="inlineStr">
        <is>
          <t>CIL Architecture Team</t>
        </is>
      </c>
      <c r="N239" s="8" t="inlineStr">
        <is>
          <t>2026-06-23</t>
        </is>
      </c>
      <c r="O239" s="8" t="inlineStr">
        <is>
          <t>CorpStage CIL Registry v2.1</t>
        </is>
      </c>
      <c r="P239" s="8" t="inlineStr">
        <is>
          <t>Group only (single enterprise-wide fact, does not repeat per node)</t>
        </is>
      </c>
      <c r="Q239" s="8" t="inlineStr">
        <is>
          <t>Global</t>
        </is>
      </c>
      <c r="R239" s="8" t="inlineStr">
        <is>
          <t>Tier 1 (Standard) — available to all frameworks and all customers</t>
        </is>
      </c>
      <c r="S239" s="8" t="inlineStr">
        <is>
          <t>Owned by Risk Intelligence per Binding 6(b) — captures the RISK-MITIGATION view (contingency, watch status), distinct from Domain 1 Enterprise Intelligence's CDE-115 (Top Customer Revenue Concentration %), which captures the underlying concentration FACT. Domain 1 must reference this CDE for risk-response context, not duplicate it.</t>
        </is>
      </c>
    </row>
    <row r="240" ht="15" customHeight="1" s="6">
      <c r="A240" s="8" t="inlineStr">
        <is>
          <t>CDE-R239</t>
        </is>
      </c>
      <c r="B240" s="8" t="inlineStr">
        <is>
          <t>Revenue from Top 5 Customers Percentage</t>
        </is>
      </c>
      <c r="C240" s="8" t="inlineStr">
        <is>
          <t>Numeric</t>
        </is>
      </c>
      <c r="D240" s="8" t="inlineStr">
        <is>
          <t>Recommended</t>
        </is>
      </c>
      <c r="E240" s="8" t="inlineStr">
        <is>
          <t>Optional</t>
        </is>
      </c>
      <c r="F240" s="8" t="inlineStr">
        <is>
          <t>P2</t>
        </is>
      </c>
      <c r="G240" s="8" t="inlineStr">
        <is>
          <t>0-100, numeric</t>
        </is>
      </c>
      <c r="H240" s="8" t="inlineStr">
        <is>
          <t>TYPE:NUMERIC|MIN:0|MAX:100</t>
        </is>
      </c>
      <c r="I240" s="8" t="inlineStr">
        <is>
          <t>Effective-dated</t>
        </is>
      </c>
      <c r="J240" s="8" t="inlineStr">
        <is>
          <t>One-to-one</t>
        </is>
      </c>
      <c r="K240" s="8" t="inlineStr">
        <is>
          <t>N/A — not a one-to-many numeric field</t>
        </is>
      </c>
      <c r="L240" s="8" t="inlineStr">
        <is>
          <t>GRC / Risk Register (ServiceNow Risk, RSA Archer, LogicGate)</t>
        </is>
      </c>
      <c r="M240" s="8" t="inlineStr">
        <is>
          <t>CIL Architecture Team</t>
        </is>
      </c>
      <c r="N240" s="8" t="inlineStr">
        <is>
          <t>2026-06-23</t>
        </is>
      </c>
      <c r="O240" s="8" t="inlineStr">
        <is>
          <t>CorpStage CIL Registry v2.1</t>
        </is>
      </c>
      <c r="P240" s="8" t="inlineStr">
        <is>
          <t>Group only (single enterprise-wide fact, does not repeat per node)</t>
        </is>
      </c>
      <c r="Q240" s="8" t="inlineStr">
        <is>
          <t>Global</t>
        </is>
      </c>
      <c r="R240" s="8" t="inlineStr">
        <is>
          <t>Tier 1 (Standard) — available to all frameworks and all customers</t>
        </is>
      </c>
      <c r="S240" s="8" t="inlineStr">
        <is>
          <t>Owned by Risk Intelligence per Binding 6(b) — captures the RISK-MITIGATION view (contingency, watch status), distinct from Domain 1 Enterprise Intelligence's CDE-115 (Top Customer Revenue Concentration %), which captures the underlying concentration FACT. Domain 1 must reference this CDE for risk-response context, not duplicate it.</t>
        </is>
      </c>
    </row>
    <row r="241" ht="15" customHeight="1" s="6">
      <c r="A241" s="8" t="inlineStr">
        <is>
          <t>CDE-R240</t>
        </is>
      </c>
      <c r="B241" s="8" t="inlineStr">
        <is>
          <t>Customer Credit Risk Rating</t>
        </is>
      </c>
      <c r="C241" s="8" t="inlineStr">
        <is>
          <t>Text</t>
        </is>
      </c>
      <c r="D241" s="8" t="inlineStr">
        <is>
          <t>Required</t>
        </is>
      </c>
      <c r="E241" s="8" t="inlineStr">
        <is>
          <t>Multi</t>
        </is>
      </c>
      <c r="F241" s="8" t="inlineStr">
        <is>
          <t>P1</t>
        </is>
      </c>
      <c r="G241" s="8" t="inlineStr">
        <is>
          <t>High/Medium/Low</t>
        </is>
      </c>
      <c r="H241" s="8" t="inlineStr">
        <is>
          <t>TYPE:ENUM|ALLOWED:HIGH,MEDIUM,LOW</t>
        </is>
      </c>
      <c r="I241" s="8" t="inlineStr">
        <is>
          <t>Effective-dated</t>
        </is>
      </c>
      <c r="J241" s="8" t="inlineStr">
        <is>
          <t>One-to-many</t>
        </is>
      </c>
      <c r="K241" s="8" t="inlineStr">
        <is>
          <t>N/A — not a one-to-many numeric field</t>
        </is>
      </c>
      <c r="L241" s="8" t="inlineStr">
        <is>
          <t>GRC / Risk Register (ServiceNow Risk, RSA Archer, LogicGate)</t>
        </is>
      </c>
      <c r="M241" s="8" t="inlineStr">
        <is>
          <t>CIL Architecture Team</t>
        </is>
      </c>
      <c r="N241" s="8" t="inlineStr">
        <is>
          <t>2026-06-23</t>
        </is>
      </c>
      <c r="O241" s="8" t="inlineStr">
        <is>
          <t>CorpStage CIL Registry v2.1</t>
        </is>
      </c>
      <c r="P241" s="8" t="inlineStr">
        <is>
          <t>Company, Group (collected per legal entity, not below Company level)</t>
        </is>
      </c>
      <c r="Q241" s="8" t="inlineStr">
        <is>
          <t>Global</t>
        </is>
      </c>
      <c r="R241" s="8" t="inlineStr">
        <is>
          <t>Tier 1 (Standard) — available to all frameworks and all customers</t>
        </is>
      </c>
      <c r="S241" s="8" t="inlineStr">
        <is>
          <t>Owned by Risk Intelligence per Binding 6(b) — captures the RISK-MITIGATION view (contingency, watch status), distinct from Domain 1 Enterprise Intelligence's CDE-115 (Top Customer Revenue Concentration %), which captures the underlying concentration FACT. Domain 1 must reference this CDE for risk-response context, not duplicate it.</t>
        </is>
      </c>
    </row>
    <row r="242" ht="15" customHeight="1" s="6">
      <c r="A242" s="8" t="inlineStr">
        <is>
          <t>CDE-R241</t>
        </is>
      </c>
      <c r="B242" s="8" t="inlineStr">
        <is>
          <t>Customer Bankruptcy Watch Status</t>
        </is>
      </c>
      <c r="C242" s="8" t="inlineStr">
        <is>
          <t>Boolean</t>
        </is>
      </c>
      <c r="D242" s="8" t="inlineStr">
        <is>
          <t>Required</t>
        </is>
      </c>
      <c r="E242" s="8" t="inlineStr">
        <is>
          <t>Multi</t>
        </is>
      </c>
      <c r="F242" s="8" t="inlineStr">
        <is>
          <t>P1</t>
        </is>
      </c>
      <c r="G242" s="8" t="inlineStr">
        <is>
          <t>True/False/Unknown (tri-state)</t>
        </is>
      </c>
      <c r="H242" s="8" t="inlineStr">
        <is>
          <t>TYPE:BOOLEAN|ALLOWED:TRUE,FALSE,UNKNOWN</t>
        </is>
      </c>
      <c r="I242" s="8" t="inlineStr">
        <is>
          <t>Effective-dated</t>
        </is>
      </c>
      <c r="J242" s="8" t="inlineStr">
        <is>
          <t>One-to-many</t>
        </is>
      </c>
      <c r="K242" s="8" t="inlineStr">
        <is>
          <t>N/A — not a one-to-many numeric field</t>
        </is>
      </c>
      <c r="L242" s="8" t="inlineStr">
        <is>
          <t>GRC / Risk Register (ServiceNow Risk, RSA Archer, LogicGate)</t>
        </is>
      </c>
      <c r="M242" s="8" t="inlineStr">
        <is>
          <t>CIL Architecture Team</t>
        </is>
      </c>
      <c r="N242" s="8" t="inlineStr">
        <is>
          <t>2026-06-23</t>
        </is>
      </c>
      <c r="O242" s="8" t="inlineStr">
        <is>
          <t>CorpStage CIL Registry v2.1</t>
        </is>
      </c>
      <c r="P242" s="8" t="inlineStr">
        <is>
          <t>Company, Group (collected per legal entity, not below Company level)</t>
        </is>
      </c>
      <c r="Q242" s="8" t="inlineStr">
        <is>
          <t>Global</t>
        </is>
      </c>
      <c r="R242" s="8" t="inlineStr">
        <is>
          <t>Tier 1 (Standard) — available to all frameworks and all customers</t>
        </is>
      </c>
      <c r="S242" s="8" t="inlineStr">
        <is>
          <t>Owned by Risk Intelligence per Binding 6(b) — captures the RISK-MITIGATION view (contingency, watch status), distinct from Domain 1 Enterprise Intelligence's CDE-115 (Top Customer Revenue Concentration %), which captures the underlying concentration FACT. Domain 1 must reference this CDE for risk-response context, not duplicate it.</t>
        </is>
      </c>
    </row>
    <row r="243" ht="15" customHeight="1" s="6">
      <c r="A243" s="8" t="inlineStr">
        <is>
          <t>CDE-R242</t>
        </is>
      </c>
      <c r="B243" s="8" t="inlineStr">
        <is>
          <t>ESG Investor Concern Level</t>
        </is>
      </c>
      <c r="C243" s="8" t="inlineStr">
        <is>
          <t>Text</t>
        </is>
      </c>
      <c r="D243" s="8" t="inlineStr">
        <is>
          <t>Recommended</t>
        </is>
      </c>
      <c r="E243" s="8" t="inlineStr">
        <is>
          <t>Optional</t>
        </is>
      </c>
      <c r="F243" s="8" t="inlineStr">
        <is>
          <t>P2</t>
        </is>
      </c>
      <c r="G243" s="8" t="inlineStr">
        <is>
          <t>High/Medium/Low</t>
        </is>
      </c>
      <c r="H243" s="8" t="inlineStr">
        <is>
          <t>TYPE:ENUM|ALLOWED:HIGH,MEDIUM,LOW</t>
        </is>
      </c>
      <c r="I243" s="8" t="inlineStr">
        <is>
          <t>Effective-dated</t>
        </is>
      </c>
      <c r="J243" s="8" t="inlineStr">
        <is>
          <t>One-to-one</t>
        </is>
      </c>
      <c r="K243" s="8" t="inlineStr">
        <is>
          <t>N/A — not a one-to-many numeric field</t>
        </is>
      </c>
      <c r="L243" s="8" t="inlineStr">
        <is>
          <t>User Validation</t>
        </is>
      </c>
      <c r="M243" s="8" t="inlineStr">
        <is>
          <t>CIL Architecture Team</t>
        </is>
      </c>
      <c r="N243" s="8" t="inlineStr">
        <is>
          <t>2026-06-23</t>
        </is>
      </c>
      <c r="O243" s="8" t="inlineStr">
        <is>
          <t>CorpStage CIL Registry v2.1</t>
        </is>
      </c>
      <c r="P243" s="8" t="inlineStr">
        <is>
          <t>Group only (single enterprise-wide fact, does not repeat per node)</t>
        </is>
      </c>
      <c r="Q243" s="8" t="inlineStr">
        <is>
          <t>Global</t>
        </is>
      </c>
      <c r="R243" s="8" t="inlineStr">
        <is>
          <t>Tier 1 (Standard) — available to all frameworks and all customers</t>
        </is>
      </c>
      <c r="S243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44" ht="15" customHeight="1" s="6">
      <c r="A244" s="8" t="inlineStr">
        <is>
          <t>CDE-R243</t>
        </is>
      </c>
      <c r="B244" s="8" t="inlineStr">
        <is>
          <t>Proxy Advisor Risk Flag</t>
        </is>
      </c>
      <c r="C244" s="8" t="inlineStr">
        <is>
          <t>Boolean</t>
        </is>
      </c>
      <c r="D244" s="8" t="inlineStr">
        <is>
          <t>Recommended</t>
        </is>
      </c>
      <c r="E244" s="8" t="inlineStr">
        <is>
          <t>Optional</t>
        </is>
      </c>
      <c r="F244" s="8" t="inlineStr">
        <is>
          <t>P2</t>
        </is>
      </c>
      <c r="G244" s="8" t="inlineStr">
        <is>
          <t>True/False/Unknown (tri-state)</t>
        </is>
      </c>
      <c r="H244" s="8" t="inlineStr">
        <is>
          <t>TYPE:BOOLEAN|ALLOWED:TRUE,FALSE,UNKNOWN</t>
        </is>
      </c>
      <c r="I244" s="8" t="inlineStr">
        <is>
          <t>Effective-dated</t>
        </is>
      </c>
      <c r="J244" s="8" t="inlineStr">
        <is>
          <t>One-to-one</t>
        </is>
      </c>
      <c r="K244" s="8" t="inlineStr">
        <is>
          <t>N/A — not a one-to-many numeric field</t>
        </is>
      </c>
      <c r="L244" s="8" t="inlineStr">
        <is>
          <t>User Validation</t>
        </is>
      </c>
      <c r="M244" s="8" t="inlineStr">
        <is>
          <t>CIL Architecture Team</t>
        </is>
      </c>
      <c r="N244" s="8" t="inlineStr">
        <is>
          <t>2026-06-23</t>
        </is>
      </c>
      <c r="O244" s="8" t="inlineStr">
        <is>
          <t>CorpStage CIL Registry v2.1</t>
        </is>
      </c>
      <c r="P244" s="8" t="inlineStr">
        <is>
          <t>Group only (single enterprise-wide fact, does not repeat per node)</t>
        </is>
      </c>
      <c r="Q244" s="8" t="inlineStr">
        <is>
          <t>Global</t>
        </is>
      </c>
      <c r="R244" s="8" t="inlineStr">
        <is>
          <t>Tier 1 (Standard) — available to all frameworks and all customers</t>
        </is>
      </c>
      <c r="S244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45" ht="15" customHeight="1" s="6">
      <c r="A245" s="8" t="inlineStr">
        <is>
          <t>CDE-R244</t>
        </is>
      </c>
      <c r="B245" s="8" t="inlineStr">
        <is>
          <t>Institutional Investor Governance Objection Count</t>
        </is>
      </c>
      <c r="C245" s="8" t="inlineStr">
        <is>
          <t>Numeric</t>
        </is>
      </c>
      <c r="D245" s="8" t="inlineStr">
        <is>
          <t>Recommended</t>
        </is>
      </c>
      <c r="E245" s="8" t="inlineStr">
        <is>
          <t>Optional</t>
        </is>
      </c>
      <c r="F245" s="8" t="inlineStr">
        <is>
          <t>P2</t>
        </is>
      </c>
      <c r="G245" s="8" t="inlineStr">
        <is>
          <t>&gt;=0, integer</t>
        </is>
      </c>
      <c r="H245" s="8" t="inlineStr">
        <is>
          <t>TYPE:INTEGER|MIN:0</t>
        </is>
      </c>
      <c r="I245" s="8" t="inlineStr">
        <is>
          <t>Effective-dated</t>
        </is>
      </c>
      <c r="J245" s="8" t="inlineStr">
        <is>
          <t>One-to-one</t>
        </is>
      </c>
      <c r="K245" s="8" t="inlineStr">
        <is>
          <t>N/A — not a one-to-many numeric field</t>
        </is>
      </c>
      <c r="L245" s="8" t="inlineStr">
        <is>
          <t>User Validation</t>
        </is>
      </c>
      <c r="M245" s="8" t="inlineStr">
        <is>
          <t>CIL Architecture Team</t>
        </is>
      </c>
      <c r="N245" s="8" t="inlineStr">
        <is>
          <t>2026-06-23</t>
        </is>
      </c>
      <c r="O245" s="8" t="inlineStr">
        <is>
          <t>CorpStage CIL Registry v2.1</t>
        </is>
      </c>
      <c r="P245" s="8" t="inlineStr">
        <is>
          <t>Group only (single enterprise-wide fact, does not repeat per node)</t>
        </is>
      </c>
      <c r="Q245" s="8" t="inlineStr">
        <is>
          <t>Global</t>
        </is>
      </c>
      <c r="R245" s="8" t="inlineStr">
        <is>
          <t>Tier 1 (Standard) — available to all frameworks and all customers</t>
        </is>
      </c>
      <c r="S245" s="8" t="inlineStr">
        <is>
          <t>Owned by D04 Risk Intelligence as an enterprise risk intelligence fact. Legal risk outcomes from risk events owned by D08. D04 owns the risk identification and quantification intelligence; D08 owns the legal disputes that materialise from risk failures.</t>
        </is>
      </c>
    </row>
    <row r="246" ht="15" customHeight="1" s="6">
      <c r="A246" s="8" t="inlineStr">
        <is>
          <t>CDE-R245</t>
        </is>
      </c>
      <c r="B246" s="8" t="inlineStr">
        <is>
          <t>Critical Customer Failure Impact Estimate</t>
        </is>
      </c>
      <c r="C246" s="8" t="inlineStr">
        <is>
          <t>Numeric</t>
        </is>
      </c>
      <c r="D246" s="8" t="inlineStr">
        <is>
          <t>Required</t>
        </is>
      </c>
      <c r="E246" s="8" t="inlineStr">
        <is>
          <t>Multi</t>
        </is>
      </c>
      <c r="F246" s="8" t="inlineStr">
        <is>
          <t>P1</t>
        </is>
      </c>
      <c r="G246" s="8" t="inlineStr">
        <is>
          <t>&gt;=0, numeric</t>
        </is>
      </c>
      <c r="H246" s="8" t="inlineStr">
        <is>
          <t>TYPE:NUMERIC|MIN:0</t>
        </is>
      </c>
      <c r="I246" s="8" t="inlineStr">
        <is>
          <t>Effective-dated</t>
        </is>
      </c>
      <c r="J246" s="8" t="inlineStr">
        <is>
          <t>One-to-many</t>
        </is>
      </c>
      <c r="K246" s="8" t="inlineStr">
        <is>
          <t>Independent per customer; not aggregated across different customers</t>
        </is>
      </c>
      <c r="L246" s="8" t="inlineStr">
        <is>
          <t>Finance / ERP System (SAP S/4HANA, Oracle Fusion, NetSuite)</t>
        </is>
      </c>
      <c r="M246" s="8" t="inlineStr">
        <is>
          <t>CIL Architecture Team</t>
        </is>
      </c>
      <c r="N246" s="8" t="inlineStr">
        <is>
          <t>2026-06-23</t>
        </is>
      </c>
      <c r="O246" s="8" t="inlineStr">
        <is>
          <t>CorpStage CIL Registry v2.1</t>
        </is>
      </c>
      <c r="P246" s="8" t="inlineStr">
        <is>
          <t>Company, Group (collected per legal entity, not below Company level)</t>
        </is>
      </c>
      <c r="Q246" s="8" t="inlineStr">
        <is>
          <t>Global</t>
        </is>
      </c>
      <c r="R246" s="8" t="inlineStr">
        <is>
          <t>Tier 1 (Standard) — available to all frameworks and all customers</t>
        </is>
      </c>
      <c r="S246" s="8" t="inlineStr">
        <is>
          <t>Owned by Risk Intelligence per Binding 6(b) — captures the RISK-MITIGATION view (contingency, watch status), distinct from Domain 1 Enterprise Intelligence's CDE-115 (Top Customer Revenue Concentration %), which captures the underlying concentration FACT. Domain 1 must reference this CDE for risk-response context, not duplicate it.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" min="1" max="1"/>
    <col width="11" customWidth="1" style="5" min="2" max="2"/>
  </cols>
  <sheetData>
    <row r="1" ht="15" customHeight="1" s="6">
      <c r="A1" s="7" t="inlineStr">
        <is>
          <t>BQ ID</t>
        </is>
      </c>
      <c r="B1" s="7" t="inlineStr">
        <is>
          <t>CDE ID</t>
        </is>
      </c>
    </row>
    <row r="2" ht="15" customHeight="1" s="6">
      <c r="A2" s="8" t="inlineStr">
        <is>
          <t>RI-GOV-001</t>
        </is>
      </c>
      <c r="B2" s="8" t="inlineStr">
        <is>
          <t>CDE-R001</t>
        </is>
      </c>
    </row>
    <row r="3" ht="15" customHeight="1" s="6">
      <c r="A3" s="8" t="inlineStr">
        <is>
          <t>RI-GOV-001</t>
        </is>
      </c>
      <c r="B3" s="8" t="inlineStr">
        <is>
          <t>CDE-R002</t>
        </is>
      </c>
    </row>
    <row r="4" ht="15" customHeight="1" s="6">
      <c r="A4" s="8" t="inlineStr">
        <is>
          <t>RI-GOV-001</t>
        </is>
      </c>
      <c r="B4" s="8" t="inlineStr">
        <is>
          <t>CDE-R003</t>
        </is>
      </c>
    </row>
    <row r="5" ht="15" customHeight="1" s="6">
      <c r="A5" s="8" t="inlineStr">
        <is>
          <t>RI-GOV-001</t>
        </is>
      </c>
      <c r="B5" s="8" t="inlineStr">
        <is>
          <t>CDE-R004</t>
        </is>
      </c>
    </row>
    <row r="6" ht="15" customHeight="1" s="6">
      <c r="A6" s="8" t="inlineStr">
        <is>
          <t>RI-GOV-002</t>
        </is>
      </c>
      <c r="B6" s="8" t="inlineStr">
        <is>
          <t>CDE-R005</t>
        </is>
      </c>
    </row>
    <row r="7" ht="15" customHeight="1" s="6">
      <c r="A7" s="8" t="inlineStr">
        <is>
          <t>RI-GOV-002</t>
        </is>
      </c>
      <c r="B7" s="8" t="inlineStr">
        <is>
          <t>CDE-R006</t>
        </is>
      </c>
    </row>
    <row r="8" ht="15" customHeight="1" s="6">
      <c r="A8" s="8" t="inlineStr">
        <is>
          <t>RI-GOV-002</t>
        </is>
      </c>
      <c r="B8" s="8" t="inlineStr">
        <is>
          <t>CDE-R007</t>
        </is>
      </c>
    </row>
    <row r="9" ht="15" customHeight="1" s="6">
      <c r="A9" s="8" t="inlineStr">
        <is>
          <t>RI-GOV-002</t>
        </is>
      </c>
      <c r="B9" s="8" t="inlineStr">
        <is>
          <t>CDE-R008</t>
        </is>
      </c>
    </row>
    <row r="10" ht="15" customHeight="1" s="6">
      <c r="A10" s="8" t="inlineStr">
        <is>
          <t>RI-GOV-003</t>
        </is>
      </c>
      <c r="B10" s="8" t="inlineStr">
        <is>
          <t>CDE-R009</t>
        </is>
      </c>
    </row>
    <row r="11" ht="15" customHeight="1" s="6">
      <c r="A11" s="8" t="inlineStr">
        <is>
          <t>RI-GOV-003</t>
        </is>
      </c>
      <c r="B11" s="8" t="inlineStr">
        <is>
          <t>CDE-R010</t>
        </is>
      </c>
    </row>
    <row r="12" ht="15" customHeight="1" s="6">
      <c r="A12" s="8" t="inlineStr">
        <is>
          <t>RI-GOV-003</t>
        </is>
      </c>
      <c r="B12" s="8" t="inlineStr">
        <is>
          <t>CDE-R011</t>
        </is>
      </c>
    </row>
    <row r="13" ht="15" customHeight="1" s="6">
      <c r="A13" s="8" t="inlineStr">
        <is>
          <t>RI-GOV-004</t>
        </is>
      </c>
      <c r="B13" s="8" t="inlineStr">
        <is>
          <t>CDE-R012</t>
        </is>
      </c>
    </row>
    <row r="14" ht="15" customHeight="1" s="6">
      <c r="A14" s="8" t="inlineStr">
        <is>
          <t>RI-GOV-004</t>
        </is>
      </c>
      <c r="B14" s="8" t="inlineStr">
        <is>
          <t>CDE-R013</t>
        </is>
      </c>
    </row>
    <row r="15" ht="15" customHeight="1" s="6">
      <c r="A15" s="8" t="inlineStr">
        <is>
          <t>RI-GOV-004</t>
        </is>
      </c>
      <c r="B15" s="8" t="inlineStr">
        <is>
          <t>CDE-R014</t>
        </is>
      </c>
    </row>
    <row r="16" ht="15" customHeight="1" s="6">
      <c r="A16" s="8" t="inlineStr">
        <is>
          <t>RI-GOV-005</t>
        </is>
      </c>
      <c r="B16" s="8" t="inlineStr">
        <is>
          <t>CDE-R015</t>
        </is>
      </c>
    </row>
    <row r="17" ht="15" customHeight="1" s="6">
      <c r="A17" s="8" t="inlineStr">
        <is>
          <t>RI-GOV-005</t>
        </is>
      </c>
      <c r="B17" s="8" t="inlineStr">
        <is>
          <t>CDE-R016</t>
        </is>
      </c>
    </row>
    <row r="18" ht="15" customHeight="1" s="6">
      <c r="A18" s="8" t="inlineStr">
        <is>
          <t>RI-GOV-005</t>
        </is>
      </c>
      <c r="B18" s="8" t="inlineStr">
        <is>
          <t>CDE-R017</t>
        </is>
      </c>
    </row>
    <row r="19" ht="15" customHeight="1" s="6">
      <c r="A19" s="8" t="inlineStr">
        <is>
          <t>RI-GOV-006</t>
        </is>
      </c>
      <c r="B19" s="8" t="inlineStr">
        <is>
          <t>CDE-R018</t>
        </is>
      </c>
    </row>
    <row r="20" ht="15" customHeight="1" s="6">
      <c r="A20" s="8" t="inlineStr">
        <is>
          <t>RI-GOV-006</t>
        </is>
      </c>
      <c r="B20" s="8" t="inlineStr">
        <is>
          <t>CDE-R019</t>
        </is>
      </c>
    </row>
    <row r="21" ht="15" customHeight="1" s="6">
      <c r="A21" s="8" t="inlineStr">
        <is>
          <t>RI-GOV-006</t>
        </is>
      </c>
      <c r="B21" s="8" t="inlineStr">
        <is>
          <t>CDE-R020</t>
        </is>
      </c>
    </row>
    <row r="22" ht="15" customHeight="1" s="6">
      <c r="A22" s="8" t="inlineStr">
        <is>
          <t>RI-TAX-001</t>
        </is>
      </c>
      <c r="B22" s="8" t="inlineStr">
        <is>
          <t>CDE-R021</t>
        </is>
      </c>
    </row>
    <row r="23" ht="15" customHeight="1" s="6">
      <c r="A23" s="8" t="inlineStr">
        <is>
          <t>RI-TAX-001</t>
        </is>
      </c>
      <c r="B23" s="8" t="inlineStr">
        <is>
          <t>CDE-R022</t>
        </is>
      </c>
    </row>
    <row r="24" ht="15" customHeight="1" s="6">
      <c r="A24" s="8" t="inlineStr">
        <is>
          <t>RI-TAX-001</t>
        </is>
      </c>
      <c r="B24" s="8" t="inlineStr">
        <is>
          <t>CDE-R023</t>
        </is>
      </c>
    </row>
    <row r="25" ht="15" customHeight="1" s="6">
      <c r="A25" s="8" t="inlineStr">
        <is>
          <t>RI-TAX-002</t>
        </is>
      </c>
      <c r="B25" s="8" t="inlineStr">
        <is>
          <t>CDE-R024</t>
        </is>
      </c>
    </row>
    <row r="26" ht="15" customHeight="1" s="6">
      <c r="A26" s="8" t="inlineStr">
        <is>
          <t>RI-TAX-002</t>
        </is>
      </c>
      <c r="B26" s="8" t="inlineStr">
        <is>
          <t>CDE-R025</t>
        </is>
      </c>
    </row>
    <row r="27" ht="15" customHeight="1" s="6">
      <c r="A27" s="8" t="inlineStr">
        <is>
          <t>RI-TAX-002</t>
        </is>
      </c>
      <c r="B27" s="8" t="inlineStr">
        <is>
          <t>CDE-R026</t>
        </is>
      </c>
    </row>
    <row r="28" ht="15" customHeight="1" s="6">
      <c r="A28" s="8" t="inlineStr">
        <is>
          <t>RI-TAX-003</t>
        </is>
      </c>
      <c r="B28" s="8" t="inlineStr">
        <is>
          <t>CDE-R027</t>
        </is>
      </c>
    </row>
    <row r="29" ht="15" customHeight="1" s="6">
      <c r="A29" s="8" t="inlineStr">
        <is>
          <t>RI-TAX-003</t>
        </is>
      </c>
      <c r="B29" s="8" t="inlineStr">
        <is>
          <t>CDE-R028</t>
        </is>
      </c>
    </row>
    <row r="30" ht="15" customHeight="1" s="6">
      <c r="A30" s="8" t="inlineStr">
        <is>
          <t>RI-TAX-003</t>
        </is>
      </c>
      <c r="B30" s="8" t="inlineStr">
        <is>
          <t>CDE-R029</t>
        </is>
      </c>
    </row>
    <row r="31" ht="15" customHeight="1" s="6">
      <c r="A31" s="8" t="inlineStr">
        <is>
          <t>RI-TAX-004</t>
        </is>
      </c>
      <c r="B31" s="8" t="inlineStr">
        <is>
          <t>CDE-R030</t>
        </is>
      </c>
    </row>
    <row r="32" ht="15" customHeight="1" s="6">
      <c r="A32" s="8" t="inlineStr">
        <is>
          <t>RI-TAX-004</t>
        </is>
      </c>
      <c r="B32" s="8" t="inlineStr">
        <is>
          <t>CDE-R031</t>
        </is>
      </c>
    </row>
    <row r="33" ht="15" customHeight="1" s="6">
      <c r="A33" s="8" t="inlineStr">
        <is>
          <t>RI-TAX-005</t>
        </is>
      </c>
      <c r="B33" s="8" t="inlineStr">
        <is>
          <t>CDE-R032</t>
        </is>
      </c>
    </row>
    <row r="34" ht="15" customHeight="1" s="6">
      <c r="A34" s="8" t="inlineStr">
        <is>
          <t>RI-TAX-005</t>
        </is>
      </c>
      <c r="B34" s="8" t="inlineStr">
        <is>
          <t>CDE-R033</t>
        </is>
      </c>
    </row>
    <row r="35" ht="15" customHeight="1" s="6">
      <c r="A35" s="8" t="inlineStr">
        <is>
          <t>RI-APP-001</t>
        </is>
      </c>
      <c r="B35" s="8" t="inlineStr">
        <is>
          <t>CDE-R034</t>
        </is>
      </c>
    </row>
    <row r="36" ht="15" customHeight="1" s="6">
      <c r="A36" s="8" t="inlineStr">
        <is>
          <t>RI-APP-001</t>
        </is>
      </c>
      <c r="B36" s="8" t="inlineStr">
        <is>
          <t>CDE-R035</t>
        </is>
      </c>
    </row>
    <row r="37" ht="15" customHeight="1" s="6">
      <c r="A37" s="8" t="inlineStr">
        <is>
          <t>RI-APP-001</t>
        </is>
      </c>
      <c r="B37" s="8" t="inlineStr">
        <is>
          <t>CDE-R036</t>
        </is>
      </c>
    </row>
    <row r="38" ht="15" customHeight="1" s="6">
      <c r="A38" s="8" t="inlineStr">
        <is>
          <t>RI-APP-002</t>
        </is>
      </c>
      <c r="B38" s="8" t="inlineStr">
        <is>
          <t>CDE-R037</t>
        </is>
      </c>
    </row>
    <row r="39" ht="15" customHeight="1" s="6">
      <c r="A39" s="8" t="inlineStr">
        <is>
          <t>RI-APP-002</t>
        </is>
      </c>
      <c r="B39" s="8" t="inlineStr">
        <is>
          <t>CDE-R038</t>
        </is>
      </c>
    </row>
    <row r="40" ht="15" customHeight="1" s="6">
      <c r="A40" s="8" t="inlineStr">
        <is>
          <t>RI-APP-002</t>
        </is>
      </c>
      <c r="B40" s="8" t="inlineStr">
        <is>
          <t>CDE-R039</t>
        </is>
      </c>
    </row>
    <row r="41" ht="15" customHeight="1" s="6">
      <c r="A41" s="8" t="inlineStr">
        <is>
          <t>RI-APP-003</t>
        </is>
      </c>
      <c r="B41" s="8" t="inlineStr">
        <is>
          <t>CDE-R040</t>
        </is>
      </c>
    </row>
    <row r="42" ht="15" customHeight="1" s="6">
      <c r="A42" s="8" t="inlineStr">
        <is>
          <t>RI-APP-003</t>
        </is>
      </c>
      <c r="B42" s="8" t="inlineStr">
        <is>
          <t>CDE-R041</t>
        </is>
      </c>
    </row>
    <row r="43" ht="15" customHeight="1" s="6">
      <c r="A43" s="8" t="inlineStr">
        <is>
          <t>RI-APP-003</t>
        </is>
      </c>
      <c r="B43" s="8" t="inlineStr">
        <is>
          <t>CDE-R042</t>
        </is>
      </c>
    </row>
    <row r="44" ht="15" customHeight="1" s="6">
      <c r="A44" s="8" t="inlineStr">
        <is>
          <t>RI-APP-004</t>
        </is>
      </c>
      <c r="B44" s="8" t="inlineStr">
        <is>
          <t>CDE-R043</t>
        </is>
      </c>
    </row>
    <row r="45" ht="15" customHeight="1" s="6">
      <c r="A45" s="8" t="inlineStr">
        <is>
          <t>RI-APP-004</t>
        </is>
      </c>
      <c r="B45" s="8" t="inlineStr">
        <is>
          <t>CDE-R044</t>
        </is>
      </c>
    </row>
    <row r="46" ht="15" customHeight="1" s="6">
      <c r="A46" s="8" t="inlineStr">
        <is>
          <t>RI-APP-004</t>
        </is>
      </c>
      <c r="B46" s="8" t="inlineStr">
        <is>
          <t>CDE-R045</t>
        </is>
      </c>
    </row>
    <row r="47" ht="15" customHeight="1" s="6">
      <c r="A47" s="8" t="inlineStr">
        <is>
          <t>RI-APP-005</t>
        </is>
      </c>
      <c r="B47" s="8" t="inlineStr">
        <is>
          <t>CDE-R046</t>
        </is>
      </c>
    </row>
    <row r="48" ht="15" customHeight="1" s="6">
      <c r="A48" s="8" t="inlineStr">
        <is>
          <t>RI-APP-005</t>
        </is>
      </c>
      <c r="B48" s="8" t="inlineStr">
        <is>
          <t>CDE-R047</t>
        </is>
      </c>
    </row>
    <row r="49" ht="15" customHeight="1" s="6">
      <c r="A49" s="8" t="inlineStr">
        <is>
          <t>RI-QNT-001</t>
        </is>
      </c>
      <c r="B49" s="8" t="inlineStr">
        <is>
          <t>CDE-R048</t>
        </is>
      </c>
    </row>
    <row r="50" ht="15" customHeight="1" s="6">
      <c r="A50" s="8" t="inlineStr">
        <is>
          <t>RI-QNT-001</t>
        </is>
      </c>
      <c r="B50" s="8" t="inlineStr">
        <is>
          <t>CDE-R049</t>
        </is>
      </c>
    </row>
    <row r="51" ht="15" customHeight="1" s="6">
      <c r="A51" s="8" t="inlineStr">
        <is>
          <t>RI-QNT-001</t>
        </is>
      </c>
      <c r="B51" s="8" t="inlineStr">
        <is>
          <t>CDE-R050</t>
        </is>
      </c>
    </row>
    <row r="52" ht="15" customHeight="1" s="6">
      <c r="A52" s="8" t="inlineStr">
        <is>
          <t>RI-QNT-002</t>
        </is>
      </c>
      <c r="B52" s="8" t="inlineStr">
        <is>
          <t>CDE-R051</t>
        </is>
      </c>
    </row>
    <row r="53" ht="15" customHeight="1" s="6">
      <c r="A53" s="8" t="inlineStr">
        <is>
          <t>RI-QNT-002</t>
        </is>
      </c>
      <c r="B53" s="8" t="inlineStr">
        <is>
          <t>CDE-R052</t>
        </is>
      </c>
    </row>
    <row r="54" ht="15" customHeight="1" s="6">
      <c r="A54" s="8" t="inlineStr">
        <is>
          <t>RI-QNT-002</t>
        </is>
      </c>
      <c r="B54" s="8" t="inlineStr">
        <is>
          <t>CDE-R053</t>
        </is>
      </c>
    </row>
    <row r="55" ht="15" customHeight="1" s="6">
      <c r="A55" s="8" t="inlineStr">
        <is>
          <t>RI-QNT-003</t>
        </is>
      </c>
      <c r="B55" s="8" t="inlineStr">
        <is>
          <t>CDE-R054</t>
        </is>
      </c>
    </row>
    <row r="56" ht="15" customHeight="1" s="6">
      <c r="A56" s="8" t="inlineStr">
        <is>
          <t>RI-QNT-003</t>
        </is>
      </c>
      <c r="B56" s="8" t="inlineStr">
        <is>
          <t>CDE-R055</t>
        </is>
      </c>
    </row>
    <row r="57" ht="15" customHeight="1" s="6">
      <c r="A57" s="8" t="inlineStr">
        <is>
          <t>RI-QNT-003</t>
        </is>
      </c>
      <c r="B57" s="8" t="inlineStr">
        <is>
          <t>CDE-R056</t>
        </is>
      </c>
    </row>
    <row r="58" ht="15" customHeight="1" s="6">
      <c r="A58" s="8" t="inlineStr">
        <is>
          <t>RI-QNT-004</t>
        </is>
      </c>
      <c r="B58" s="8" t="inlineStr">
        <is>
          <t>CDE-R057</t>
        </is>
      </c>
    </row>
    <row r="59" ht="15" customHeight="1" s="6">
      <c r="A59" s="8" t="inlineStr">
        <is>
          <t>RI-QNT-004</t>
        </is>
      </c>
      <c r="B59" s="8" t="inlineStr">
        <is>
          <t>CDE-R058</t>
        </is>
      </c>
    </row>
    <row r="60" ht="15" customHeight="1" s="6">
      <c r="A60" s="8" t="inlineStr">
        <is>
          <t>RI-QNT-005</t>
        </is>
      </c>
      <c r="B60" s="8" t="inlineStr">
        <is>
          <t>CDE-R059</t>
        </is>
      </c>
    </row>
    <row r="61" ht="15" customHeight="1" s="6">
      <c r="A61" s="8" t="inlineStr">
        <is>
          <t>RI-QNT-005</t>
        </is>
      </c>
      <c r="B61" s="8" t="inlineStr">
        <is>
          <t>CDE-R060</t>
        </is>
      </c>
    </row>
    <row r="62" ht="15" customHeight="1" s="6">
      <c r="A62" s="8" t="inlineStr">
        <is>
          <t>RI-QNT-006</t>
        </is>
      </c>
      <c r="B62" s="8" t="inlineStr">
        <is>
          <t>CDE-R061</t>
        </is>
      </c>
    </row>
    <row r="63" ht="15" customHeight="1" s="6">
      <c r="A63" s="8" t="inlineStr">
        <is>
          <t>RI-QNT-006</t>
        </is>
      </c>
      <c r="B63" s="8" t="inlineStr">
        <is>
          <t>CDE-R062</t>
        </is>
      </c>
    </row>
    <row r="64" ht="15" customHeight="1" s="6">
      <c r="A64" s="8" t="inlineStr">
        <is>
          <t>RI-FIN-001</t>
        </is>
      </c>
      <c r="B64" s="8" t="inlineStr">
        <is>
          <t>CDE-R063</t>
        </is>
      </c>
    </row>
    <row r="65" ht="15" customHeight="1" s="6">
      <c r="A65" s="8" t="inlineStr">
        <is>
          <t>RI-FIN-001</t>
        </is>
      </c>
      <c r="B65" s="8" t="inlineStr">
        <is>
          <t>CDE-R064</t>
        </is>
      </c>
    </row>
    <row r="66" ht="15" customHeight="1" s="6">
      <c r="A66" s="8" t="inlineStr">
        <is>
          <t>RI-FIN-001</t>
        </is>
      </c>
      <c r="B66" s="8" t="inlineStr">
        <is>
          <t>CDE-R065</t>
        </is>
      </c>
    </row>
    <row r="67" ht="15" customHeight="1" s="6">
      <c r="A67" s="8" t="inlineStr">
        <is>
          <t>RI-FIN-002</t>
        </is>
      </c>
      <c r="B67" s="8" t="inlineStr">
        <is>
          <t>CDE-R066</t>
        </is>
      </c>
    </row>
    <row r="68" ht="15" customHeight="1" s="6">
      <c r="A68" s="8" t="inlineStr">
        <is>
          <t>RI-FIN-002</t>
        </is>
      </c>
      <c r="B68" s="8" t="inlineStr">
        <is>
          <t>CDE-R067</t>
        </is>
      </c>
    </row>
    <row r="69" ht="15" customHeight="1" s="6">
      <c r="A69" s="8" t="inlineStr">
        <is>
          <t>RI-FIN-002</t>
        </is>
      </c>
      <c r="B69" s="8" t="inlineStr">
        <is>
          <t>CDE-R068</t>
        </is>
      </c>
    </row>
    <row r="70" ht="15" customHeight="1" s="6">
      <c r="A70" s="8" t="inlineStr">
        <is>
          <t>RI-FIN-003</t>
        </is>
      </c>
      <c r="B70" s="8" t="inlineStr">
        <is>
          <t>CDE-R069</t>
        </is>
      </c>
    </row>
    <row r="71" ht="15" customHeight="1" s="6">
      <c r="A71" s="8" t="inlineStr">
        <is>
          <t>RI-FIN-003</t>
        </is>
      </c>
      <c r="B71" s="8" t="inlineStr">
        <is>
          <t>CDE-R070</t>
        </is>
      </c>
    </row>
    <row r="72" ht="15" customHeight="1" s="6">
      <c r="A72" s="8" t="inlineStr">
        <is>
          <t>RI-FIN-004</t>
        </is>
      </c>
      <c r="B72" s="8" t="inlineStr">
        <is>
          <t>CDE-R071</t>
        </is>
      </c>
    </row>
    <row r="73" ht="15" customHeight="1" s="6">
      <c r="A73" s="8" t="inlineStr">
        <is>
          <t>RI-FIN-004</t>
        </is>
      </c>
      <c r="B73" s="8" t="inlineStr">
        <is>
          <t>CDE-R072</t>
        </is>
      </c>
    </row>
    <row r="74" ht="15" customHeight="1" s="6">
      <c r="A74" s="8" t="inlineStr">
        <is>
          <t>RI-FIN-005</t>
        </is>
      </c>
      <c r="B74" s="8" t="inlineStr">
        <is>
          <t>CDE-R073</t>
        </is>
      </c>
    </row>
    <row r="75" ht="15" customHeight="1" s="6">
      <c r="A75" s="8" t="inlineStr">
        <is>
          <t>RI-FIN-005</t>
        </is>
      </c>
      <c r="B75" s="8" t="inlineStr">
        <is>
          <t>CDE-R074</t>
        </is>
      </c>
    </row>
    <row r="76" ht="15" customHeight="1" s="6">
      <c r="A76" s="8" t="inlineStr">
        <is>
          <t>RI-OPS-001</t>
        </is>
      </c>
      <c r="B76" s="8" t="inlineStr">
        <is>
          <t>CDE-R075</t>
        </is>
      </c>
    </row>
    <row r="77" ht="15" customHeight="1" s="6">
      <c r="A77" s="8" t="inlineStr">
        <is>
          <t>RI-OPS-001</t>
        </is>
      </c>
      <c r="B77" s="8" t="inlineStr">
        <is>
          <t>CDE-R076</t>
        </is>
      </c>
    </row>
    <row r="78" ht="15" customHeight="1" s="6">
      <c r="A78" s="8" t="inlineStr">
        <is>
          <t>RI-OPS-001</t>
        </is>
      </c>
      <c r="B78" s="8" t="inlineStr">
        <is>
          <t>CDE-R077</t>
        </is>
      </c>
    </row>
    <row r="79" ht="15" customHeight="1" s="6">
      <c r="A79" s="8" t="inlineStr">
        <is>
          <t>RI-OPS-002</t>
        </is>
      </c>
      <c r="B79" s="8" t="inlineStr">
        <is>
          <t>CDE-R078</t>
        </is>
      </c>
    </row>
    <row r="80" ht="15" customHeight="1" s="6">
      <c r="A80" s="8" t="inlineStr">
        <is>
          <t>RI-OPS-002</t>
        </is>
      </c>
      <c r="B80" s="8" t="inlineStr">
        <is>
          <t>CDE-R079</t>
        </is>
      </c>
    </row>
    <row r="81" ht="15" customHeight="1" s="6">
      <c r="A81" s="8" t="inlineStr">
        <is>
          <t>RI-OPS-002</t>
        </is>
      </c>
      <c r="B81" s="8" t="inlineStr">
        <is>
          <t>CDE-R080</t>
        </is>
      </c>
    </row>
    <row r="82" ht="15" customHeight="1" s="6">
      <c r="A82" s="8" t="inlineStr">
        <is>
          <t>RI-OPS-003</t>
        </is>
      </c>
      <c r="B82" s="8" t="inlineStr">
        <is>
          <t>CDE-R081</t>
        </is>
      </c>
    </row>
    <row r="83" ht="15" customHeight="1" s="6">
      <c r="A83" s="8" t="inlineStr">
        <is>
          <t>RI-OPS-003</t>
        </is>
      </c>
      <c r="B83" s="8" t="inlineStr">
        <is>
          <t>CDE-R082</t>
        </is>
      </c>
    </row>
    <row r="84" ht="15" customHeight="1" s="6">
      <c r="A84" s="8" t="inlineStr">
        <is>
          <t>RI-OPS-003</t>
        </is>
      </c>
      <c r="B84" s="8" t="inlineStr">
        <is>
          <t>CDE-R083</t>
        </is>
      </c>
    </row>
    <row r="85" ht="15" customHeight="1" s="6">
      <c r="A85" s="8" t="inlineStr">
        <is>
          <t>RI-OPS-004</t>
        </is>
      </c>
      <c r="B85" s="8" t="inlineStr">
        <is>
          <t>CDE-R084</t>
        </is>
      </c>
    </row>
    <row r="86" ht="15" customHeight="1" s="6">
      <c r="A86" s="8" t="inlineStr">
        <is>
          <t>RI-OPS-004</t>
        </is>
      </c>
      <c r="B86" s="8" t="inlineStr">
        <is>
          <t>CDE-R085</t>
        </is>
      </c>
    </row>
    <row r="87" ht="15" customHeight="1" s="6">
      <c r="A87" s="8" t="inlineStr">
        <is>
          <t>RI-OPS-004</t>
        </is>
      </c>
      <c r="B87" s="8" t="inlineStr">
        <is>
          <t>CDE-R086</t>
        </is>
      </c>
    </row>
    <row r="88" ht="15" customHeight="1" s="6">
      <c r="A88" s="8" t="inlineStr">
        <is>
          <t>RI-OPS-005</t>
        </is>
      </c>
      <c r="B88" s="8" t="inlineStr">
        <is>
          <t>CDE-R087</t>
        </is>
      </c>
    </row>
    <row r="89" ht="15" customHeight="1" s="6">
      <c r="A89" s="8" t="inlineStr">
        <is>
          <t>RI-OPS-005</t>
        </is>
      </c>
      <c r="B89" s="8" t="inlineStr">
        <is>
          <t>CDE-R088</t>
        </is>
      </c>
    </row>
    <row r="90" ht="15" customHeight="1" s="6">
      <c r="A90" s="8" t="inlineStr">
        <is>
          <t>RI-STR-001</t>
        </is>
      </c>
      <c r="B90" s="8" t="inlineStr">
        <is>
          <t>CDE-R089</t>
        </is>
      </c>
    </row>
    <row r="91" ht="15" customHeight="1" s="6">
      <c r="A91" s="8" t="inlineStr">
        <is>
          <t>RI-STR-001</t>
        </is>
      </c>
      <c r="B91" s="8" t="inlineStr">
        <is>
          <t>CDE-R090</t>
        </is>
      </c>
    </row>
    <row r="92" ht="15" customHeight="1" s="6">
      <c r="A92" s="8" t="inlineStr">
        <is>
          <t>RI-STR-001</t>
        </is>
      </c>
      <c r="B92" s="8" t="inlineStr">
        <is>
          <t>CDE-R091</t>
        </is>
      </c>
    </row>
    <row r="93" ht="15" customHeight="1" s="6">
      <c r="A93" s="8" t="inlineStr">
        <is>
          <t>RI-STR-002</t>
        </is>
      </c>
      <c r="B93" s="8" t="inlineStr">
        <is>
          <t>CDE-R092</t>
        </is>
      </c>
    </row>
    <row r="94" ht="15" customHeight="1" s="6">
      <c r="A94" s="8" t="inlineStr">
        <is>
          <t>RI-STR-002</t>
        </is>
      </c>
      <c r="B94" s="8" t="inlineStr">
        <is>
          <t>CDE-R093</t>
        </is>
      </c>
    </row>
    <row r="95" ht="15" customHeight="1" s="6">
      <c r="A95" s="8" t="inlineStr">
        <is>
          <t>RI-STR-002</t>
        </is>
      </c>
      <c r="B95" s="8" t="inlineStr">
        <is>
          <t>CDE-R094</t>
        </is>
      </c>
    </row>
    <row r="96" ht="15" customHeight="1" s="6">
      <c r="A96" s="8" t="inlineStr">
        <is>
          <t>RI-STR-003</t>
        </is>
      </c>
      <c r="B96" s="8" t="inlineStr">
        <is>
          <t>CDE-R095</t>
        </is>
      </c>
    </row>
    <row r="97" ht="15" customHeight="1" s="6">
      <c r="A97" s="8" t="inlineStr">
        <is>
          <t>RI-STR-003</t>
        </is>
      </c>
      <c r="B97" s="8" t="inlineStr">
        <is>
          <t>CDE-R096</t>
        </is>
      </c>
    </row>
    <row r="98" ht="15" customHeight="1" s="6">
      <c r="A98" s="8" t="inlineStr">
        <is>
          <t>RI-STR-003</t>
        </is>
      </c>
      <c r="B98" s="8" t="inlineStr">
        <is>
          <t>CDE-R097</t>
        </is>
      </c>
    </row>
    <row r="99" ht="15" customHeight="1" s="6">
      <c r="A99" s="8" t="inlineStr">
        <is>
          <t>RI-STR-004</t>
        </is>
      </c>
      <c r="B99" s="8" t="inlineStr">
        <is>
          <t>CDE-R098</t>
        </is>
      </c>
    </row>
    <row r="100" ht="15" customHeight="1" s="6">
      <c r="A100" s="8" t="inlineStr">
        <is>
          <t>RI-STR-004</t>
        </is>
      </c>
      <c r="B100" s="8" t="inlineStr">
        <is>
          <t>CDE-R099</t>
        </is>
      </c>
    </row>
    <row r="101" ht="15" customHeight="1" s="6">
      <c r="A101" s="8" t="inlineStr">
        <is>
          <t>RI-STR-005</t>
        </is>
      </c>
      <c r="B101" s="8" t="inlineStr">
        <is>
          <t>CDE-R100</t>
        </is>
      </c>
    </row>
    <row r="102" ht="15" customHeight="1" s="6">
      <c r="A102" s="8" t="inlineStr">
        <is>
          <t>RI-STR-005</t>
        </is>
      </c>
      <c r="B102" s="8" t="inlineStr">
        <is>
          <t>CDE-R101</t>
        </is>
      </c>
    </row>
    <row r="103" ht="15" customHeight="1" s="6">
      <c r="A103" s="8" t="inlineStr">
        <is>
          <t>RI-GEO-001</t>
        </is>
      </c>
      <c r="B103" s="8" t="inlineStr">
        <is>
          <t>CDE-R102</t>
        </is>
      </c>
    </row>
    <row r="104" ht="15" customHeight="1" s="6">
      <c r="A104" s="8" t="inlineStr">
        <is>
          <t>RI-GEO-001</t>
        </is>
      </c>
      <c r="B104" s="8" t="inlineStr">
        <is>
          <t>CDE-R103</t>
        </is>
      </c>
    </row>
    <row r="105" ht="15" customHeight="1" s="6">
      <c r="A105" s="8" t="inlineStr">
        <is>
          <t>RI-GEO-001</t>
        </is>
      </c>
      <c r="B105" s="8" t="inlineStr">
        <is>
          <t>CDE-R104</t>
        </is>
      </c>
    </row>
    <row r="106" ht="15" customHeight="1" s="6">
      <c r="A106" s="8" t="inlineStr">
        <is>
          <t>RI-GEO-002</t>
        </is>
      </c>
      <c r="B106" s="8" t="inlineStr">
        <is>
          <t>CDE-R105</t>
        </is>
      </c>
    </row>
    <row r="107" ht="15" customHeight="1" s="6">
      <c r="A107" s="8" t="inlineStr">
        <is>
          <t>RI-GEO-002</t>
        </is>
      </c>
      <c r="B107" s="8" t="inlineStr">
        <is>
          <t>CDE-R106</t>
        </is>
      </c>
    </row>
    <row r="108" ht="15" customHeight="1" s="6">
      <c r="A108" s="8" t="inlineStr">
        <is>
          <t>RI-GEO-002</t>
        </is>
      </c>
      <c r="B108" s="8" t="inlineStr">
        <is>
          <t>CDE-R107</t>
        </is>
      </c>
    </row>
    <row r="109" ht="15" customHeight="1" s="6">
      <c r="A109" s="8" t="inlineStr">
        <is>
          <t>RI-GEO-003</t>
        </is>
      </c>
      <c r="B109" s="8" t="inlineStr">
        <is>
          <t>CDE-R108</t>
        </is>
      </c>
    </row>
    <row r="110" ht="15" customHeight="1" s="6">
      <c r="A110" s="8" t="inlineStr">
        <is>
          <t>RI-GEO-003</t>
        </is>
      </c>
      <c r="B110" s="8" t="inlineStr">
        <is>
          <t>CDE-R109</t>
        </is>
      </c>
    </row>
    <row r="111" ht="15" customHeight="1" s="6">
      <c r="A111" s="8" t="inlineStr">
        <is>
          <t>RI-GEO-003</t>
        </is>
      </c>
      <c r="B111" s="8" t="inlineStr">
        <is>
          <t>CDE-R110</t>
        </is>
      </c>
    </row>
    <row r="112" ht="15" customHeight="1" s="6">
      <c r="A112" s="8" t="inlineStr">
        <is>
          <t>RI-GEO-004</t>
        </is>
      </c>
      <c r="B112" s="8" t="inlineStr">
        <is>
          <t>CDE-R111</t>
        </is>
      </c>
    </row>
    <row r="113" ht="15" customHeight="1" s="6">
      <c r="A113" s="8" t="inlineStr">
        <is>
          <t>RI-GEO-004</t>
        </is>
      </c>
      <c r="B113" s="8" t="inlineStr">
        <is>
          <t>CDE-R112</t>
        </is>
      </c>
    </row>
    <row r="114" ht="15" customHeight="1" s="6">
      <c r="A114" s="8" t="inlineStr">
        <is>
          <t>RI-TPY-001</t>
        </is>
      </c>
      <c r="B114" s="8" t="inlineStr">
        <is>
          <t>CDE-R113</t>
        </is>
      </c>
    </row>
    <row r="115" ht="15" customHeight="1" s="6">
      <c r="A115" s="8" t="inlineStr">
        <is>
          <t>RI-TPY-001</t>
        </is>
      </c>
      <c r="B115" s="8" t="inlineStr">
        <is>
          <t>CDE-R114</t>
        </is>
      </c>
    </row>
    <row r="116" ht="15" customHeight="1" s="6">
      <c r="A116" s="8" t="inlineStr">
        <is>
          <t>RI-TPY-002</t>
        </is>
      </c>
      <c r="B116" s="8" t="inlineStr">
        <is>
          <t>CDE-R115</t>
        </is>
      </c>
    </row>
    <row r="117" ht="15" customHeight="1" s="6">
      <c r="A117" s="8" t="inlineStr">
        <is>
          <t>RI-TPY-002</t>
        </is>
      </c>
      <c r="B117" s="8" t="inlineStr">
        <is>
          <t>CDE-R116</t>
        </is>
      </c>
    </row>
    <row r="118" ht="15" customHeight="1" s="6">
      <c r="A118" s="8" t="inlineStr">
        <is>
          <t>RI-TPY-003</t>
        </is>
      </c>
      <c r="B118" s="8" t="inlineStr">
        <is>
          <t>CDE-R117</t>
        </is>
      </c>
    </row>
    <row r="119" ht="15" customHeight="1" s="6">
      <c r="A119" s="8" t="inlineStr">
        <is>
          <t>RI-TPY-003</t>
        </is>
      </c>
      <c r="B119" s="8" t="inlineStr">
        <is>
          <t>CDE-R118</t>
        </is>
      </c>
    </row>
    <row r="120" ht="15" customHeight="1" s="6">
      <c r="A120" s="8" t="inlineStr">
        <is>
          <t>RI-TPY-003</t>
        </is>
      </c>
      <c r="B120" s="8" t="inlineStr">
        <is>
          <t>CDE-R119</t>
        </is>
      </c>
    </row>
    <row r="121" ht="15" customHeight="1" s="6">
      <c r="A121" s="8" t="inlineStr">
        <is>
          <t>RI-TPY-004</t>
        </is>
      </c>
      <c r="B121" s="8" t="inlineStr">
        <is>
          <t>CDE-R120</t>
        </is>
      </c>
    </row>
    <row r="122" ht="15" customHeight="1" s="6">
      <c r="A122" s="8" t="inlineStr">
        <is>
          <t>RI-TPY-004</t>
        </is>
      </c>
      <c r="B122" s="8" t="inlineStr">
        <is>
          <t>CDE-R121</t>
        </is>
      </c>
    </row>
    <row r="123" ht="15" customHeight="1" s="6">
      <c r="A123" s="8" t="inlineStr">
        <is>
          <t>RI-TPY-005</t>
        </is>
      </c>
      <c r="B123" s="8" t="inlineStr">
        <is>
          <t>CDE-R122</t>
        </is>
      </c>
    </row>
    <row r="124" ht="15" customHeight="1" s="6">
      <c r="A124" s="8" t="inlineStr">
        <is>
          <t>RI-TPY-005</t>
        </is>
      </c>
      <c r="B124" s="8" t="inlineStr">
        <is>
          <t>CDE-R123</t>
        </is>
      </c>
    </row>
    <row r="125" ht="15" customHeight="1" s="6">
      <c r="A125" s="8" t="inlineStr">
        <is>
          <t>RI-MON-001</t>
        </is>
      </c>
      <c r="B125" s="8" t="inlineStr">
        <is>
          <t>CDE-R124</t>
        </is>
      </c>
    </row>
    <row r="126" ht="15" customHeight="1" s="6">
      <c r="A126" s="8" t="inlineStr">
        <is>
          <t>RI-MON-001</t>
        </is>
      </c>
      <c r="B126" s="8" t="inlineStr">
        <is>
          <t>CDE-R125</t>
        </is>
      </c>
    </row>
    <row r="127" ht="15" customHeight="1" s="6">
      <c r="A127" s="8" t="inlineStr">
        <is>
          <t>RI-MON-001</t>
        </is>
      </c>
      <c r="B127" s="8" t="inlineStr">
        <is>
          <t>CDE-R126</t>
        </is>
      </c>
    </row>
    <row r="128" ht="15" customHeight="1" s="6">
      <c r="A128" s="8" t="inlineStr">
        <is>
          <t>RI-MON-002</t>
        </is>
      </c>
      <c r="B128" s="8" t="inlineStr">
        <is>
          <t>CDE-R127</t>
        </is>
      </c>
    </row>
    <row r="129" ht="15" customHeight="1" s="6">
      <c r="A129" s="8" t="inlineStr">
        <is>
          <t>RI-MON-002</t>
        </is>
      </c>
      <c r="B129" s="8" t="inlineStr">
        <is>
          <t>CDE-R128</t>
        </is>
      </c>
    </row>
    <row r="130" ht="15" customHeight="1" s="6">
      <c r="A130" s="8" t="inlineStr">
        <is>
          <t>RI-MON-002</t>
        </is>
      </c>
      <c r="B130" s="8" t="inlineStr">
        <is>
          <t>CDE-R129</t>
        </is>
      </c>
    </row>
    <row r="131" ht="15" customHeight="1" s="6">
      <c r="A131" s="8" t="inlineStr">
        <is>
          <t>RI-MON-003</t>
        </is>
      </c>
      <c r="B131" s="8" t="inlineStr">
        <is>
          <t>CDE-R130</t>
        </is>
      </c>
    </row>
    <row r="132" ht="15" customHeight="1" s="6">
      <c r="A132" s="8" t="inlineStr">
        <is>
          <t>RI-MON-003</t>
        </is>
      </c>
      <c r="B132" s="8" t="inlineStr">
        <is>
          <t>CDE-R131</t>
        </is>
      </c>
    </row>
    <row r="133" ht="15" customHeight="1" s="6">
      <c r="A133" s="8" t="inlineStr">
        <is>
          <t>RI-MON-004</t>
        </is>
      </c>
      <c r="B133" s="8" t="inlineStr">
        <is>
          <t>CDE-R132</t>
        </is>
      </c>
    </row>
    <row r="134" ht="15" customHeight="1" s="6">
      <c r="A134" s="8" t="inlineStr">
        <is>
          <t>RI-MON-004</t>
        </is>
      </c>
      <c r="B134" s="8" t="inlineStr">
        <is>
          <t>CDE-R133</t>
        </is>
      </c>
    </row>
    <row r="135" ht="15" customHeight="1" s="6">
      <c r="A135" s="8" t="inlineStr">
        <is>
          <t>RI-MON-005</t>
        </is>
      </c>
      <c r="B135" s="8" t="inlineStr">
        <is>
          <t>CDE-R134</t>
        </is>
      </c>
    </row>
    <row r="136" ht="15" customHeight="1" s="6">
      <c r="A136" s="8" t="inlineStr">
        <is>
          <t>RI-MON-005</t>
        </is>
      </c>
      <c r="B136" s="8" t="inlineStr">
        <is>
          <t>CDE-R135</t>
        </is>
      </c>
    </row>
    <row r="137" ht="15" customHeight="1" s="6">
      <c r="A137" s="8" t="inlineStr">
        <is>
          <t>RI-MON-005</t>
        </is>
      </c>
      <c r="B137" s="8" t="inlineStr">
        <is>
          <t>CDE-R136</t>
        </is>
      </c>
    </row>
    <row r="138" ht="15" customHeight="1" s="6">
      <c r="A138" s="8" t="inlineStr">
        <is>
          <t>RI-TAX-004</t>
        </is>
      </c>
      <c r="B138" s="8" t="inlineStr">
        <is>
          <t>CDE-R137</t>
        </is>
      </c>
    </row>
    <row r="139" ht="15" customHeight="1" s="6">
      <c r="A139" s="8" t="inlineStr">
        <is>
          <t>RI-TAX-005</t>
        </is>
      </c>
      <c r="B139" s="8" t="inlineStr">
        <is>
          <t>CDE-R138</t>
        </is>
      </c>
    </row>
    <row r="140" ht="15" customHeight="1" s="6">
      <c r="A140" s="8" t="inlineStr">
        <is>
          <t>RI-APP-005</t>
        </is>
      </c>
      <c r="B140" s="8" t="inlineStr">
        <is>
          <t>CDE-R139</t>
        </is>
      </c>
    </row>
    <row r="141" ht="15" customHeight="1" s="6">
      <c r="A141" s="8" t="inlineStr">
        <is>
          <t>RI-QNT-004</t>
        </is>
      </c>
      <c r="B141" s="8" t="inlineStr">
        <is>
          <t>CDE-R140</t>
        </is>
      </c>
    </row>
    <row r="142" ht="15" customHeight="1" s="6">
      <c r="A142" s="8" t="inlineStr">
        <is>
          <t>RI-QNT-005</t>
        </is>
      </c>
      <c r="B142" s="8" t="inlineStr">
        <is>
          <t>CDE-R141</t>
        </is>
      </c>
    </row>
    <row r="143" ht="15" customHeight="1" s="6">
      <c r="A143" s="8" t="inlineStr">
        <is>
          <t>RI-QNT-006</t>
        </is>
      </c>
      <c r="B143" s="8" t="inlineStr">
        <is>
          <t>CDE-R142</t>
        </is>
      </c>
    </row>
    <row r="144" ht="15" customHeight="1" s="6">
      <c r="A144" s="8" t="inlineStr">
        <is>
          <t>RI-FIN-003</t>
        </is>
      </c>
      <c r="B144" s="8" t="inlineStr">
        <is>
          <t>CDE-R143</t>
        </is>
      </c>
    </row>
    <row r="145" ht="15" customHeight="1" s="6">
      <c r="A145" s="8" t="inlineStr">
        <is>
          <t>RI-FIN-004</t>
        </is>
      </c>
      <c r="B145" s="8" t="inlineStr">
        <is>
          <t>CDE-R144</t>
        </is>
      </c>
    </row>
    <row r="146" ht="15" customHeight="1" s="6">
      <c r="A146" s="8" t="inlineStr">
        <is>
          <t>RI-FIN-005</t>
        </is>
      </c>
      <c r="B146" s="8" t="inlineStr">
        <is>
          <t>CDE-R145</t>
        </is>
      </c>
    </row>
    <row r="147" ht="15" customHeight="1" s="6">
      <c r="A147" s="8" t="inlineStr">
        <is>
          <t>RI-OPS-005</t>
        </is>
      </c>
      <c r="B147" s="8" t="inlineStr">
        <is>
          <t>CDE-R146</t>
        </is>
      </c>
    </row>
    <row r="148" ht="15" customHeight="1" s="6">
      <c r="A148" s="8" t="inlineStr">
        <is>
          <t>RI-STR-004</t>
        </is>
      </c>
      <c r="B148" s="8" t="inlineStr">
        <is>
          <t>CDE-R147</t>
        </is>
      </c>
    </row>
    <row r="149" ht="15" customHeight="1" s="6">
      <c r="A149" s="8" t="inlineStr">
        <is>
          <t>RI-STR-005</t>
        </is>
      </c>
      <c r="B149" s="8" t="inlineStr">
        <is>
          <t>CDE-R148</t>
        </is>
      </c>
    </row>
    <row r="150" ht="15" customHeight="1" s="6">
      <c r="A150" s="8" t="inlineStr">
        <is>
          <t>RI-GEO-004</t>
        </is>
      </c>
      <c r="B150" s="8" t="inlineStr">
        <is>
          <t>CDE-R149</t>
        </is>
      </c>
    </row>
    <row r="151" ht="15" customHeight="1" s="6">
      <c r="A151" s="8" t="inlineStr">
        <is>
          <t>RI-TPY-001</t>
        </is>
      </c>
      <c r="B151" s="8" t="inlineStr">
        <is>
          <t>CDE-R150</t>
        </is>
      </c>
    </row>
    <row r="152" ht="15" customHeight="1" s="6">
      <c r="A152" s="8" t="inlineStr">
        <is>
          <t>RI-TPY-002</t>
        </is>
      </c>
      <c r="B152" s="8" t="inlineStr">
        <is>
          <t>CDE-R151</t>
        </is>
      </c>
    </row>
    <row r="153" ht="15" customHeight="1" s="6">
      <c r="A153" s="8" t="inlineStr">
        <is>
          <t>RI-TPY-004</t>
        </is>
      </c>
      <c r="B153" s="8" t="inlineStr">
        <is>
          <t>CDE-R152</t>
        </is>
      </c>
    </row>
    <row r="154" ht="15" customHeight="1" s="6">
      <c r="A154" s="8" t="inlineStr">
        <is>
          <t>RI-TPY-005</t>
        </is>
      </c>
      <c r="B154" s="8" t="inlineStr">
        <is>
          <t>CDE-R153</t>
        </is>
      </c>
    </row>
    <row r="155" ht="15" customHeight="1" s="6">
      <c r="A155" s="8" t="inlineStr">
        <is>
          <t>RI-MON-003</t>
        </is>
      </c>
      <c r="B155" s="8" t="inlineStr">
        <is>
          <t>CDE-R154</t>
        </is>
      </c>
    </row>
    <row r="156" ht="15" customHeight="1" s="6">
      <c r="A156" s="8" t="inlineStr">
        <is>
          <t>RI-MON-004</t>
        </is>
      </c>
      <c r="B156" s="8" t="inlineStr">
        <is>
          <t>CDE-R155</t>
        </is>
      </c>
    </row>
    <row r="157" ht="15" customHeight="1" s="6">
      <c r="A157" s="8" t="inlineStr">
        <is>
          <t>RI-GOV-007</t>
        </is>
      </c>
      <c r="B157" s="8" t="inlineStr">
        <is>
          <t>CDE-R156</t>
        </is>
      </c>
    </row>
    <row r="158" ht="15" customHeight="1" s="6">
      <c r="A158" s="8" t="inlineStr">
        <is>
          <t>RI-GOV-007</t>
        </is>
      </c>
      <c r="B158" s="8" t="inlineStr">
        <is>
          <t>CDE-R157</t>
        </is>
      </c>
    </row>
    <row r="159" ht="15" customHeight="1" s="6">
      <c r="A159" s="8" t="inlineStr">
        <is>
          <t>RI-GOV-007</t>
        </is>
      </c>
      <c r="B159" s="8" t="inlineStr">
        <is>
          <t>CDE-R158</t>
        </is>
      </c>
    </row>
    <row r="160" ht="15" customHeight="1" s="6">
      <c r="A160" s="8" t="inlineStr">
        <is>
          <t>RI-QNT-007</t>
        </is>
      </c>
      <c r="B160" s="8" t="inlineStr">
        <is>
          <t>CDE-R159</t>
        </is>
      </c>
    </row>
    <row r="161" ht="15" customHeight="1" s="6">
      <c r="A161" s="8" t="inlineStr">
        <is>
          <t>RI-QNT-007</t>
        </is>
      </c>
      <c r="B161" s="8" t="inlineStr">
        <is>
          <t>CDE-R160</t>
        </is>
      </c>
    </row>
    <row r="162" ht="15" customHeight="1" s="6">
      <c r="A162" s="8" t="inlineStr">
        <is>
          <t>RI-QNT-007</t>
        </is>
      </c>
      <c r="B162" s="8" t="inlineStr">
        <is>
          <t>CDE-R161</t>
        </is>
      </c>
    </row>
    <row r="163" ht="15" customHeight="1" s="6">
      <c r="A163" s="8" t="inlineStr">
        <is>
          <t>RI-FIN-006</t>
        </is>
      </c>
      <c r="B163" s="8" t="inlineStr">
        <is>
          <t>CDE-R162</t>
        </is>
      </c>
    </row>
    <row r="164" ht="15" customHeight="1" s="6">
      <c r="A164" s="8" t="inlineStr">
        <is>
          <t>RI-FIN-006</t>
        </is>
      </c>
      <c r="B164" s="8" t="inlineStr">
        <is>
          <t>CDE-R163</t>
        </is>
      </c>
    </row>
    <row r="165" ht="15" customHeight="1" s="6">
      <c r="A165" s="8" t="inlineStr">
        <is>
          <t>RI-FIN-006</t>
        </is>
      </c>
      <c r="B165" s="8" t="inlineStr">
        <is>
          <t>CDE-R164</t>
        </is>
      </c>
    </row>
    <row r="166" ht="15" customHeight="1" s="6">
      <c r="A166" s="8" t="inlineStr">
        <is>
          <t>RI-APP-006</t>
        </is>
      </c>
      <c r="B166" s="8" t="inlineStr">
        <is>
          <t>CDE-R165</t>
        </is>
      </c>
    </row>
    <row r="167" ht="15" customHeight="1" s="6">
      <c r="A167" s="8" t="inlineStr">
        <is>
          <t>RI-APP-006</t>
        </is>
      </c>
      <c r="B167" s="8" t="inlineStr">
        <is>
          <t>CDE-R166</t>
        </is>
      </c>
    </row>
    <row r="168" ht="15" customHeight="1" s="6">
      <c r="A168" s="8" t="inlineStr">
        <is>
          <t>RI-APP-006</t>
        </is>
      </c>
      <c r="B168" s="8" t="inlineStr">
        <is>
          <t>CDE-R167</t>
        </is>
      </c>
    </row>
    <row r="169" ht="15" customHeight="1" s="6">
      <c r="A169" s="8" t="inlineStr">
        <is>
          <t>RI-GEO-003</t>
        </is>
      </c>
      <c r="B169" s="8" t="inlineStr">
        <is>
          <t>CDE-R168</t>
        </is>
      </c>
    </row>
    <row r="170" ht="15" customHeight="1" s="6">
      <c r="A170" s="8" t="inlineStr">
        <is>
          <t>RI-GEO-003</t>
        </is>
      </c>
      <c r="B170" s="8" t="inlineStr">
        <is>
          <t>CDE-R169</t>
        </is>
      </c>
    </row>
    <row r="171" ht="15" customHeight="1" s="6">
      <c r="A171" s="8" t="inlineStr">
        <is>
          <t>RI-OPS-003</t>
        </is>
      </c>
      <c r="B171" s="8" t="inlineStr">
        <is>
          <t>CDE-R170</t>
        </is>
      </c>
    </row>
    <row r="172" ht="15" customHeight="1" s="6">
      <c r="A172" s="8" t="inlineStr">
        <is>
          <t>RI-OPS-003</t>
        </is>
      </c>
      <c r="B172" s="8" t="inlineStr">
        <is>
          <t>CDE-R171</t>
        </is>
      </c>
    </row>
    <row r="173" ht="15" customHeight="1" s="6">
      <c r="A173" s="8" t="inlineStr">
        <is>
          <t>RI-OPS-006</t>
        </is>
      </c>
      <c r="B173" s="8" t="inlineStr">
        <is>
          <t>CDE-R172</t>
        </is>
      </c>
    </row>
    <row r="174" ht="15" customHeight="1" s="6">
      <c r="A174" s="8" t="inlineStr">
        <is>
          <t>RI-OPS-006</t>
        </is>
      </c>
      <c r="B174" s="8" t="inlineStr">
        <is>
          <t>CDE-R173</t>
        </is>
      </c>
    </row>
    <row r="175" ht="15" customHeight="1" s="6">
      <c r="A175" s="8" t="inlineStr">
        <is>
          <t>RI-OPS-006</t>
        </is>
      </c>
      <c r="B175" s="8" t="inlineStr">
        <is>
          <t>CDE-R174</t>
        </is>
      </c>
    </row>
    <row r="176" ht="15" customHeight="1" s="6">
      <c r="A176" s="8" t="inlineStr">
        <is>
          <t>RI-TAX-006</t>
        </is>
      </c>
      <c r="B176" s="8" t="inlineStr">
        <is>
          <t>CDE-R175</t>
        </is>
      </c>
    </row>
    <row r="177" ht="15" customHeight="1" s="6">
      <c r="A177" s="8" t="inlineStr">
        <is>
          <t>RI-TAX-006</t>
        </is>
      </c>
      <c r="B177" s="8" t="inlineStr">
        <is>
          <t>CDE-R176</t>
        </is>
      </c>
    </row>
    <row r="178" ht="15" customHeight="1" s="6">
      <c r="A178" s="8" t="inlineStr">
        <is>
          <t>RI-TAX-006</t>
        </is>
      </c>
      <c r="B178" s="8" t="inlineStr">
        <is>
          <t>CDE-R177</t>
        </is>
      </c>
    </row>
    <row r="179" ht="15" customHeight="1" s="6">
      <c r="A179" s="8" t="inlineStr">
        <is>
          <t>RI-TAX-007</t>
        </is>
      </c>
      <c r="B179" s="8" t="inlineStr">
        <is>
          <t>CDE-R178</t>
        </is>
      </c>
    </row>
    <row r="180" ht="15" customHeight="1" s="6">
      <c r="A180" s="8" t="inlineStr">
        <is>
          <t>RI-TAX-007</t>
        </is>
      </c>
      <c r="B180" s="8" t="inlineStr">
        <is>
          <t>CDE-R179</t>
        </is>
      </c>
    </row>
    <row r="181" ht="15" customHeight="1" s="6">
      <c r="A181" s="8" t="inlineStr">
        <is>
          <t>RI-TAX-007</t>
        </is>
      </c>
      <c r="B181" s="8" t="inlineStr">
        <is>
          <t>CDE-R180</t>
        </is>
      </c>
    </row>
    <row r="182" ht="15" customHeight="1" s="6">
      <c r="A182" s="8" t="inlineStr">
        <is>
          <t>RI-APP-007</t>
        </is>
      </c>
      <c r="B182" s="8" t="inlineStr">
        <is>
          <t>CDE-R181</t>
        </is>
      </c>
    </row>
    <row r="183" ht="15" customHeight="1" s="6">
      <c r="A183" s="8" t="inlineStr">
        <is>
          <t>RI-APP-007</t>
        </is>
      </c>
      <c r="B183" s="8" t="inlineStr">
        <is>
          <t>CDE-R182</t>
        </is>
      </c>
    </row>
    <row r="184" ht="15" customHeight="1" s="6">
      <c r="A184" s="8" t="inlineStr">
        <is>
          <t>RI-OPS-007</t>
        </is>
      </c>
      <c r="B184" s="8" t="inlineStr">
        <is>
          <t>CDE-R183</t>
        </is>
      </c>
    </row>
    <row r="185" ht="15" customHeight="1" s="6">
      <c r="A185" s="8" t="inlineStr">
        <is>
          <t>RI-OPS-007</t>
        </is>
      </c>
      <c r="B185" s="8" t="inlineStr">
        <is>
          <t>CDE-R184</t>
        </is>
      </c>
    </row>
    <row r="186" ht="15" customHeight="1" s="6">
      <c r="A186" s="8" t="inlineStr">
        <is>
          <t>RI-OPS-007</t>
        </is>
      </c>
      <c r="B186" s="8" t="inlineStr">
        <is>
          <t>CDE-R185</t>
        </is>
      </c>
    </row>
    <row r="187" ht="15" customHeight="1" s="6">
      <c r="A187" s="8" t="inlineStr">
        <is>
          <t>RI-APP-007</t>
        </is>
      </c>
      <c r="B187" s="8" t="inlineStr">
        <is>
          <t>CDE-R186</t>
        </is>
      </c>
    </row>
    <row r="188" ht="15" customHeight="1" s="6">
      <c r="A188" s="8" t="inlineStr">
        <is>
          <t>RI-QNT-008</t>
        </is>
      </c>
      <c r="B188" s="8" t="inlineStr">
        <is>
          <t>CDE-R187</t>
        </is>
      </c>
    </row>
    <row r="189" ht="15" customHeight="1" s="6">
      <c r="A189" s="8" t="inlineStr">
        <is>
          <t>RI-QNT-008</t>
        </is>
      </c>
      <c r="B189" s="8" t="inlineStr">
        <is>
          <t>CDE-R188</t>
        </is>
      </c>
    </row>
    <row r="190" ht="15" customHeight="1" s="6">
      <c r="A190" s="8" t="inlineStr">
        <is>
          <t>RI-QNT-008</t>
        </is>
      </c>
      <c r="B190" s="8" t="inlineStr">
        <is>
          <t>CDE-R189</t>
        </is>
      </c>
    </row>
    <row r="191" ht="15" customHeight="1" s="6">
      <c r="A191" s="8" t="inlineStr">
        <is>
          <t>RI-QNT-009</t>
        </is>
      </c>
      <c r="B191" s="8" t="inlineStr">
        <is>
          <t>CDE-R190</t>
        </is>
      </c>
    </row>
    <row r="192" ht="15" customHeight="1" s="6">
      <c r="A192" s="8" t="inlineStr">
        <is>
          <t>RI-QNT-009</t>
        </is>
      </c>
      <c r="B192" s="8" t="inlineStr">
        <is>
          <t>CDE-R191</t>
        </is>
      </c>
    </row>
    <row r="193" ht="15" customHeight="1" s="6">
      <c r="A193" s="8" t="inlineStr">
        <is>
          <t>RI-QNT-009</t>
        </is>
      </c>
      <c r="B193" s="8" t="inlineStr">
        <is>
          <t>CDE-R192</t>
        </is>
      </c>
    </row>
    <row r="194" ht="15" customHeight="1" s="6">
      <c r="A194" s="8" t="inlineStr">
        <is>
          <t>RI-GOV-008</t>
        </is>
      </c>
      <c r="B194" s="8" t="inlineStr">
        <is>
          <t>CDE-R193</t>
        </is>
      </c>
    </row>
    <row r="195" ht="15" customHeight="1" s="6">
      <c r="A195" s="8" t="inlineStr">
        <is>
          <t>RI-GOV-008</t>
        </is>
      </c>
      <c r="B195" s="8" t="inlineStr">
        <is>
          <t>CDE-R194</t>
        </is>
      </c>
    </row>
    <row r="196" ht="15" customHeight="1" s="6">
      <c r="A196" s="8" t="inlineStr">
        <is>
          <t>RI-GOV-008</t>
        </is>
      </c>
      <c r="B196" s="8" t="inlineStr">
        <is>
          <t>CDE-R195</t>
        </is>
      </c>
    </row>
    <row r="197" ht="15" customHeight="1" s="6">
      <c r="A197" s="8" t="inlineStr">
        <is>
          <t>RI-GOV-009</t>
        </is>
      </c>
      <c r="B197" s="8" t="inlineStr">
        <is>
          <t>CDE-R196</t>
        </is>
      </c>
    </row>
    <row r="198" ht="15" customHeight="1" s="6">
      <c r="A198" s="8" t="inlineStr">
        <is>
          <t>RI-GOV-009</t>
        </is>
      </c>
      <c r="B198" s="8" t="inlineStr">
        <is>
          <t>CDE-R197</t>
        </is>
      </c>
    </row>
    <row r="199" ht="15" customHeight="1" s="6">
      <c r="A199" s="8" t="inlineStr">
        <is>
          <t>RI-GOV-009</t>
        </is>
      </c>
      <c r="B199" s="8" t="inlineStr">
        <is>
          <t>CDE-R198</t>
        </is>
      </c>
    </row>
    <row r="200" ht="15" customHeight="1" s="6">
      <c r="A200" s="8" t="inlineStr">
        <is>
          <t>RI-GOV-010</t>
        </is>
      </c>
      <c r="B200" s="8" t="inlineStr">
        <is>
          <t>CDE-R199</t>
        </is>
      </c>
    </row>
    <row r="201" ht="15" customHeight="1" s="6">
      <c r="A201" s="8" t="inlineStr">
        <is>
          <t>RI-GOV-010</t>
        </is>
      </c>
      <c r="B201" s="8" t="inlineStr">
        <is>
          <t>CDE-R200</t>
        </is>
      </c>
    </row>
    <row r="202" ht="15" customHeight="1" s="6">
      <c r="A202" s="8" t="inlineStr">
        <is>
          <t>RI-GOV-010</t>
        </is>
      </c>
      <c r="B202" s="8" t="inlineStr">
        <is>
          <t>CDE-R201</t>
        </is>
      </c>
    </row>
    <row r="203" ht="15" customHeight="1" s="6">
      <c r="A203" s="8" t="inlineStr">
        <is>
          <t>RI-GOV-011</t>
        </is>
      </c>
      <c r="B203" s="8" t="inlineStr">
        <is>
          <t>CDE-R202</t>
        </is>
      </c>
    </row>
    <row r="204" ht="15" customHeight="1" s="6">
      <c r="A204" s="8" t="inlineStr">
        <is>
          <t>RI-GOV-011</t>
        </is>
      </c>
      <c r="B204" s="8" t="inlineStr">
        <is>
          <t>CDE-R203</t>
        </is>
      </c>
    </row>
    <row r="205" ht="15" customHeight="1" s="6">
      <c r="A205" s="8" t="inlineStr">
        <is>
          <t>RI-GOV-012</t>
        </is>
      </c>
      <c r="B205" s="8" t="inlineStr">
        <is>
          <t>CDE-R204</t>
        </is>
      </c>
    </row>
    <row r="206" ht="15" customHeight="1" s="6">
      <c r="A206" s="8" t="inlineStr">
        <is>
          <t>RI-GOV-012</t>
        </is>
      </c>
      <c r="B206" s="8" t="inlineStr">
        <is>
          <t>CDE-R205</t>
        </is>
      </c>
    </row>
    <row r="207" ht="15" customHeight="1" s="6">
      <c r="A207" s="8" t="inlineStr">
        <is>
          <t>RI-GOV-012</t>
        </is>
      </c>
      <c r="B207" s="8" t="inlineStr">
        <is>
          <t>CDE-R206</t>
        </is>
      </c>
    </row>
    <row r="208" ht="15" customHeight="1" s="6">
      <c r="A208" s="8" t="inlineStr">
        <is>
          <t>RI-QNT-010</t>
        </is>
      </c>
      <c r="B208" s="8" t="inlineStr">
        <is>
          <t>CDE-R207</t>
        </is>
      </c>
    </row>
    <row r="209" ht="15" customHeight="1" s="6">
      <c r="A209" s="8" t="inlineStr">
        <is>
          <t>RI-QNT-010</t>
        </is>
      </c>
      <c r="B209" s="8" t="inlineStr">
        <is>
          <t>CDE-R208</t>
        </is>
      </c>
    </row>
    <row r="210" ht="15" customHeight="1" s="6">
      <c r="A210" s="8" t="inlineStr">
        <is>
          <t>RI-QNT-010</t>
        </is>
      </c>
      <c r="B210" s="8" t="inlineStr">
        <is>
          <t>CDE-R209</t>
        </is>
      </c>
    </row>
    <row r="211" ht="15" customHeight="1" s="6">
      <c r="A211" s="8" t="inlineStr">
        <is>
          <t>RI-GOV-011</t>
        </is>
      </c>
      <c r="B211" s="8" t="inlineStr">
        <is>
          <t>CDE-R210</t>
        </is>
      </c>
    </row>
    <row r="212" ht="15" customHeight="1" s="6">
      <c r="A212" s="8" t="inlineStr">
        <is>
          <t>RI-QNT-011</t>
        </is>
      </c>
      <c r="B212" s="8" t="inlineStr">
        <is>
          <t>CDE-R211</t>
        </is>
      </c>
    </row>
    <row r="213" ht="15" customHeight="1" s="6">
      <c r="A213" s="8" t="inlineStr">
        <is>
          <t>RI-QNT-011</t>
        </is>
      </c>
      <c r="B213" s="8" t="inlineStr">
        <is>
          <t>CDE-R212</t>
        </is>
      </c>
    </row>
    <row r="214" ht="15" customHeight="1" s="6">
      <c r="A214" s="8" t="inlineStr">
        <is>
          <t>RI-QNT-011</t>
        </is>
      </c>
      <c r="B214" s="8" t="inlineStr">
        <is>
          <t>CDE-R213</t>
        </is>
      </c>
    </row>
    <row r="215" ht="15" customHeight="1" s="6">
      <c r="A215" s="8" t="inlineStr">
        <is>
          <t>RI-GOV-013</t>
        </is>
      </c>
      <c r="B215" s="8" t="inlineStr">
        <is>
          <t>CDE-R214</t>
        </is>
      </c>
    </row>
    <row r="216" ht="15" customHeight="1" s="6">
      <c r="A216" s="8" t="inlineStr">
        <is>
          <t>RI-GOV-013</t>
        </is>
      </c>
      <c r="B216" s="8" t="inlineStr">
        <is>
          <t>CDE-R215</t>
        </is>
      </c>
    </row>
    <row r="217" ht="15" customHeight="1" s="6">
      <c r="A217" s="8" t="inlineStr">
        <is>
          <t>RI-GOV-013</t>
        </is>
      </c>
      <c r="B217" s="8" t="inlineStr">
        <is>
          <t>CDE-R216</t>
        </is>
      </c>
    </row>
    <row r="218" ht="15" customHeight="1" s="6">
      <c r="A218" s="8" t="inlineStr">
        <is>
          <t>RI-MON-006</t>
        </is>
      </c>
      <c r="B218" s="8" t="inlineStr">
        <is>
          <t>CDE-R217</t>
        </is>
      </c>
    </row>
    <row r="219" ht="15" customHeight="1" s="6">
      <c r="A219" s="8" t="inlineStr">
        <is>
          <t>RI-MON-006</t>
        </is>
      </c>
      <c r="B219" s="8" t="inlineStr">
        <is>
          <t>CDE-R218</t>
        </is>
      </c>
    </row>
    <row r="220" ht="15" customHeight="1" s="6">
      <c r="A220" s="8" t="inlineStr">
        <is>
          <t>RI-MON-006</t>
        </is>
      </c>
      <c r="B220" s="8" t="inlineStr">
        <is>
          <t>CDE-R219</t>
        </is>
      </c>
    </row>
    <row r="221" ht="15" customHeight="1" s="6">
      <c r="A221" s="8" t="inlineStr">
        <is>
          <t>RI-OPS-008</t>
        </is>
      </c>
      <c r="B221" s="8" t="inlineStr">
        <is>
          <t>CDE-R220</t>
        </is>
      </c>
    </row>
    <row r="222" ht="15" customHeight="1" s="6">
      <c r="A222" s="8" t="inlineStr">
        <is>
          <t>RI-OPS-008</t>
        </is>
      </c>
      <c r="B222" s="8" t="inlineStr">
        <is>
          <t>CDE-R221</t>
        </is>
      </c>
    </row>
    <row r="223" ht="15" customHeight="1" s="6">
      <c r="A223" s="8" t="inlineStr">
        <is>
          <t>RI-OPS-008</t>
        </is>
      </c>
      <c r="B223" s="8" t="inlineStr">
        <is>
          <t>CDE-R222</t>
        </is>
      </c>
    </row>
    <row r="224" ht="15" customHeight="1" s="6">
      <c r="A224" s="8" t="inlineStr">
        <is>
          <t>RI-MON-003</t>
        </is>
      </c>
      <c r="B224" s="8" t="inlineStr">
        <is>
          <t>CDE-R223</t>
        </is>
      </c>
    </row>
    <row r="225" ht="15" customHeight="1" s="6">
      <c r="A225" s="8" t="inlineStr">
        <is>
          <t>RI-QNT-003</t>
        </is>
      </c>
      <c r="B225" s="8" t="inlineStr">
        <is>
          <t>CDE-R224</t>
        </is>
      </c>
    </row>
    <row r="226" ht="15" customHeight="1" s="6">
      <c r="A226" s="8" t="inlineStr">
        <is>
          <t>RI-GOV-014</t>
        </is>
      </c>
      <c r="B226" s="8" t="inlineStr">
        <is>
          <t>CDE-R225</t>
        </is>
      </c>
    </row>
    <row r="227" ht="15" customHeight="1" s="6">
      <c r="A227" s="8" t="inlineStr">
        <is>
          <t>RI-GOV-014</t>
        </is>
      </c>
      <c r="B227" s="8" t="inlineStr">
        <is>
          <t>CDE-R226</t>
        </is>
      </c>
    </row>
    <row r="228" ht="15" customHeight="1" s="6">
      <c r="A228" s="8" t="inlineStr">
        <is>
          <t>RI-GOV-014</t>
        </is>
      </c>
      <c r="B228" s="8" t="inlineStr">
        <is>
          <t>CDE-R227</t>
        </is>
      </c>
    </row>
    <row r="229" ht="15" customHeight="1" s="6">
      <c r="A229" s="8" t="inlineStr">
        <is>
          <t>RI-TAX-008</t>
        </is>
      </c>
      <c r="B229" s="8" t="inlineStr">
        <is>
          <t>CDE-R228</t>
        </is>
      </c>
    </row>
    <row r="230" ht="15" customHeight="1" s="6">
      <c r="A230" s="8" t="inlineStr">
        <is>
          <t>RI-TAX-008</t>
        </is>
      </c>
      <c r="B230" s="8" t="inlineStr">
        <is>
          <t>CDE-R229</t>
        </is>
      </c>
    </row>
    <row r="231" ht="15" customHeight="1" s="6">
      <c r="A231" s="8" t="inlineStr">
        <is>
          <t>RI-TAX-008</t>
        </is>
      </c>
      <c r="B231" s="8" t="inlineStr">
        <is>
          <t>CDE-R230</t>
        </is>
      </c>
    </row>
    <row r="232" ht="15" customHeight="1" s="6">
      <c r="A232" s="8" t="inlineStr">
        <is>
          <t>RI-GEO-003</t>
        </is>
      </c>
      <c r="B232" s="8" t="inlineStr">
        <is>
          <t>CDE-R231</t>
        </is>
      </c>
    </row>
    <row r="233" ht="15" customHeight="1" s="6">
      <c r="A233" s="8" t="inlineStr">
        <is>
          <t>RI-APP-005</t>
        </is>
      </c>
      <c r="B233" s="8" t="inlineStr">
        <is>
          <t>CDE-R232</t>
        </is>
      </c>
    </row>
    <row r="234" ht="15" customHeight="1" s="6">
      <c r="A234" s="8" t="inlineStr">
        <is>
          <t>RI-GOV-001</t>
        </is>
      </c>
      <c r="B234" s="8" t="inlineStr">
        <is>
          <t>CDE-R233</t>
        </is>
      </c>
    </row>
    <row r="235" ht="15" customHeight="1" s="6">
      <c r="A235" s="8" t="inlineStr">
        <is>
          <t>RI-TPY-001</t>
        </is>
      </c>
      <c r="B235" s="8" t="inlineStr">
        <is>
          <t>CDE-R234</t>
        </is>
      </c>
    </row>
    <row r="236" ht="15" customHeight="1" s="6">
      <c r="A236" s="8" t="inlineStr">
        <is>
          <t>RI-APP-002</t>
        </is>
      </c>
      <c r="B236" s="8" t="inlineStr">
        <is>
          <t>CDE-R235</t>
        </is>
      </c>
    </row>
    <row r="237" ht="15" customHeight="1" s="6">
      <c r="A237" s="8" t="inlineStr">
        <is>
          <t>RI-TAX-003</t>
        </is>
      </c>
      <c r="B237" s="8" t="inlineStr">
        <is>
          <t>CDE-R236</t>
        </is>
      </c>
    </row>
    <row r="238" ht="15" customHeight="1" s="6">
      <c r="A238" s="8" t="inlineStr">
        <is>
          <t>RI-GOV-003</t>
        </is>
      </c>
      <c r="B238" s="8" t="inlineStr">
        <is>
          <t>CDE-R237</t>
        </is>
      </c>
    </row>
    <row r="239" ht="15" customHeight="1" s="6">
      <c r="A239" s="8" t="inlineStr">
        <is>
          <t>RI-TPY-006</t>
        </is>
      </c>
      <c r="B239" s="8" t="inlineStr">
        <is>
          <t>CDE-R238</t>
        </is>
      </c>
    </row>
    <row r="240" ht="15" customHeight="1" s="6">
      <c r="A240" s="8" t="inlineStr">
        <is>
          <t>RI-TPY-006</t>
        </is>
      </c>
      <c r="B240" s="8" t="inlineStr">
        <is>
          <t>CDE-R239</t>
        </is>
      </c>
    </row>
    <row r="241" ht="15" customHeight="1" s="6">
      <c r="A241" s="8" t="inlineStr">
        <is>
          <t>RI-TPY-006</t>
        </is>
      </c>
      <c r="B241" s="8" t="inlineStr">
        <is>
          <t>CDE-R240</t>
        </is>
      </c>
    </row>
    <row r="242" ht="15" customHeight="1" s="6">
      <c r="A242" s="8" t="inlineStr">
        <is>
          <t>RI-TPY-006</t>
        </is>
      </c>
      <c r="B242" s="8" t="inlineStr">
        <is>
          <t>CDE-R241</t>
        </is>
      </c>
    </row>
    <row r="243" ht="15" customHeight="1" s="6">
      <c r="A243" s="8" t="inlineStr">
        <is>
          <t>RI-STR-006</t>
        </is>
      </c>
      <c r="B243" s="8" t="inlineStr">
        <is>
          <t>CDE-R242</t>
        </is>
      </c>
    </row>
    <row r="244" ht="15" customHeight="1" s="6">
      <c r="A244" s="8" t="inlineStr">
        <is>
          <t>RI-STR-006</t>
        </is>
      </c>
      <c r="B244" s="8" t="inlineStr">
        <is>
          <t>CDE-R243</t>
        </is>
      </c>
    </row>
    <row r="245" ht="15" customHeight="1" s="6">
      <c r="A245" s="8" t="inlineStr">
        <is>
          <t>RI-STR-006</t>
        </is>
      </c>
      <c r="B245" s="8" t="inlineStr">
        <is>
          <t>CDE-R244</t>
        </is>
      </c>
    </row>
    <row r="246" ht="15" customHeight="1" s="6">
      <c r="A246" s="8" t="inlineStr">
        <is>
          <t>RI-STR-006</t>
        </is>
      </c>
      <c r="B246" s="8" t="inlineStr">
        <is>
          <t>CDE-R245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5" min="1" max="1"/>
    <col width="27" customWidth="1" style="5" min="2" max="2"/>
    <col width="46" customWidth="1" style="5" min="3" max="3"/>
    <col width="55" customWidth="1" style="5" min="4" max="4"/>
  </cols>
  <sheetData>
    <row r="1" ht="15" customHeight="1" s="6">
      <c r="A1" s="7" t="inlineStr">
        <is>
          <t>Evidence Source</t>
        </is>
      </c>
      <c r="B1" s="7" t="inlineStr">
        <is>
          <t>Reliability Weight (0-1)</t>
        </is>
      </c>
      <c r="C1" s="7" t="inlineStr">
        <is>
          <t>Freshness Decay (months to half-confidence)</t>
        </is>
      </c>
      <c r="D1" s="7" t="inlineStr">
        <is>
          <t>Applicable CDE Pattern</t>
        </is>
      </c>
    </row>
    <row r="2" ht="15" customHeight="1" s="6">
      <c r="A2" s="8" t="inlineStr">
        <is>
          <t>Annual Report / 10-K Filing (SEC EDGAR, Company IR Site)</t>
        </is>
      </c>
      <c r="B2" s="8" t="n">
        <v>0.95</v>
      </c>
      <c r="C2" s="8" t="n">
        <v>12</v>
      </c>
      <c r="D2" s="8" t="inlineStr">
        <is>
          <t>Stated risk governance, material risks, insurance, litigation disclosures</t>
        </is>
      </c>
    </row>
    <row r="3" ht="15" customHeight="1" s="6">
      <c r="A3" s="8" t="inlineStr">
        <is>
          <t>Board Portal / Governance Records (Diligent, BoardEffect)</t>
        </is>
      </c>
      <c r="B3" s="8" t="n">
        <v>0.92</v>
      </c>
      <c r="C3" s="8" t="n">
        <v>6</v>
      </c>
      <c r="D3" s="8" t="inlineStr">
        <is>
          <t>Risk appetite approval, escalation, governance facts</t>
        </is>
      </c>
    </row>
    <row r="4" ht="15" customHeight="1" s="6">
      <c r="A4" s="8" t="inlineStr">
        <is>
          <t>GRC / Risk Register (ServiceNow Risk, RSA Archer, LogicGate)</t>
        </is>
      </c>
      <c r="B4" s="8" t="n">
        <v>0.9</v>
      </c>
      <c r="C4" s="8" t="n">
        <v>3</v>
      </c>
      <c r="D4" s="8" t="inlineStr">
        <is>
          <t>Identified risks, probability/severity scores, ownership</t>
        </is>
      </c>
    </row>
    <row r="5" ht="15" customHeight="1" s="6">
      <c r="A5" s="8" t="inlineStr">
        <is>
          <t>Regulatory Filings (SEC EDGAR, Companies House, National Business Registry)</t>
        </is>
      </c>
      <c r="B5" s="8" t="n">
        <v>0.93</v>
      </c>
      <c r="C5" s="8" t="n">
        <v>6</v>
      </c>
      <c r="D5" s="8" t="inlineStr">
        <is>
          <t>Sanctions exposure, regulatory risk disclosures</t>
        </is>
      </c>
    </row>
    <row r="6" ht="15" customHeight="1" s="6">
      <c r="A6" s="8" t="inlineStr">
        <is>
          <t>Finance / ERP System (SAP S/4HANA, Oracle Fusion, NetSuite)</t>
        </is>
      </c>
      <c r="B6" s="8" t="n">
        <v>0.9</v>
      </c>
      <c r="C6" s="8" t="n">
        <v>1</v>
      </c>
      <c r="D6" s="8" t="inlineStr">
        <is>
          <t>Financial risk exposure, insurance, hedging facts</t>
        </is>
      </c>
    </row>
    <row r="7" ht="15" customHeight="1" s="6">
      <c r="A7" s="8" t="inlineStr">
        <is>
          <t>Investor Relations Platform (Q4 Inc, Earnings Call Deck, IR Site)</t>
        </is>
      </c>
      <c r="B7" s="8" t="n">
        <v>0.78</v>
      </c>
      <c r="C7" s="8" t="n">
        <v>3</v>
      </c>
      <c r="D7" s="8" t="inlineStr">
        <is>
          <t>Risk narrative, exposure summaries</t>
        </is>
      </c>
    </row>
    <row r="8" ht="15" customHeight="1" s="6">
      <c r="A8" s="8" t="inlineStr">
        <is>
          <t>User Validation</t>
        </is>
      </c>
      <c r="B8" s="8" t="n">
        <v>0.85</v>
      </c>
      <c r="C8" s="8" t="n">
        <v>24</v>
      </c>
      <c r="D8" s="8" t="inlineStr">
        <is>
          <t>Any CDE not otherwise discoverable — internal risk management detail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Confidence Range</t>
        </is>
      </c>
      <c r="B1" s="7" t="inlineStr">
        <is>
          <t>Meaning</t>
        </is>
      </c>
      <c r="C1" s="7" t="inlineStr">
        <is>
          <t>Required Action</t>
        </is>
      </c>
    </row>
    <row r="2" ht="15" customHeight="1" s="6">
      <c r="A2" s="8" t="n">
        <v>90</v>
      </c>
      <c r="B2" s="8" t="inlineStr">
        <is>
          <t>Verified</t>
        </is>
      </c>
      <c r="C2" s="8" t="inlineStr">
        <is>
          <t>None — display as fact</t>
        </is>
      </c>
    </row>
    <row r="3" ht="15" customHeight="1" s="6">
      <c r="A3" s="8" t="n">
        <v>75</v>
      </c>
      <c r="B3" s="8" t="inlineStr">
        <is>
          <t>High Confidence</t>
        </is>
      </c>
      <c r="C3" s="8" t="inlineStr">
        <is>
          <t>Display with confidence badge; periodic re-validation</t>
        </is>
      </c>
    </row>
    <row r="4" ht="15" customHeight="1" s="6">
      <c r="A4" s="8" t="n">
        <v>60</v>
      </c>
      <c r="B4" s="8" t="inlineStr">
        <is>
          <t>Medium Confidence</t>
        </is>
      </c>
      <c r="C4" s="8" t="inlineStr">
        <is>
          <t>Flag for Validate step — ask user to confirm</t>
        </is>
      </c>
    </row>
    <row r="5" ht="15" customHeight="1" s="6">
      <c r="A5" s="8" t="n">
        <v>0</v>
      </c>
      <c r="B5" s="8" t="inlineStr">
        <is>
          <t>Needs Validation</t>
        </is>
      </c>
      <c r="C5" s="8" t="inlineStr">
        <is>
          <t>Trigger Ask step — block until resolved or explicitly accepted as estimate</t>
        </is>
      </c>
    </row>
    <row r="6" ht="15" customHeight="1" s="6">
      <c r="A6" s="8" t="n"/>
      <c r="B6" s="8" t="n"/>
      <c r="C6" s="8" t="n"/>
    </row>
    <row r="7" ht="15" customHeight="1" s="6">
      <c r="A7" s="8" t="inlineStr">
        <is>
          <t>Weight Component</t>
        </is>
      </c>
      <c r="B7" s="8" t="inlineStr">
        <is>
          <t>Weight</t>
        </is>
      </c>
      <c r="C7" s="8" t="inlineStr">
        <is>
          <t>Source</t>
        </is>
      </c>
    </row>
    <row r="8" ht="15" customHeight="1" s="6">
      <c r="A8" s="8" t="inlineStr">
        <is>
          <t>Source Reliability Weight</t>
        </is>
      </c>
      <c r="B8" s="8" t="n">
        <v>0.4</v>
      </c>
      <c r="C8" s="8" t="inlineStr">
        <is>
          <t>05_Evidence_Catalog (Reliability Weight column)</t>
        </is>
      </c>
    </row>
    <row r="9" ht="15" customHeight="1" s="6">
      <c r="A9" s="8" t="inlineStr">
        <is>
          <t>Freshness Factor</t>
        </is>
      </c>
      <c r="B9" s="8" t="n">
        <v>0.25</v>
      </c>
      <c r="C9" s="8" t="inlineStr">
        <is>
          <t>1 - (months_since_capture / Freshness Decay), floor 0</t>
        </is>
      </c>
    </row>
    <row r="10" ht="15" customHeight="1" s="6">
      <c r="A10" s="8" t="inlineStr">
        <is>
          <t>Corroboration Factor</t>
        </is>
      </c>
      <c r="B10" s="8" t="n">
        <v>0.2</v>
      </c>
      <c r="C10" s="8" t="inlineStr">
        <is>
          <t>+0.5 per independent confirming source, capped at 2 sources (max 1.0)</t>
        </is>
      </c>
    </row>
    <row r="11" ht="15" customHeight="1" s="6">
      <c r="A11" s="8" t="inlineStr">
        <is>
          <t>Completeness Factor</t>
        </is>
      </c>
      <c r="B11" s="8" t="n">
        <v>0.15</v>
      </c>
      <c r="C11" s="8" t="inlineStr">
        <is>
          <t>% of Required CDEs populated for the parent BQ</t>
        </is>
      </c>
    </row>
    <row r="12" ht="15" customHeight="1" s="6">
      <c r="A12" s="8" t="n"/>
      <c r="B12" s="8" t="n"/>
      <c r="C12" s="8" t="n"/>
    </row>
    <row r="13" ht="15" customHeight="1" s="6">
      <c r="A13" s="8" t="inlineStr">
        <is>
          <t>CONFIDENCE SCORE CALCULATOR — worked example (live formulas)</t>
        </is>
      </c>
      <c r="B13" s="8" t="n"/>
      <c r="C13" s="8" t="n"/>
    </row>
    <row r="14" ht="15" customHeight="1" s="6">
      <c r="A14" s="8" t="inlineStr">
        <is>
          <t>Evidence Source used</t>
        </is>
      </c>
      <c r="B14" s="8" t="inlineStr">
        <is>
          <t>Risk Register</t>
        </is>
      </c>
      <c r="C14" s="8" t="n"/>
    </row>
    <row r="15" ht="15" customHeight="1" s="6">
      <c r="A15" s="8" t="inlineStr">
        <is>
          <t>Source Reliability Weight (0-1)</t>
        </is>
      </c>
      <c r="B15" s="8">
        <f>VLOOKUP(B14,05_Evidence_Catalog!A:B,2,FALSE())</f>
        <v/>
      </c>
      <c r="C15" s="8" t="inlineStr">
        <is>
          <t>editable formula</t>
        </is>
      </c>
    </row>
    <row r="16" ht="15" customHeight="1" s="6">
      <c r="A16" s="8" t="inlineStr">
        <is>
          <t>Months since capture</t>
        </is>
      </c>
      <c r="B16" s="8" t="n">
        <v>2</v>
      </c>
      <c r="C16" s="8" t="inlineStr">
        <is>
          <t>editable input</t>
        </is>
      </c>
    </row>
    <row r="17" ht="15" customHeight="1" s="6">
      <c r="A17" s="8" t="inlineStr">
        <is>
          <t>Freshness Decay (months, from source)</t>
        </is>
      </c>
      <c r="B17" s="8">
        <f>VLOOKUP(B14,05_Evidence_Catalog!A:C,3,FALSE())</f>
        <v/>
      </c>
      <c r="C17" s="8" t="inlineStr">
        <is>
          <t>editable formula</t>
        </is>
      </c>
    </row>
    <row r="18" ht="15" customHeight="1" s="6">
      <c r="A18" s="8" t="inlineStr">
        <is>
          <t>Freshness Factor (0-1, floored)</t>
        </is>
      </c>
      <c r="B18" s="8">
        <f>MAX(0,1-(B16/B17))</f>
        <v/>
      </c>
      <c r="C18" s="8" t="inlineStr">
        <is>
          <t>editable formula</t>
        </is>
      </c>
    </row>
    <row r="19" ht="15" customHeight="1" s="6">
      <c r="A19" s="8" t="inlineStr">
        <is>
          <t>Independent corroborating sources (0,1,2+)</t>
        </is>
      </c>
      <c r="B19" s="8" t="n">
        <v>1</v>
      </c>
      <c r="C19" s="8" t="inlineStr">
        <is>
          <t>editable input</t>
        </is>
      </c>
    </row>
    <row r="20" ht="15" customHeight="1" s="6">
      <c r="A20" s="8" t="inlineStr">
        <is>
          <t>Corroboration Factor (0-1)</t>
        </is>
      </c>
      <c r="B20" s="8">
        <f>MIN(1,B19*0.5)</f>
        <v/>
      </c>
      <c r="C20" s="8" t="inlineStr">
        <is>
          <t>editable formula</t>
        </is>
      </c>
    </row>
    <row r="21" ht="15" customHeight="1" s="6">
      <c r="A21" s="8" t="inlineStr">
        <is>
          <t>Required CDEs for parent BQ</t>
        </is>
      </c>
      <c r="B21" s="8" t="n">
        <v>4</v>
      </c>
      <c r="C21" s="8" t="inlineStr">
        <is>
          <t>editable input</t>
        </is>
      </c>
    </row>
    <row r="22" ht="15" customHeight="1" s="6">
      <c r="A22" s="8" t="inlineStr">
        <is>
          <t>Required CDEs populated</t>
        </is>
      </c>
      <c r="B22" s="8" t="n">
        <v>4</v>
      </c>
      <c r="C22" s="8" t="inlineStr">
        <is>
          <t>editable input</t>
        </is>
      </c>
    </row>
    <row r="23" ht="15" customHeight="1" s="6">
      <c r="A23" s="8" t="inlineStr">
        <is>
          <t>Completeness Factor (0-1)</t>
        </is>
      </c>
      <c r="B23" s="8">
        <f>B22/B21</f>
        <v/>
      </c>
      <c r="C23" s="8" t="inlineStr">
        <is>
          <t>editable formula</t>
        </is>
      </c>
    </row>
    <row r="24" ht="15" customHeight="1" s="6">
      <c r="A24" s="8" t="inlineStr">
        <is>
          <t>CONFIDENCE SCORE (0-100)</t>
        </is>
      </c>
      <c r="B24" s="8">
        <f>ROUND((B15*0.4+B18*0.25+B20*0.2+B23*0.15)*100,0)</f>
        <v/>
      </c>
      <c r="C24" s="8" t="inlineStr">
        <is>
          <t>editable formula</t>
        </is>
      </c>
    </row>
    <row r="25" ht="15" customHeight="1" s="6">
      <c r="A25" s="8" t="inlineStr">
        <is>
          <t>Resulting Band</t>
        </is>
      </c>
      <c r="B25" s="8">
        <f>IF(B24&gt;=90,"Verified",IF(B24&gt;=75,"High Confidence",IF(B24&gt;=60,"Medium Confidence","Needs Validation")))</f>
        <v/>
      </c>
      <c r="C25" s="8" t="inlineStr">
        <is>
          <t>editable formula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5" customWidth="1" style="5" min="1" max="1"/>
    <col width="28" customWidth="1" style="5" min="2" max="2"/>
    <col width="33" customWidth="1" style="5" min="3" max="3"/>
    <col width="35" customWidth="1" style="5" min="4" max="4"/>
  </cols>
  <sheetData>
    <row r="1" ht="15" customHeight="1" s="6">
      <c r="A1" s="7" t="inlineStr">
        <is>
          <t>Intelligence Area</t>
        </is>
      </c>
      <c r="B1" s="7" t="inlineStr">
        <is>
          <t>Owner</t>
        </is>
      </c>
      <c r="C1" s="7" t="inlineStr">
        <is>
          <t>Validation SLA (business days)</t>
        </is>
      </c>
      <c r="D1" s="7" t="inlineStr">
        <is>
          <t>Escalation Owner (if SLA missed)</t>
        </is>
      </c>
    </row>
    <row r="2" ht="15" customHeight="1" s="6">
      <c r="A2" s="8" t="inlineStr">
        <is>
          <t>Risk Governance &amp; Oversight</t>
        </is>
      </c>
      <c r="B2" s="8" t="inlineStr">
        <is>
          <t>Chief Risk Officer</t>
        </is>
      </c>
      <c r="C2" s="8" t="n">
        <v>5</v>
      </c>
      <c r="D2" s="8" t="inlineStr">
        <is>
          <t>Board Risk Committee</t>
        </is>
      </c>
    </row>
    <row r="3" ht="15" customHeight="1" s="6">
      <c r="A3" s="8" t="inlineStr">
        <is>
          <t>Risk Taxonomy &amp; Identification</t>
        </is>
      </c>
      <c r="B3" s="8" t="inlineStr">
        <is>
          <t>Chief Risk Officer</t>
        </is>
      </c>
      <c r="C3" s="8" t="n">
        <v>5</v>
      </c>
      <c r="D3" s="8" t="inlineStr">
        <is>
          <t>CRO</t>
        </is>
      </c>
    </row>
    <row r="4" ht="15" customHeight="1" s="6">
      <c r="A4" s="8" t="inlineStr">
        <is>
          <t>Risk Appetite &amp; Tolerance</t>
        </is>
      </c>
      <c r="B4" s="8" t="inlineStr">
        <is>
          <t>Board Risk Committee</t>
        </is>
      </c>
      <c r="C4" s="8" t="n">
        <v>5</v>
      </c>
      <c r="D4" s="8" t="inlineStr">
        <is>
          <t>CEO</t>
        </is>
      </c>
    </row>
    <row r="5" ht="15" customHeight="1" s="6">
      <c r="A5" s="8" t="inlineStr">
        <is>
          <t>Risk Quantification &amp; Exposure</t>
        </is>
      </c>
      <c r="B5" s="8" t="inlineStr">
        <is>
          <t>Chief Risk Officer</t>
        </is>
      </c>
      <c r="C5" s="8" t="n">
        <v>5</v>
      </c>
      <c r="D5" s="8" t="inlineStr">
        <is>
          <t>CFO</t>
        </is>
      </c>
    </row>
    <row r="6" ht="15" customHeight="1" s="6">
      <c r="A6" s="8" t="inlineStr">
        <is>
          <t>Financial &amp; Market Risk</t>
        </is>
      </c>
      <c r="B6" s="8" t="inlineStr">
        <is>
          <t>CFO</t>
        </is>
      </c>
      <c r="C6" s="8" t="n">
        <v>5</v>
      </c>
      <c r="D6" s="8" t="inlineStr">
        <is>
          <t>CRO</t>
        </is>
      </c>
    </row>
    <row r="7" ht="15" customHeight="1" s="6">
      <c r="A7" s="8" t="inlineStr">
        <is>
          <t>Operational Risk</t>
        </is>
      </c>
      <c r="B7" s="8" t="inlineStr">
        <is>
          <t>COO</t>
        </is>
      </c>
      <c r="C7" s="8" t="n">
        <v>5</v>
      </c>
      <c r="D7" s="8" t="inlineStr">
        <is>
          <t>CRO</t>
        </is>
      </c>
    </row>
    <row r="8" ht="15" customHeight="1" s="6">
      <c r="A8" s="8" t="inlineStr">
        <is>
          <t>Strategic &amp; Reputational Risk</t>
        </is>
      </c>
      <c r="B8" s="8" t="inlineStr">
        <is>
          <t>Chief Strategy Officer</t>
        </is>
      </c>
      <c r="C8" s="8" t="n">
        <v>5</v>
      </c>
      <c r="D8" s="8" t="inlineStr">
        <is>
          <t>CRO</t>
        </is>
      </c>
    </row>
    <row r="9" ht="15" customHeight="1" s="6">
      <c r="A9" s="8" t="inlineStr">
        <is>
          <t>Geopolitical &amp; Physical Risk</t>
        </is>
      </c>
      <c r="B9" s="8" t="inlineStr">
        <is>
          <t>Chief Risk Officer</t>
        </is>
      </c>
      <c r="C9" s="8" t="n">
        <v>5</v>
      </c>
      <c r="D9" s="8" t="inlineStr">
        <is>
          <t>CEO</t>
        </is>
      </c>
    </row>
    <row r="10" ht="15" customHeight="1" s="6">
      <c r="A10" s="8" t="inlineStr">
        <is>
          <t>Third-Party &amp; Concentration Risk</t>
        </is>
      </c>
      <c r="B10" s="8" t="inlineStr">
        <is>
          <t>Chief Procurement Officer</t>
        </is>
      </c>
      <c r="C10" s="8" t="n">
        <v>5</v>
      </c>
      <c r="D10" s="8" t="inlineStr">
        <is>
          <t>CRO</t>
        </is>
      </c>
    </row>
    <row r="11" ht="15" customHeight="1" s="6">
      <c r="A11" s="8" t="inlineStr">
        <is>
          <t>Risk Monitoring &amp; Emerging Risk</t>
        </is>
      </c>
      <c r="B11" s="8" t="inlineStr">
        <is>
          <t>Chief Risk Officer</t>
        </is>
      </c>
      <c r="C11" s="8" t="n">
        <v>5</v>
      </c>
      <c r="D11" s="8" t="inlineStr">
        <is>
          <t>Board Risk Committee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5"/>
  </cols>
  <sheetData>
    <row r="1" ht="15" customHeight="1" s="6">
      <c r="A1" s="7" t="inlineStr">
        <is>
          <t>Pattern</t>
        </is>
      </c>
      <c r="B1" s="7" t="inlineStr">
        <is>
          <t>Discover</t>
        </is>
      </c>
      <c r="C1" s="7" t="inlineStr">
        <is>
          <t>Infer</t>
        </is>
      </c>
      <c r="D1" s="7" t="inlineStr">
        <is>
          <t>Validate</t>
        </is>
      </c>
      <c r="E1" s="7" t="inlineStr">
        <is>
          <t>Ask</t>
        </is>
      </c>
    </row>
    <row r="2" ht="15" customHeight="1" s="6">
      <c r="A2" s="8" t="inlineStr">
        <is>
          <t>Text, One-to-one, Universal/Multi</t>
        </is>
      </c>
      <c r="B2" s="8" t="inlineStr">
        <is>
          <t>Parse from Annual Report/Board Minutes (NLP entity extraction)</t>
        </is>
      </c>
      <c r="C2" s="8" t="inlineStr">
        <is>
          <t>If found in 1 source only, infer from investor presentation as secondary</t>
        </is>
      </c>
      <c r="D2" s="8" t="inlineStr">
        <is>
          <t>Ask user to confirm if confidence 60-89</t>
        </is>
      </c>
      <c r="E2" s="8" t="inlineStr">
        <is>
          <t>Ask outright only if confidence &lt;60 after Discover+Infer</t>
        </is>
      </c>
    </row>
    <row r="3" ht="15" customHeight="1" s="6">
      <c r="A3" s="8" t="inlineStr">
        <is>
          <t>Text, One-to-many (e.g. Material Risk, Early Warning Indicator)</t>
        </is>
      </c>
      <c r="B3" s="8" t="inlineStr">
        <is>
          <t>Parse tabular/listed sections (risk register exports, Annual Report risk factors)</t>
        </is>
      </c>
      <c r="C3" s="8" t="inlineStr">
        <is>
          <t>Cross-reference investor presentations for items not in primary source</t>
        </is>
      </c>
      <c r="D3" s="8" t="inlineStr">
        <is>
          <t>Ask user to confirm completeness of the list</t>
        </is>
      </c>
      <c r="E3" s="8" t="inlineStr">
        <is>
          <t>Ask user to supply missing entries if Discover yields zero rows</t>
        </is>
      </c>
    </row>
    <row r="4" ht="15" customHeight="1" s="6">
      <c r="A4" s="8" t="inlineStr">
        <is>
          <t>Numeric, %/Currency</t>
        </is>
      </c>
      <c r="B4" s="8" t="inlineStr">
        <is>
          <t>Parse from financial statements / risk register exports</t>
        </is>
      </c>
      <c r="C4" s="8" t="inlineStr">
        <is>
          <t>Infer from category totals if individual breakdown unavailable</t>
        </is>
      </c>
      <c r="D4" s="8" t="inlineStr">
        <is>
          <t>Ask user to confirm if multiple sources disagree by &gt;5%</t>
        </is>
      </c>
      <c r="E4" s="8" t="inlineStr">
        <is>
          <t>Ask outright if no source provides any number</t>
        </is>
      </c>
    </row>
    <row r="5" ht="15" customHeight="1" s="6">
      <c r="A5" s="8" t="inlineStr">
        <is>
          <t>Date</t>
        </is>
      </c>
      <c r="B5" s="8" t="inlineStr">
        <is>
          <t>Parse from filing metadata or Board Minutes date stamps</t>
        </is>
      </c>
      <c r="C5" s="8" t="inlineStr">
        <is>
          <t>Infer from stated review cycle if exact date not given</t>
        </is>
      </c>
      <c r="D5" s="8" t="inlineStr">
        <is>
          <t>Ask user to confirm if inferred</t>
        </is>
      </c>
      <c r="E5" s="8" t="inlineStr">
        <is>
          <t>Ask outright if no source provides a date</t>
        </is>
      </c>
    </row>
    <row r="6" ht="15" customHeight="1" s="6">
      <c r="A6" s="8" t="inlineStr">
        <is>
          <t>Boolean (tri-state)</t>
        </is>
      </c>
      <c r="B6" s="8" t="inlineStr">
        <is>
          <t>Parse explicit Yes/No statement from filings</t>
        </is>
      </c>
      <c r="C6" s="8" t="inlineStr">
        <is>
          <t>Infer False if feature/process is absent across all sources after 2 independent checks</t>
        </is>
      </c>
      <c r="D6" s="8" t="inlineStr">
        <is>
          <t>Ask user to confirm an inferred False (never auto-finalize an inferred negative)</t>
        </is>
      </c>
      <c r="E6" s="8" t="inlineStr">
        <is>
          <t>Ask outright if neither Discover nor Infer can resolve</t>
        </is>
      </c>
    </row>
    <row r="7" ht="15" customHeight="1" s="6">
      <c r="A7" s="8" t="inlineStr">
        <is>
          <t>Framework-Specific / Optional Criticality</t>
        </is>
      </c>
      <c r="B7" s="8" t="inlineStr">
        <is>
          <t>Discover only from named framework filing if one exists</t>
        </is>
      </c>
      <c r="C7" s="8" t="inlineStr">
        <is>
          <t>Skip Infer — not worth estimating</t>
        </is>
      </c>
      <c r="D7" s="8" t="inlineStr">
        <is>
          <t>Skip Validate — not worth user time unless Framework selected</t>
        </is>
      </c>
      <c r="E7" s="8" t="inlineStr">
        <is>
          <t>Ask only if a Framework requiring it is actively selected by user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3" customWidth="1" style="5" min="1" max="1"/>
    <col width="27" customWidth="1" style="5" min="2" max="2"/>
    <col width="55" customWidth="1" style="5" min="3" max="3"/>
    <col width="15" customWidth="1" style="5" min="4" max="4"/>
  </cols>
  <sheetData>
    <row r="1" ht="15" customHeight="1" s="6">
      <c r="A1" s="7" t="inlineStr">
        <is>
          <t>Framework</t>
        </is>
      </c>
      <c r="B1" s="7" t="inlineStr">
        <is>
          <t>Disclosure / Question ID</t>
        </is>
      </c>
      <c r="C1" s="7" t="inlineStr">
        <is>
          <t>Disclosure / Question Text</t>
        </is>
      </c>
      <c r="D1" s="7" t="inlineStr">
        <is>
          <t>Mapped BQ ID</t>
        </is>
      </c>
    </row>
    <row r="2" ht="15" customHeight="1" s="6">
      <c r="A2" s="8" t="inlineStr">
        <is>
          <t>BRSR</t>
        </is>
      </c>
      <c r="B2" s="8" t="inlineStr">
        <is>
          <t>P1-Q8</t>
        </is>
      </c>
      <c r="C2" s="8" t="inlineStr">
        <is>
          <t>Details of significant risks/concerns identified</t>
        </is>
      </c>
      <c r="D2" s="8" t="inlineStr">
        <is>
          <t>RI-TAX-003</t>
        </is>
      </c>
    </row>
    <row r="3" ht="15" customHeight="1" s="6">
      <c r="A3" s="8" t="inlineStr">
        <is>
          <t>GRI</t>
        </is>
      </c>
      <c r="B3" s="8" t="inlineStr">
        <is>
          <t>GRI 2-12</t>
        </is>
      </c>
      <c r="C3" s="8" t="inlineStr">
        <is>
          <t>Role of highest governance body in overseeing risk management</t>
        </is>
      </c>
      <c r="D3" s="8" t="inlineStr">
        <is>
          <t>RI-GOV-002</t>
        </is>
      </c>
    </row>
    <row r="4" ht="15" customHeight="1" s="6">
      <c r="A4" s="8" t="inlineStr">
        <is>
          <t>GRI</t>
        </is>
      </c>
      <c r="B4" s="8" t="inlineStr">
        <is>
          <t>GRI 2-25</t>
        </is>
      </c>
      <c r="C4" s="8" t="inlineStr">
        <is>
          <t>Processes to remediate negative impacts [CORRECTED: previously pointed at RI-APP-004 (risk-tolerance-breach escalation), which is NOT the same concept as GRI 2-25's actual scope (remediation of negative impacts to external stakeholders). The genuinely correct content exists in Domain 6 Compliance &amp; Regulatory Intelligence (CDE-C051/052/053, Remediation Action Committed/Due Date/Status) — this row intentionally has no Domain 4 BQ mapping; Domain 6's own Framework Mapping sheet should pick up this GRI citation in a future pass.]</t>
        </is>
      </c>
      <c r="D4" s="8" t="n"/>
    </row>
    <row r="5" ht="15" customHeight="1" s="6">
      <c r="A5" s="8" t="inlineStr">
        <is>
          <t>ISSB</t>
        </is>
      </c>
      <c r="B5" s="8" t="inlineStr">
        <is>
          <t>S1 Para 13-14</t>
        </is>
      </c>
      <c r="C5" s="8" t="inlineStr">
        <is>
          <t>Governance processes for risk monitoring</t>
        </is>
      </c>
      <c r="D5" s="8" t="inlineStr">
        <is>
          <t>RI-GOV-001</t>
        </is>
      </c>
    </row>
    <row r="6" ht="15" customHeight="1" s="6">
      <c r="A6" s="8" t="inlineStr">
        <is>
          <t>ISSB</t>
        </is>
      </c>
      <c r="B6" s="8" t="inlineStr">
        <is>
          <t>S2 Para 14-16</t>
        </is>
      </c>
      <c r="C6" s="8" t="inlineStr">
        <is>
          <t>Climate-related risk identification and assessment</t>
        </is>
      </c>
      <c r="D6" s="8" t="inlineStr">
        <is>
          <t>RI-GEO-003</t>
        </is>
      </c>
    </row>
    <row r="7" ht="15" customHeight="1" s="6">
      <c r="A7" s="8" t="inlineStr">
        <is>
          <t>ESRS</t>
        </is>
      </c>
      <c r="B7" s="8" t="inlineStr">
        <is>
          <t>ESRS 2 GOV-1</t>
        </is>
      </c>
      <c r="C7" s="8" t="inlineStr">
        <is>
          <t>Risk management and internal control</t>
        </is>
      </c>
      <c r="D7" s="8" t="inlineStr">
        <is>
          <t>RI-GOV-003</t>
        </is>
      </c>
    </row>
    <row r="8" ht="15" customHeight="1" s="6">
      <c r="A8" s="8" t="inlineStr">
        <is>
          <t>ESRS</t>
        </is>
      </c>
      <c r="B8" s="8" t="inlineStr">
        <is>
          <t>ESRS 2 IRO-1</t>
        </is>
      </c>
      <c r="C8" s="8" t="inlineStr">
        <is>
          <t>Process to identify and assess material risks</t>
        </is>
      </c>
      <c r="D8" s="8" t="inlineStr">
        <is>
          <t>RI-TAX-002</t>
        </is>
      </c>
    </row>
    <row r="9" ht="15" customHeight="1" s="6">
      <c r="A9" s="8" t="inlineStr">
        <is>
          <t>CDP</t>
        </is>
      </c>
      <c r="B9" s="8" t="inlineStr">
        <is>
          <t>C2.1</t>
        </is>
      </c>
      <c r="C9" s="8" t="inlineStr">
        <is>
          <t>Risk and opportunity identification process</t>
        </is>
      </c>
      <c r="D9" s="8" t="inlineStr">
        <is>
          <t>RI-MON-001</t>
        </is>
      </c>
    </row>
    <row r="10" ht="15" customHeight="1" s="6">
      <c r="A10" s="8" t="inlineStr">
        <is>
          <t>Integrated Reporting</t>
        </is>
      </c>
      <c r="B10" s="8" t="inlineStr">
        <is>
          <t>IR-Risks &amp; Opportunities</t>
        </is>
      </c>
      <c r="C10" s="8" t="inlineStr">
        <is>
          <t>Key risks and how they are managed</t>
        </is>
      </c>
      <c r="D10" s="8" t="inlineStr">
        <is>
          <t>RI-QNT-002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5" min="1" max="1"/>
    <col width="25" customWidth="1" style="5" min="2" max="2"/>
    <col width="15" customWidth="1" style="5" min="3" max="3"/>
    <col width="28" customWidth="1" style="5" min="4" max="4"/>
    <col width="55" customWidth="1" style="5" min="5" max="5"/>
  </cols>
  <sheetData>
    <row r="1" ht="15" customHeight="1" s="6">
      <c r="A1" s="7" t="inlineStr">
        <is>
          <t>Framework</t>
        </is>
      </c>
      <c r="B1" s="7" t="inlineStr">
        <is>
          <t>Disclosure/Question ID</t>
        </is>
      </c>
      <c r="C1" s="7" t="inlineStr">
        <is>
          <t>Mapped BQ ID</t>
        </is>
      </c>
      <c r="D1" s="7" t="inlineStr">
        <is>
          <t>Required CDE IDs (subset)</t>
        </is>
      </c>
      <c r="E1" s="7" t="inlineStr">
        <is>
          <t>CDEs Excluded (not needed by this disclosure)</t>
        </is>
      </c>
    </row>
    <row r="2" ht="15" customHeight="1" s="6">
      <c r="A2" s="8" t="inlineStr">
        <is>
          <t>GRI</t>
        </is>
      </c>
      <c r="B2" s="8" t="inlineStr">
        <is>
          <t>GRI 2-12</t>
        </is>
      </c>
      <c r="C2" s="8" t="inlineStr">
        <is>
          <t>RI-GOV-002</t>
        </is>
      </c>
      <c r="D2" s="8" t="inlineStr">
        <is>
          <t>CDE-R005,CDE-R006</t>
        </is>
      </c>
      <c r="E2" s="8" t="inlineStr">
        <is>
          <t>CDE-R007,CDE-R008 (chair name and member count not required by this narrative disclosure)</t>
        </is>
      </c>
    </row>
    <row r="3" ht="15" customHeight="1" s="6">
      <c r="A3" s="8" t="inlineStr">
        <is>
          <t>ISSB</t>
        </is>
      </c>
      <c r="B3" s="8" t="inlineStr">
        <is>
          <t>S2 Para 14-16</t>
        </is>
      </c>
      <c r="C3" s="8" t="inlineStr">
        <is>
          <t>RI-GEO-003</t>
        </is>
      </c>
      <c r="D3" s="8" t="inlineStr">
        <is>
          <t>CDE-R108,CDE-R109</t>
        </is>
      </c>
      <c r="E3" s="8" t="inlineStr">
        <is>
          <t>CDE-R110 (assessment source not required by ISSB narrative disclosure)</t>
        </is>
      </c>
    </row>
    <row r="4" ht="15" customHeight="1" s="6">
      <c r="A4" s="8" t="inlineStr">
        <is>
          <t>CDP</t>
        </is>
      </c>
      <c r="B4" s="8" t="inlineStr">
        <is>
          <t>C2.1</t>
        </is>
      </c>
      <c r="C4" s="8" t="inlineStr">
        <is>
          <t>RI-MON-001</t>
        </is>
      </c>
      <c r="D4" s="8" t="inlineStr">
        <is>
          <t>CDE-R124,CDE-R126</t>
        </is>
      </c>
      <c r="E4" s="8" t="inlineStr">
        <is>
          <t>CDE-R125 (threshold value not required by CDP process-disclosure question)</t>
        </is>
      </c>
    </row>
    <row r="5" ht="15" customHeight="1" s="6">
      <c r="A5" s="5" t="inlineStr">
        <is>
          <t>BRSR</t>
        </is>
      </c>
      <c r="B5" s="5" t="inlineStr">
        <is>
          <t>P1-Q8</t>
        </is>
      </c>
      <c r="C5" s="5" t="inlineStr">
        <is>
          <t>RI-TAX-003</t>
        </is>
      </c>
      <c r="D5" s="5" t="inlineStr">
        <is>
          <t>CDE-R027, CDE-R028, CDE-R029</t>
        </is>
      </c>
    </row>
    <row r="6" ht="15" customHeight="1" s="6">
      <c r="A6" s="5" t="inlineStr">
        <is>
          <t>ISSB</t>
        </is>
      </c>
      <c r="B6" s="5" t="inlineStr">
        <is>
          <t>S1 Para 13-14</t>
        </is>
      </c>
      <c r="C6" s="5" t="inlineStr">
        <is>
          <t>RI-GOV-001</t>
        </is>
      </c>
      <c r="D6" s="5" t="inlineStr">
        <is>
          <t>CDE-R001, CDE-R002, CDE-R003</t>
        </is>
      </c>
    </row>
    <row r="7" ht="15" customHeight="1" s="6">
      <c r="A7" s="5" t="inlineStr">
        <is>
          <t>ESRS</t>
        </is>
      </c>
      <c r="B7" s="5" t="inlineStr">
        <is>
          <t>ESRS 2 GOV-1</t>
        </is>
      </c>
      <c r="C7" s="5" t="inlineStr">
        <is>
          <t>RI-GOV-003</t>
        </is>
      </c>
      <c r="D7" s="5" t="inlineStr">
        <is>
          <t>CDE-R009, CDE-R010, CDE-R011</t>
        </is>
      </c>
    </row>
    <row r="8" ht="15" customHeight="1" s="6">
      <c r="A8" s="5" t="inlineStr">
        <is>
          <t>ESRS</t>
        </is>
      </c>
      <c r="B8" s="5" t="inlineStr">
        <is>
          <t>ESRS 2 IRO-1</t>
        </is>
      </c>
      <c r="C8" s="5" t="inlineStr">
        <is>
          <t>RI-TAX-002</t>
        </is>
      </c>
      <c r="D8" s="5" t="inlineStr">
        <is>
          <t>CDE-R024, CDE-R025</t>
        </is>
      </c>
    </row>
    <row r="9" ht="15" customHeight="1" s="6">
      <c r="A9" s="5" t="inlineStr">
        <is>
          <t>Integrated Reporting</t>
        </is>
      </c>
      <c r="B9" s="5" t="inlineStr">
        <is>
          <t>IR-Risks &amp; Opportunities</t>
        </is>
      </c>
      <c r="C9" s="5" t="inlineStr">
        <is>
          <t>RI-QNT-002</t>
        </is>
      </c>
      <c r="D9" s="5" t="inlineStr">
        <is>
          <t>CDE-R051, CDE-R052, CDE-R053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C7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5" min="1" max="1"/>
    <col width="30" customWidth="1" style="5" min="2" max="2"/>
    <col width="39" customWidth="1" style="5" min="3" max="3"/>
  </cols>
  <sheetData>
    <row r="1" ht="15" customHeight="1" s="6">
      <c r="A1" s="7" t="inlineStr">
        <is>
          <t>BQ ID</t>
        </is>
      </c>
      <c r="B1" s="7" t="inlineStr">
        <is>
          <t>Executive Question (Q1-Q12)</t>
        </is>
      </c>
      <c r="C1" s="7" t="inlineStr">
        <is>
          <t>Sacred 12 Screen</t>
        </is>
      </c>
    </row>
    <row r="2" ht="15" customHeight="1" s="6">
      <c r="A2" s="8" t="inlineStr">
        <is>
          <t>RI-GOV-001</t>
        </is>
      </c>
      <c r="B2" s="8" t="inlineStr">
        <is>
          <t>Q2 - Who Decides</t>
        </is>
      </c>
      <c r="C2" s="8" t="inlineStr">
        <is>
          <t>S3 Decision Center</t>
        </is>
      </c>
    </row>
    <row r="3" ht="15" customHeight="1" s="6">
      <c r="A3" s="8" t="inlineStr">
        <is>
          <t>RI-GOV-002</t>
        </is>
      </c>
      <c r="B3" s="8" t="inlineStr">
        <is>
          <t>Q2 - Who Decides</t>
        </is>
      </c>
      <c r="C3" s="8" t="inlineStr">
        <is>
          <t>S3 Decision Center</t>
        </is>
      </c>
    </row>
    <row r="4" ht="15" customHeight="1" s="6">
      <c r="A4" s="8" t="inlineStr">
        <is>
          <t>RI-GOV-003</t>
        </is>
      </c>
      <c r="B4" s="8" t="inlineStr">
        <is>
          <t>Q2 - Who Decides</t>
        </is>
      </c>
      <c r="C4" s="8" t="inlineStr">
        <is>
          <t>S3 Decision Center</t>
        </is>
      </c>
    </row>
    <row r="5" ht="15" customHeight="1" s="6">
      <c r="A5" s="8" t="inlineStr">
        <is>
          <t>RI-GOV-004</t>
        </is>
      </c>
      <c r="B5" s="8" t="inlineStr">
        <is>
          <t>Q2 - Who Decides</t>
        </is>
      </c>
      <c r="C5" s="8" t="inlineStr">
        <is>
          <t>S3 Decision Center</t>
        </is>
      </c>
    </row>
    <row r="6" ht="15" customHeight="1" s="6">
      <c r="A6" s="8" t="inlineStr">
        <is>
          <t>RI-GOV-005</t>
        </is>
      </c>
      <c r="B6" s="8" t="inlineStr">
        <is>
          <t>Q2 - Who Decides</t>
        </is>
      </c>
      <c r="C6" s="8" t="inlineStr">
        <is>
          <t>S3 Decision Center</t>
        </is>
      </c>
    </row>
    <row r="7" ht="15" customHeight="1" s="6">
      <c r="A7" s="8" t="inlineStr">
        <is>
          <t>RI-GOV-006</t>
        </is>
      </c>
      <c r="B7" s="8" t="inlineStr">
        <is>
          <t>Q2 - Who Decides</t>
        </is>
      </c>
      <c r="C7" s="8" t="inlineStr">
        <is>
          <t>S3 Decision Center</t>
        </is>
      </c>
    </row>
    <row r="8" ht="15" customHeight="1" s="6">
      <c r="A8" s="8" t="inlineStr">
        <is>
          <t>RI-TAX-001</t>
        </is>
      </c>
      <c r="B8" s="8" t="inlineStr">
        <is>
          <t>Q4 - The Threat Map</t>
        </is>
      </c>
      <c r="C8" s="8" t="inlineStr">
        <is>
          <t>S4 Risk &amp; Opportunity Center</t>
        </is>
      </c>
    </row>
    <row r="9" ht="15" customHeight="1" s="6">
      <c r="A9" s="8" t="inlineStr">
        <is>
          <t>RI-TAX-002</t>
        </is>
      </c>
      <c r="B9" s="8" t="inlineStr">
        <is>
          <t>Q4 - The Threat Map</t>
        </is>
      </c>
      <c r="C9" s="8" t="inlineStr">
        <is>
          <t>S4 Risk &amp; Opportunity Center</t>
        </is>
      </c>
    </row>
    <row r="10" ht="15" customHeight="1" s="6">
      <c r="A10" s="8" t="inlineStr">
        <is>
          <t>RI-TAX-003</t>
        </is>
      </c>
      <c r="B10" s="8" t="inlineStr">
        <is>
          <t>Q4 - The Threat Map</t>
        </is>
      </c>
      <c r="C10" s="8" t="inlineStr">
        <is>
          <t>S4 Risk &amp; Opportunity Center</t>
        </is>
      </c>
    </row>
    <row r="11" ht="15" customHeight="1" s="6">
      <c r="A11" s="8" t="inlineStr">
        <is>
          <t>RI-TAX-004</t>
        </is>
      </c>
      <c r="B11" s="8" t="inlineStr">
        <is>
          <t>Q4 - The Threat Map</t>
        </is>
      </c>
      <c r="C11" s="8" t="inlineStr">
        <is>
          <t>S4 Risk &amp; Opportunity Center</t>
        </is>
      </c>
    </row>
    <row r="12" ht="15" customHeight="1" s="6">
      <c r="A12" s="8" t="inlineStr">
        <is>
          <t>RI-TAX-005</t>
        </is>
      </c>
      <c r="B12" s="8" t="inlineStr">
        <is>
          <t>Q4 - The Threat Map</t>
        </is>
      </c>
      <c r="C12" s="8" t="inlineStr">
        <is>
          <t>S4 Risk &amp; Opportunity Center</t>
        </is>
      </c>
    </row>
    <row r="13" ht="15" customHeight="1" s="6">
      <c r="A13" s="8" t="inlineStr">
        <is>
          <t>RI-APP-001</t>
        </is>
      </c>
      <c r="B13" s="8" t="inlineStr">
        <is>
          <t>Q4 - The Threat Map</t>
        </is>
      </c>
      <c r="C13" s="8" t="inlineStr">
        <is>
          <t>S4 Risk &amp; Opportunity Center</t>
        </is>
      </c>
    </row>
    <row r="14" ht="15" customHeight="1" s="6">
      <c r="A14" s="8" t="inlineStr">
        <is>
          <t>RI-APP-002</t>
        </is>
      </c>
      <c r="B14" s="8" t="inlineStr">
        <is>
          <t>Q4 - The Threat Map</t>
        </is>
      </c>
      <c r="C14" s="8" t="inlineStr">
        <is>
          <t>S4 Risk &amp; Opportunity Center</t>
        </is>
      </c>
    </row>
    <row r="15" ht="15" customHeight="1" s="6">
      <c r="A15" s="8" t="inlineStr">
        <is>
          <t>RI-APP-003</t>
        </is>
      </c>
      <c r="B15" s="8" t="inlineStr">
        <is>
          <t>Q4 - The Threat Map</t>
        </is>
      </c>
      <c r="C15" s="8" t="inlineStr">
        <is>
          <t>S4 Risk &amp; Opportunity Center</t>
        </is>
      </c>
    </row>
    <row r="16" ht="15" customHeight="1" s="6">
      <c r="A16" s="8" t="inlineStr">
        <is>
          <t>RI-APP-004</t>
        </is>
      </c>
      <c r="B16" s="8" t="inlineStr">
        <is>
          <t>Q4 - The Threat Map</t>
        </is>
      </c>
      <c r="C16" s="8" t="inlineStr">
        <is>
          <t>S4 Risk &amp; Opportunity Center</t>
        </is>
      </c>
    </row>
    <row r="17" ht="15" customHeight="1" s="6">
      <c r="A17" s="8" t="inlineStr">
        <is>
          <t>RI-APP-005</t>
        </is>
      </c>
      <c r="B17" s="8" t="inlineStr">
        <is>
          <t>Q4 - The Threat Map</t>
        </is>
      </c>
      <c r="C17" s="8" t="inlineStr">
        <is>
          <t>S4 Risk &amp; Opportunity Center</t>
        </is>
      </c>
    </row>
    <row r="18" ht="15" customHeight="1" s="6">
      <c r="A18" s="8" t="inlineStr">
        <is>
          <t>RI-QNT-001</t>
        </is>
      </c>
      <c r="B18" s="8" t="inlineStr">
        <is>
          <t>Q4 - The Threat Map</t>
        </is>
      </c>
      <c r="C18" s="8" t="inlineStr">
        <is>
          <t>S4 Risk &amp; Opportunity Center</t>
        </is>
      </c>
    </row>
    <row r="19" ht="15" customHeight="1" s="6">
      <c r="A19" s="8" t="inlineStr">
        <is>
          <t>RI-QNT-002</t>
        </is>
      </c>
      <c r="B19" s="8" t="inlineStr">
        <is>
          <t>Q4 - The Threat Map</t>
        </is>
      </c>
      <c r="C19" s="8" t="inlineStr">
        <is>
          <t>S4 Risk &amp; Opportunity Center</t>
        </is>
      </c>
    </row>
    <row r="20" ht="15" customHeight="1" s="6">
      <c r="A20" s="8" t="inlineStr">
        <is>
          <t>RI-QNT-003</t>
        </is>
      </c>
      <c r="B20" s="8" t="inlineStr">
        <is>
          <t>Q4 - The Threat Map</t>
        </is>
      </c>
      <c r="C20" s="8" t="inlineStr">
        <is>
          <t>S4 Risk &amp; Opportunity Center</t>
        </is>
      </c>
    </row>
    <row r="21" ht="15" customHeight="1" s="6">
      <c r="A21" s="8" t="inlineStr">
        <is>
          <t>RI-QNT-004</t>
        </is>
      </c>
      <c r="B21" s="8" t="inlineStr">
        <is>
          <t>Q4 - The Threat Map</t>
        </is>
      </c>
      <c r="C21" s="8" t="inlineStr">
        <is>
          <t>S4 Risk &amp; Opportunity Center</t>
        </is>
      </c>
    </row>
    <row r="22" ht="15" customHeight="1" s="6">
      <c r="A22" s="8" t="inlineStr">
        <is>
          <t>RI-QNT-005</t>
        </is>
      </c>
      <c r="B22" s="8" t="inlineStr">
        <is>
          <t>Q4 - The Threat Map</t>
        </is>
      </c>
      <c r="C22" s="8" t="inlineStr">
        <is>
          <t>S4 Risk &amp; Opportunity Center</t>
        </is>
      </c>
    </row>
    <row r="23" ht="15" customHeight="1" s="6">
      <c r="A23" s="8" t="inlineStr">
        <is>
          <t>RI-QNT-006</t>
        </is>
      </c>
      <c r="B23" s="8" t="inlineStr">
        <is>
          <t>Q4 - The Threat Map</t>
        </is>
      </c>
      <c r="C23" s="8" t="inlineStr">
        <is>
          <t>S4 Risk &amp; Opportunity Center</t>
        </is>
      </c>
    </row>
    <row r="24" ht="15" customHeight="1" s="6">
      <c r="A24" s="8" t="inlineStr">
        <is>
          <t>RI-FIN-001</t>
        </is>
      </c>
      <c r="B24" s="8" t="inlineStr">
        <is>
          <t>Q3 - The Money Question</t>
        </is>
      </c>
      <c r="C24" s="8" t="inlineStr">
        <is>
          <t>S6 Financial Performance Center</t>
        </is>
      </c>
    </row>
    <row r="25" ht="15" customHeight="1" s="6">
      <c r="A25" s="8" t="inlineStr">
        <is>
          <t>RI-FIN-002</t>
        </is>
      </c>
      <c r="B25" s="8" t="inlineStr">
        <is>
          <t>Q3 - The Money Question</t>
        </is>
      </c>
      <c r="C25" s="8" t="inlineStr">
        <is>
          <t>S6 Financial Performance Center</t>
        </is>
      </c>
    </row>
    <row r="26" ht="15" customHeight="1" s="6">
      <c r="A26" s="8" t="inlineStr">
        <is>
          <t>RI-FIN-003</t>
        </is>
      </c>
      <c r="B26" s="8" t="inlineStr">
        <is>
          <t>Q3 - The Money Question</t>
        </is>
      </c>
      <c r="C26" s="8" t="inlineStr">
        <is>
          <t>S6 Financial Performance Center</t>
        </is>
      </c>
    </row>
    <row r="27" ht="15" customHeight="1" s="6">
      <c r="A27" s="8" t="inlineStr">
        <is>
          <t>RI-FIN-004</t>
        </is>
      </c>
      <c r="B27" s="8" t="inlineStr">
        <is>
          <t>Q3 - The Money Question</t>
        </is>
      </c>
      <c r="C27" s="8" t="inlineStr">
        <is>
          <t>S6 Financial Performance Center</t>
        </is>
      </c>
    </row>
    <row r="28" ht="15" customHeight="1" s="6">
      <c r="A28" s="8" t="inlineStr">
        <is>
          <t>RI-FIN-005</t>
        </is>
      </c>
      <c r="B28" s="8" t="inlineStr">
        <is>
          <t>Q3 - The Money Question</t>
        </is>
      </c>
      <c r="C28" s="8" t="inlineStr">
        <is>
          <t>S6 Financial Performance Center</t>
        </is>
      </c>
    </row>
    <row r="29" ht="15" customHeight="1" s="6">
      <c r="A29" s="8" t="inlineStr">
        <is>
          <t>RI-OPS-001</t>
        </is>
      </c>
      <c r="B29" s="8" t="inlineStr">
        <is>
          <t>Q4 - The Threat Map</t>
        </is>
      </c>
      <c r="C29" s="8" t="inlineStr">
        <is>
          <t>S4 Risk &amp; Opportunity Center</t>
        </is>
      </c>
    </row>
    <row r="30" ht="15" customHeight="1" s="6">
      <c r="A30" s="8" t="inlineStr">
        <is>
          <t>RI-OPS-002</t>
        </is>
      </c>
      <c r="B30" s="8" t="inlineStr">
        <is>
          <t>Q4 - The Threat Map</t>
        </is>
      </c>
      <c r="C30" s="8" t="inlineStr">
        <is>
          <t>S4 Risk &amp; Opportunity Center</t>
        </is>
      </c>
    </row>
    <row r="31" ht="15" customHeight="1" s="6">
      <c r="A31" s="8" t="inlineStr">
        <is>
          <t>RI-OPS-003</t>
        </is>
      </c>
      <c r="B31" s="8" t="inlineStr">
        <is>
          <t>Q4 - The Threat Map</t>
        </is>
      </c>
      <c r="C31" s="8" t="inlineStr">
        <is>
          <t>S4 Risk &amp; Opportunity Center</t>
        </is>
      </c>
    </row>
    <row r="32" ht="15" customHeight="1" s="6">
      <c r="A32" s="8" t="inlineStr">
        <is>
          <t>RI-OPS-004</t>
        </is>
      </c>
      <c r="B32" s="8" t="inlineStr">
        <is>
          <t>Q4 - The Threat Map</t>
        </is>
      </c>
      <c r="C32" s="8" t="inlineStr">
        <is>
          <t>S4 Risk &amp; Opportunity Center</t>
        </is>
      </c>
    </row>
    <row r="33" ht="15" customHeight="1" s="6">
      <c r="A33" s="8" t="inlineStr">
        <is>
          <t>RI-OPS-005</t>
        </is>
      </c>
      <c r="B33" s="8" t="inlineStr">
        <is>
          <t>Q4 - The Threat Map</t>
        </is>
      </c>
      <c r="C33" s="8" t="inlineStr">
        <is>
          <t>S4 Risk &amp; Opportunity Center</t>
        </is>
      </c>
    </row>
    <row r="34" ht="15" customHeight="1" s="6">
      <c r="A34" s="8" t="inlineStr">
        <is>
          <t>RI-STR-001</t>
        </is>
      </c>
      <c r="B34" s="8" t="inlineStr">
        <is>
          <t>Q4 - The Threat Map</t>
        </is>
      </c>
      <c r="C34" s="8" t="inlineStr">
        <is>
          <t>S4 Risk &amp; Opportunity Center</t>
        </is>
      </c>
    </row>
    <row r="35" ht="15" customHeight="1" s="6">
      <c r="A35" s="8" t="inlineStr">
        <is>
          <t>RI-STR-002</t>
        </is>
      </c>
      <c r="B35" s="8" t="inlineStr">
        <is>
          <t>Q4 - The Threat Map</t>
        </is>
      </c>
      <c r="C35" s="8" t="inlineStr">
        <is>
          <t>S4 Risk &amp; Opportunity Center</t>
        </is>
      </c>
    </row>
    <row r="36" ht="15" customHeight="1" s="6">
      <c r="A36" s="8" t="inlineStr">
        <is>
          <t>RI-STR-003</t>
        </is>
      </c>
      <c r="B36" s="8" t="inlineStr">
        <is>
          <t>Q4 - The Threat Map</t>
        </is>
      </c>
      <c r="C36" s="8" t="inlineStr">
        <is>
          <t>S4 Risk &amp; Opportunity Center</t>
        </is>
      </c>
    </row>
    <row r="37" ht="15" customHeight="1" s="6">
      <c r="A37" s="8" t="inlineStr">
        <is>
          <t>RI-STR-004</t>
        </is>
      </c>
      <c r="B37" s="8" t="inlineStr">
        <is>
          <t>Q4 - The Threat Map</t>
        </is>
      </c>
      <c r="C37" s="8" t="inlineStr">
        <is>
          <t>S4 Risk &amp; Opportunity Center</t>
        </is>
      </c>
    </row>
    <row r="38" ht="15" customHeight="1" s="6">
      <c r="A38" s="8" t="inlineStr">
        <is>
          <t>RI-STR-005</t>
        </is>
      </c>
      <c r="B38" s="8" t="inlineStr">
        <is>
          <t>Q4 - The Threat Map</t>
        </is>
      </c>
      <c r="C38" s="8" t="inlineStr">
        <is>
          <t>S4 Risk &amp; Opportunity Center</t>
        </is>
      </c>
    </row>
    <row r="39" ht="15" customHeight="1" s="6">
      <c r="A39" s="8" t="inlineStr">
        <is>
          <t>RI-GEO-001</t>
        </is>
      </c>
      <c r="B39" s="8" t="inlineStr">
        <is>
          <t>Q4 - The Threat Map</t>
        </is>
      </c>
      <c r="C39" s="8" t="inlineStr">
        <is>
          <t>S4 Risk &amp; Opportunity Center</t>
        </is>
      </c>
    </row>
    <row r="40" ht="15" customHeight="1" s="6">
      <c r="A40" s="8" t="inlineStr">
        <is>
          <t>RI-GEO-002</t>
        </is>
      </c>
      <c r="B40" s="8" t="inlineStr">
        <is>
          <t>Q4 - The Threat Map</t>
        </is>
      </c>
      <c r="C40" s="8" t="inlineStr">
        <is>
          <t>S4 Risk &amp; Opportunity Center</t>
        </is>
      </c>
    </row>
    <row r="41" ht="15" customHeight="1" s="6">
      <c r="A41" s="8" t="inlineStr">
        <is>
          <t>RI-GEO-003</t>
        </is>
      </c>
      <c r="B41" s="8" t="inlineStr">
        <is>
          <t>Q4 - The Threat Map</t>
        </is>
      </c>
      <c r="C41" s="8" t="inlineStr">
        <is>
          <t>S4 Risk &amp; Opportunity Center</t>
        </is>
      </c>
    </row>
    <row r="42" ht="15" customHeight="1" s="6">
      <c r="A42" s="8" t="inlineStr">
        <is>
          <t>RI-GEO-004</t>
        </is>
      </c>
      <c r="B42" s="8" t="inlineStr">
        <is>
          <t>Q4 - The Threat Map</t>
        </is>
      </c>
      <c r="C42" s="8" t="inlineStr">
        <is>
          <t>S4 Risk &amp; Opportunity Center</t>
        </is>
      </c>
    </row>
    <row r="43" ht="15" customHeight="1" s="6">
      <c r="A43" s="8" t="inlineStr">
        <is>
          <t>RI-TPY-001</t>
        </is>
      </c>
      <c r="B43" s="8" t="inlineStr">
        <is>
          <t>Q4 - The Threat Map</t>
        </is>
      </c>
      <c r="C43" s="8" t="inlineStr">
        <is>
          <t>S4 Risk &amp; Opportunity Center</t>
        </is>
      </c>
    </row>
    <row r="44" ht="15" customHeight="1" s="6">
      <c r="A44" s="8" t="inlineStr">
        <is>
          <t>RI-TPY-002</t>
        </is>
      </c>
      <c r="B44" s="8" t="inlineStr">
        <is>
          <t>Q4 - The Threat Map</t>
        </is>
      </c>
      <c r="C44" s="8" t="inlineStr">
        <is>
          <t>S4 Risk &amp; Opportunity Center</t>
        </is>
      </c>
    </row>
    <row r="45" ht="15" customHeight="1" s="6">
      <c r="A45" s="8" t="inlineStr">
        <is>
          <t>RI-TPY-003</t>
        </is>
      </c>
      <c r="B45" s="8" t="inlineStr">
        <is>
          <t>Q4 - The Threat Map</t>
        </is>
      </c>
      <c r="C45" s="8" t="inlineStr">
        <is>
          <t>S4 Risk &amp; Opportunity Center</t>
        </is>
      </c>
    </row>
    <row r="46" ht="15" customHeight="1" s="6">
      <c r="A46" s="8" t="inlineStr">
        <is>
          <t>RI-TPY-004</t>
        </is>
      </c>
      <c r="B46" s="8" t="inlineStr">
        <is>
          <t>Q4 - The Threat Map</t>
        </is>
      </c>
      <c r="C46" s="8" t="inlineStr">
        <is>
          <t>S4 Risk &amp; Opportunity Center</t>
        </is>
      </c>
    </row>
    <row r="47" ht="15" customHeight="1" s="6">
      <c r="A47" s="8" t="inlineStr">
        <is>
          <t>RI-TPY-005</t>
        </is>
      </c>
      <c r="B47" s="8" t="inlineStr">
        <is>
          <t>Q4 - The Threat Map</t>
        </is>
      </c>
      <c r="C47" s="8" t="inlineStr">
        <is>
          <t>S4 Risk &amp; Opportunity Center</t>
        </is>
      </c>
    </row>
    <row r="48" ht="15" customHeight="1" s="6">
      <c r="A48" s="8" t="inlineStr">
        <is>
          <t>RI-MON-001</t>
        </is>
      </c>
      <c r="B48" s="8" t="inlineStr">
        <is>
          <t>Q4 - The Threat Map</t>
        </is>
      </c>
      <c r="C48" s="8" t="inlineStr">
        <is>
          <t>S4 Risk &amp; Opportunity Center</t>
        </is>
      </c>
    </row>
    <row r="49" ht="15" customHeight="1" s="6">
      <c r="A49" s="8" t="inlineStr">
        <is>
          <t>RI-MON-002</t>
        </is>
      </c>
      <c r="B49" s="8" t="inlineStr">
        <is>
          <t>Q4 - The Threat Map</t>
        </is>
      </c>
      <c r="C49" s="8" t="inlineStr">
        <is>
          <t>S4 Risk &amp; Opportunity Center</t>
        </is>
      </c>
    </row>
    <row r="50" ht="15" customHeight="1" s="6">
      <c r="A50" s="8" t="inlineStr">
        <is>
          <t>RI-MON-003</t>
        </is>
      </c>
      <c r="B50" s="8" t="inlineStr">
        <is>
          <t>Q4 - The Threat Map</t>
        </is>
      </c>
      <c r="C50" s="8" t="inlineStr">
        <is>
          <t>S4 Risk &amp; Opportunity Center</t>
        </is>
      </c>
    </row>
    <row r="51" ht="15" customHeight="1" s="6">
      <c r="A51" s="8" t="inlineStr">
        <is>
          <t>RI-MON-004</t>
        </is>
      </c>
      <c r="B51" s="8" t="inlineStr">
        <is>
          <t>Q4 - The Threat Map</t>
        </is>
      </c>
      <c r="C51" s="8" t="inlineStr">
        <is>
          <t>S4 Risk &amp; Opportunity Center</t>
        </is>
      </c>
    </row>
    <row r="52" ht="15" customHeight="1" s="6">
      <c r="A52" s="8" t="inlineStr">
        <is>
          <t>RI-MON-005</t>
        </is>
      </c>
      <c r="B52" s="8" t="inlineStr">
        <is>
          <t>Q4 - The Threat Map</t>
        </is>
      </c>
      <c r="C52" s="8" t="inlineStr">
        <is>
          <t>S4 Risk &amp; Opportunity Center</t>
        </is>
      </c>
    </row>
    <row r="53" ht="15" customHeight="1" s="6">
      <c r="A53" s="8" t="inlineStr">
        <is>
          <t>RI-GOV-007</t>
        </is>
      </c>
      <c r="B53" s="8" t="inlineStr">
        <is>
          <t>Q2 - Who Decides</t>
        </is>
      </c>
      <c r="C53" s="8" t="inlineStr">
        <is>
          <t>S3 Decision Center</t>
        </is>
      </c>
    </row>
    <row r="54" ht="15" customHeight="1" s="6">
      <c r="A54" s="8" t="inlineStr">
        <is>
          <t>RI-QNT-007</t>
        </is>
      </c>
      <c r="B54" s="8" t="inlineStr">
        <is>
          <t>Q4 - The Threat Map</t>
        </is>
      </c>
      <c r="C54" s="8" t="inlineStr">
        <is>
          <t>S4 Risk &amp; Opportunity Center</t>
        </is>
      </c>
    </row>
    <row r="55" ht="15" customHeight="1" s="6">
      <c r="A55" s="8" t="inlineStr">
        <is>
          <t>RI-FIN-006</t>
        </is>
      </c>
      <c r="B55" s="8" t="inlineStr">
        <is>
          <t>Q3 - The Money Question</t>
        </is>
      </c>
      <c r="C55" s="8" t="inlineStr">
        <is>
          <t>S6 Financial Performance Center</t>
        </is>
      </c>
    </row>
    <row r="56" ht="15" customHeight="1" s="6">
      <c r="A56" s="8" t="inlineStr">
        <is>
          <t>RI-APP-006</t>
        </is>
      </c>
      <c r="B56" s="8" t="inlineStr">
        <is>
          <t>Q4 - The Threat Map</t>
        </is>
      </c>
      <c r="C56" s="8" t="inlineStr">
        <is>
          <t>S4 Risk &amp; Opportunity Center</t>
        </is>
      </c>
    </row>
    <row r="57" ht="15" customHeight="1" s="6">
      <c r="A57" s="8" t="inlineStr">
        <is>
          <t>RI-OPS-006</t>
        </is>
      </c>
      <c r="B57" s="8" t="inlineStr">
        <is>
          <t>Q4 - The Threat Map</t>
        </is>
      </c>
      <c r="C57" s="8" t="inlineStr">
        <is>
          <t>S4 Risk &amp; Opportunity Center</t>
        </is>
      </c>
    </row>
    <row r="58" ht="15" customHeight="1" s="6">
      <c r="A58" s="8" t="inlineStr">
        <is>
          <t>RI-TAX-006</t>
        </is>
      </c>
      <c r="B58" s="8" t="inlineStr">
        <is>
          <t>Q6 - Regulatory Exposure</t>
        </is>
      </c>
      <c r="C58" s="8" t="inlineStr">
        <is>
          <t>S7 Regulatory &amp; Compliance Center</t>
        </is>
      </c>
    </row>
    <row r="59" ht="15" customHeight="1" s="6">
      <c r="A59" s="8" t="inlineStr">
        <is>
          <t>RI-TAX-007</t>
        </is>
      </c>
      <c r="B59" s="8" t="inlineStr">
        <is>
          <t>Q4 - The Threat Map</t>
        </is>
      </c>
      <c r="C59" s="8" t="inlineStr">
        <is>
          <t>S4 Risk &amp; Opportunity Center</t>
        </is>
      </c>
    </row>
    <row r="60" ht="15" customHeight="1" s="6">
      <c r="A60" s="8" t="inlineStr">
        <is>
          <t>RI-APP-007</t>
        </is>
      </c>
      <c r="B60" s="8" t="inlineStr">
        <is>
          <t>Q2 - Who Decides</t>
        </is>
      </c>
      <c r="C60" s="8" t="inlineStr">
        <is>
          <t>S3 Decision Center</t>
        </is>
      </c>
    </row>
    <row r="61" ht="15" customHeight="1" s="6">
      <c r="A61" s="8" t="inlineStr">
        <is>
          <t>RI-OPS-007</t>
        </is>
      </c>
      <c r="B61" s="8" t="inlineStr">
        <is>
          <t>Q4 - The Threat Map</t>
        </is>
      </c>
      <c r="C61" s="8" t="inlineStr">
        <is>
          <t>S4 Risk &amp; Opportunity Center</t>
        </is>
      </c>
    </row>
    <row r="62" ht="15" customHeight="1" s="6">
      <c r="A62" s="8" t="inlineStr">
        <is>
          <t>RI-QNT-008</t>
        </is>
      </c>
      <c r="B62" s="8" t="inlineStr">
        <is>
          <t>Q3 - The Money Question</t>
        </is>
      </c>
      <c r="C62" s="8" t="inlineStr">
        <is>
          <t>S6 Financial Performance Center</t>
        </is>
      </c>
    </row>
    <row r="63" ht="15" customHeight="1" s="6">
      <c r="A63" s="8" t="inlineStr">
        <is>
          <t>RI-QNT-009</t>
        </is>
      </c>
      <c r="B63" s="8" t="inlineStr">
        <is>
          <t>Q4 - The Threat Map</t>
        </is>
      </c>
      <c r="C63" s="8" t="inlineStr">
        <is>
          <t>S4 Risk &amp; Opportunity Center</t>
        </is>
      </c>
    </row>
    <row r="64" ht="15" customHeight="1" s="6">
      <c r="A64" s="8" t="inlineStr">
        <is>
          <t>RI-GOV-008</t>
        </is>
      </c>
      <c r="B64" s="8" t="inlineStr">
        <is>
          <t>Q2 - Who Decides</t>
        </is>
      </c>
      <c r="C64" s="8" t="inlineStr">
        <is>
          <t>S3 Decision Center</t>
        </is>
      </c>
    </row>
    <row r="65" ht="15" customHeight="1" s="6">
      <c r="A65" s="8" t="inlineStr">
        <is>
          <t>RI-GOV-009</t>
        </is>
      </c>
      <c r="B65" s="8" t="inlineStr">
        <is>
          <t>Q6 - Regulatory Exposure</t>
        </is>
      </c>
      <c r="C65" s="8" t="inlineStr">
        <is>
          <t>S7 Regulatory &amp; Compliance Center</t>
        </is>
      </c>
    </row>
    <row r="66" ht="15" customHeight="1" s="6">
      <c r="A66" s="8" t="inlineStr">
        <is>
          <t>RI-GOV-010</t>
        </is>
      </c>
      <c r="B66" s="8" t="inlineStr">
        <is>
          <t>Q2 - Who Decides</t>
        </is>
      </c>
      <c r="C66" s="8" t="inlineStr">
        <is>
          <t>S3 Decision Center</t>
        </is>
      </c>
    </row>
    <row r="67" ht="15" customHeight="1" s="6">
      <c r="A67" s="8" t="inlineStr">
        <is>
          <t>RI-GOV-011</t>
        </is>
      </c>
      <c r="B67" s="8" t="inlineStr">
        <is>
          <t>Q12 - Are We Ready</t>
        </is>
      </c>
      <c r="C67" s="8" t="inlineStr">
        <is>
          <t>S12 Executive Readiness</t>
        </is>
      </c>
    </row>
    <row r="68" ht="15" customHeight="1" s="6">
      <c r="A68" s="8" t="inlineStr">
        <is>
          <t>RI-GOV-012</t>
        </is>
      </c>
      <c r="B68" s="8" t="inlineStr">
        <is>
          <t>Q2 - Who Decides</t>
        </is>
      </c>
      <c r="C68" s="8" t="inlineStr">
        <is>
          <t>S3 Decision Center</t>
        </is>
      </c>
    </row>
    <row r="69" ht="15" customHeight="1" s="6">
      <c r="A69" s="8" t="inlineStr">
        <is>
          <t>RI-QNT-010</t>
        </is>
      </c>
      <c r="B69" s="8" t="inlineStr">
        <is>
          <t>Q4 - The Threat Map</t>
        </is>
      </c>
      <c r="C69" s="8" t="inlineStr">
        <is>
          <t>S4 Risk &amp; Opportunity Center</t>
        </is>
      </c>
    </row>
    <row r="70" ht="15" customHeight="1" s="6">
      <c r="A70" s="8" t="inlineStr">
        <is>
          <t>RI-QNT-011</t>
        </is>
      </c>
      <c r="B70" s="8" t="inlineStr">
        <is>
          <t>Q3 - The Money Question</t>
        </is>
      </c>
      <c r="C70" s="8" t="inlineStr">
        <is>
          <t>S6 Financial Performance Center</t>
        </is>
      </c>
    </row>
    <row r="71" ht="15" customHeight="1" s="6">
      <c r="A71" s="8" t="inlineStr">
        <is>
          <t>RI-GOV-013</t>
        </is>
      </c>
      <c r="B71" s="8" t="inlineStr">
        <is>
          <t>Q6 - Regulatory Exposure</t>
        </is>
      </c>
      <c r="C71" s="8" t="inlineStr">
        <is>
          <t>S7 Regulatory &amp; Compliance Center</t>
        </is>
      </c>
    </row>
    <row r="72" ht="15" customHeight="1" s="6">
      <c r="A72" s="8" t="inlineStr">
        <is>
          <t>RI-MON-006</t>
        </is>
      </c>
      <c r="B72" s="8" t="inlineStr">
        <is>
          <t>Q4 - The Threat Map</t>
        </is>
      </c>
      <c r="C72" s="8" t="inlineStr">
        <is>
          <t>S4 Risk &amp; Opportunity Center</t>
        </is>
      </c>
    </row>
    <row r="73" ht="15" customHeight="1" s="6">
      <c r="A73" s="8" t="inlineStr">
        <is>
          <t>RI-OPS-008</t>
        </is>
      </c>
      <c r="B73" s="8" t="inlineStr">
        <is>
          <t>Q6 - Regulatory Exposure</t>
        </is>
      </c>
      <c r="C73" s="8" t="inlineStr">
        <is>
          <t>S7 Regulatory &amp; Compliance Center</t>
        </is>
      </c>
    </row>
    <row r="74" ht="15" customHeight="1" s="6">
      <c r="A74" s="8" t="inlineStr">
        <is>
          <t>RI-GOV-014</t>
        </is>
      </c>
      <c r="B74" s="8" t="inlineStr">
        <is>
          <t>Q8 - Competitive Position</t>
        </is>
      </c>
      <c r="C74" s="8" t="inlineStr">
        <is>
          <t>S8 Market &amp; Competitive Intelligence</t>
        </is>
      </c>
    </row>
    <row r="75" ht="15" customHeight="1" s="6">
      <c r="A75" s="8" t="inlineStr">
        <is>
          <t>RI-TAX-008</t>
        </is>
      </c>
      <c r="B75" s="8" t="inlineStr">
        <is>
          <t>Q2 - Who Decides</t>
        </is>
      </c>
      <c r="C75" s="8" t="inlineStr">
        <is>
          <t>S3 Decision Center</t>
        </is>
      </c>
    </row>
    <row r="76" ht="15" customHeight="1" s="6">
      <c r="A76" s="8" t="inlineStr">
        <is>
          <t>RI-TPY-006</t>
        </is>
      </c>
      <c r="B76" s="8" t="inlineStr">
        <is>
          <t>Q4 - The Threat Map</t>
        </is>
      </c>
      <c r="C76" s="8" t="inlineStr">
        <is>
          <t>S4 Risk &amp; Opportunity Center</t>
        </is>
      </c>
    </row>
    <row r="77" ht="15" customHeight="1" s="6">
      <c r="A77" s="8" t="inlineStr">
        <is>
          <t>RI-STR-006</t>
        </is>
      </c>
      <c r="B77" s="8" t="inlineStr">
        <is>
          <t>Q4 - The Threat Map</t>
        </is>
      </c>
      <c r="C77" s="8" t="inlineStr">
        <is>
          <t>S4 Risk &amp; Opportunity Center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C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5" customWidth="1" style="5" min="1" max="3"/>
  </cols>
  <sheetData>
    <row r="1" ht="15" customHeight="1" s="6">
      <c r="A1" s="7" t="inlineStr">
        <is>
          <t>Roll-up Level</t>
        </is>
      </c>
      <c r="B1" s="7" t="inlineStr">
        <is>
          <t>Formula / Method</t>
        </is>
      </c>
      <c r="C1" s="7" t="inlineStr">
        <is>
          <t>Worked Example</t>
        </is>
      </c>
    </row>
    <row r="2" ht="15" customHeight="1" s="6">
      <c r="A2" s="8" t="inlineStr">
        <is>
          <t>CDE -&gt; BQ</t>
        </is>
      </c>
      <c r="B2" s="8" t="inlineStr">
        <is>
          <t>BQ Confidence = weighted average of all mapped CDE confidence scores, weighted by Executive Criticality (Required=1.0, Recommended=0.6, Supplemental=0.3)</t>
        </is>
      </c>
      <c r="C2" s="8" t="inlineStr">
        <is>
          <t>RI-TAX-003 has 3 CDEs: Required@85, Required@80, Recommended@65 -&gt; (85*1+80*1+65*0.6)/(1+1+0.6) = 204/2.6 = 78.5</t>
        </is>
      </c>
    </row>
    <row r="3" ht="15" customHeight="1" s="6">
      <c r="A3" s="8" t="inlineStr">
        <is>
          <t>BQ -&gt; BIR</t>
        </is>
      </c>
      <c r="B3" s="8" t="inlineStr">
        <is>
          <t>BIR Confidence = simple average of all BQ confidence scores nested under that BIR</t>
        </is>
      </c>
      <c r="C3" s="8" t="inlineStr">
        <is>
          <t>BIR-RI-02 has 5 BQs averaging to 74.8 -&gt; BIR-RI-02 Confidence = 74.8</t>
        </is>
      </c>
    </row>
    <row r="4" ht="15" customHeight="1" s="6">
      <c r="A4" s="8" t="inlineStr">
        <is>
          <t>BIR -&gt; Intelligence Area</t>
        </is>
      </c>
      <c r="B4" s="8" t="inlineStr">
        <is>
          <t>IA Confidence = simple average of all BIR confidence scores nested under that IA (most IAs have exactly 1 BIR, so this is usually 1:1 passthrough)</t>
        </is>
      </c>
      <c r="C4" s="8" t="inlineStr">
        <is>
          <t>Intelligence Area "Risk Taxonomy &amp; Identification" has 1 BIR (BIR-RI-02) at 74.8 -&gt; IA Confidence = 74.8</t>
        </is>
      </c>
    </row>
    <row r="5" ht="15" customHeight="1" s="6">
      <c r="A5" s="8" t="inlineStr">
        <is>
          <t>Intelligence Area -&gt; Domain</t>
        </is>
      </c>
      <c r="B5" s="8" t="inlineStr">
        <is>
          <t>Domain Confidence = weighted average of all 10 IA confidence scores, weighted by number of Required CDEs in each IA (IAs with more Required facts carry more weight)</t>
        </is>
      </c>
      <c r="C5" s="8" t="inlineStr">
        <is>
          <t>See worked roll-up below for Risk Intelligence domain</t>
        </is>
      </c>
    </row>
    <row r="6" ht="15" customHeight="1" s="6">
      <c r="A6" s="8" t="n"/>
      <c r="B6" s="8" t="n"/>
      <c r="C6" s="8" t="n"/>
    </row>
    <row r="7" ht="15" customHeight="1" s="6">
      <c r="A7" s="9" t="inlineStr">
        <is>
          <t>⚠ REPLICATION NOTE: Rows below are a WORKED EXAMPLE for this domain only. When building another domain, replace the Intelligence Area names and illustrative values with that domain's own — do not leave this domain's labels in place. The FORMULA is domain-agnostic and structural; the ROWS ABOVE the formula are domain-specific content.</t>
        </is>
      </c>
      <c r="B7" s="8" t="n"/>
      <c r="C7" s="8" t="n"/>
    </row>
    <row r="8" ht="15" customHeight="1" s="6">
      <c r="A8" s="8" t="inlineStr">
        <is>
          <t>DOMAIN ROLL-UP WORKED EXAMPLE (Risk Intelligence)</t>
        </is>
      </c>
      <c r="B8" s="8" t="n"/>
      <c r="C8" s="8" t="n"/>
    </row>
    <row r="9" ht="15" customHeight="1" s="6">
      <c r="A9" s="8" t="inlineStr">
        <is>
          <t>Intelligence Area</t>
        </is>
      </c>
      <c r="B9" s="8" t="inlineStr">
        <is>
          <t>Illustrative IA Confidence (0-100)</t>
        </is>
      </c>
      <c r="C9" s="8" t="inlineStr">
        <is>
          <t>Required CDE Count (weight)</t>
        </is>
      </c>
    </row>
    <row r="10" ht="15" customHeight="1" s="6">
      <c r="A10" s="8" t="inlineStr">
        <is>
          <t>Risk Governance &amp; Oversight</t>
        </is>
      </c>
      <c r="B10" s="8" t="n">
        <v>82</v>
      </c>
      <c r="C10" s="8" t="n">
        <v>10</v>
      </c>
    </row>
    <row r="11" ht="15" customHeight="1" s="6">
      <c r="A11" s="8" t="inlineStr">
        <is>
          <t>Risk Taxonomy &amp; Identification</t>
        </is>
      </c>
      <c r="B11" s="8" t="n">
        <v>75</v>
      </c>
      <c r="C11" s="8" t="n">
        <v>8</v>
      </c>
    </row>
    <row r="12" ht="15" customHeight="1" s="6">
      <c r="A12" s="8" t="inlineStr">
        <is>
          <t>Risk Appetite &amp; Tolerance</t>
        </is>
      </c>
      <c r="B12" s="8" t="n">
        <v>70</v>
      </c>
      <c r="C12" s="8" t="n">
        <v>7</v>
      </c>
    </row>
    <row r="13" ht="15" customHeight="1" s="6">
      <c r="A13" s="8" t="inlineStr">
        <is>
          <t>Risk Quantification &amp; Exposure</t>
        </is>
      </c>
      <c r="B13" s="8" t="n">
        <v>73</v>
      </c>
      <c r="C13" s="8" t="n">
        <v>11</v>
      </c>
    </row>
    <row r="14" ht="15" customHeight="1" s="6">
      <c r="A14" s="8" t="inlineStr">
        <is>
          <t>Financial &amp; Market Risk</t>
        </is>
      </c>
      <c r="B14" s="8" t="n">
        <v>78</v>
      </c>
      <c r="C14" s="8" t="n">
        <v>9</v>
      </c>
    </row>
    <row r="15" ht="15" customHeight="1" s="6">
      <c r="A15" s="8" t="inlineStr">
        <is>
          <t>Operational Risk</t>
        </is>
      </c>
      <c r="B15" s="8" t="n">
        <v>71</v>
      </c>
      <c r="C15" s="8" t="n">
        <v>9</v>
      </c>
    </row>
    <row r="16" ht="15" customHeight="1" s="6">
      <c r="A16" s="8" t="inlineStr">
        <is>
          <t>Strategic &amp; Reputational Risk</t>
        </is>
      </c>
      <c r="B16" s="8" t="n">
        <v>69</v>
      </c>
      <c r="C16" s="8" t="n">
        <v>8</v>
      </c>
    </row>
    <row r="17" ht="15" customHeight="1" s="6">
      <c r="A17" s="8" t="inlineStr">
        <is>
          <t>Geopolitical &amp; Physical Risk</t>
        </is>
      </c>
      <c r="B17" s="8" t="n">
        <v>65</v>
      </c>
      <c r="C17" s="8" t="n">
        <v>7</v>
      </c>
    </row>
    <row r="18" ht="15" customHeight="1" s="6">
      <c r="A18" s="8" t="inlineStr">
        <is>
          <t>Third-Party &amp; Concentration Risk</t>
        </is>
      </c>
      <c r="B18" s="8" t="n">
        <v>68</v>
      </c>
      <c r="C18" s="8" t="n">
        <v>7</v>
      </c>
    </row>
    <row r="19" ht="15" customHeight="1" s="6">
      <c r="A19" s="8" t="inlineStr">
        <is>
          <t>Risk Monitoring &amp; Emerging Risk</t>
        </is>
      </c>
      <c r="B19" s="8" t="n">
        <v>64</v>
      </c>
      <c r="C19" s="8" t="n">
        <v>7</v>
      </c>
    </row>
    <row r="20" ht="15" customHeight="1" s="6">
      <c r="A20" s="8" t="n"/>
      <c r="B20" s="8" t="n"/>
      <c r="C20" s="8" t="n"/>
    </row>
    <row r="21" ht="15" customHeight="1" s="6">
      <c r="A21" s="8" t="inlineStr">
        <is>
          <t>DOMAIN CONFIDENCE (weighted avg)</t>
        </is>
      </c>
      <c r="B21" s="8" t="n"/>
      <c r="C21" s="8" t="n"/>
    </row>
    <row r="22" ht="15" customHeight="1" s="6">
      <c r="A22" s="8" t="inlineStr">
        <is>
          <t>Formula</t>
        </is>
      </c>
      <c r="B22" s="8">
        <f>SUMPRODUCT(B10:B19,C10:C19)/SUM(C10:C19)</f>
        <v/>
      </c>
      <c r="C22" s="8" t="n"/>
    </row>
    <row r="23" ht="15" customHeight="1" s="6">
      <c r="A23" s="8" t="inlineStr">
        <is>
          <t>Computed Domain Confidence</t>
        </is>
      </c>
      <c r="B23" s="8">
        <f>ROUND(B22,1)</f>
        <v/>
      </c>
      <c r="C23" s="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E24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5" min="1" max="1"/>
    <col width="55" customWidth="1" style="5" min="2" max="2"/>
    <col width="42" customWidth="1" style="5" min="3" max="3"/>
    <col width="55" customWidth="1" style="5" min="4" max="5"/>
  </cols>
  <sheetData>
    <row r="1" ht="15" customHeight="1" s="6">
      <c r="A1" s="7" t="inlineStr">
        <is>
          <t>CDE ID</t>
        </is>
      </c>
      <c r="B1" s="7" t="inlineStr">
        <is>
          <t>CDE Name</t>
        </is>
      </c>
      <c r="C1" s="7" t="inlineStr">
        <is>
          <t>System of Record Category</t>
        </is>
      </c>
      <c r="D1" s="7" t="inlineStr">
        <is>
          <t>Specific System Examples</t>
        </is>
      </c>
      <c r="E1" s="7" t="inlineStr">
        <is>
          <t>Notes</t>
        </is>
      </c>
    </row>
    <row r="2" ht="15" customHeight="1" s="6">
      <c r="A2" s="8" t="inlineStr">
        <is>
          <t>CDE-R001</t>
        </is>
      </c>
      <c r="B2" s="8" t="inlineStr">
        <is>
          <t>Chief Risk Officer Exists</t>
        </is>
      </c>
      <c r="C2" s="8" t="inlineStr">
        <is>
          <t>Annual Report / Public Filing</t>
        </is>
      </c>
      <c r="D2" s="8" t="inlineStr">
        <is>
          <t>Annual Report PDF, regulatory filing portal</t>
        </is>
      </c>
      <c r="E2" s="8" t="inlineStr">
        <is>
          <t>Default Evidence Source declared: Annual Report</t>
        </is>
      </c>
    </row>
    <row r="3" ht="15" customHeight="1" s="6">
      <c r="A3" s="8" t="inlineStr">
        <is>
          <t>CDE-R002</t>
        </is>
      </c>
      <c r="B3" s="8" t="inlineStr">
        <is>
          <t>CRO Name</t>
        </is>
      </c>
      <c r="C3" s="8" t="inlineStr">
        <is>
          <t>Governance / Board Management System</t>
        </is>
      </c>
      <c r="D3" s="8" t="inlineStr">
        <is>
          <t>Diligent, BoardEffect, internal Company Secretary records</t>
        </is>
      </c>
      <c r="E3" s="8" t="inlineStr">
        <is>
          <t>Default Evidence Source declared: Annual Report</t>
        </is>
      </c>
    </row>
    <row r="4" ht="15" customHeight="1" s="6">
      <c r="A4" s="8" t="inlineStr">
        <is>
          <t>CDE-R003</t>
        </is>
      </c>
      <c r="B4" s="8" t="inlineStr">
        <is>
          <t>CRO Reports To</t>
        </is>
      </c>
      <c r="C4" s="8" t="inlineStr">
        <is>
          <t>Governance / Board Management System</t>
        </is>
      </c>
      <c r="D4" s="8" t="inlineStr">
        <is>
          <t>Diligent, BoardEffect, internal Company Secretary records</t>
        </is>
      </c>
      <c r="E4" s="8" t="inlineStr">
        <is>
          <t>Default Evidence Source declared: Annual Report</t>
        </is>
      </c>
    </row>
    <row r="5" ht="15" customHeight="1" s="6">
      <c r="A5" s="8" t="inlineStr">
        <is>
          <t>CDE-R004</t>
        </is>
      </c>
      <c r="B5" s="8" t="inlineStr">
        <is>
          <t>CRO Appointment Date</t>
        </is>
      </c>
      <c r="C5" s="8" t="inlineStr">
        <is>
          <t>Governance / Board Management System</t>
        </is>
      </c>
      <c r="D5" s="8" t="inlineStr">
        <is>
          <t>Diligent, BoardEffect, internal Company Secretary records</t>
        </is>
      </c>
      <c r="E5" s="8" t="inlineStr">
        <is>
          <t>Default Evidence Source declared: Board Minutes</t>
        </is>
      </c>
    </row>
    <row r="6" ht="15" customHeight="1" s="6">
      <c r="A6" s="8" t="inlineStr">
        <is>
          <t>CDE-R005</t>
        </is>
      </c>
      <c r="B6" s="8" t="inlineStr">
        <is>
          <t>Board Risk Committee Exists</t>
        </is>
      </c>
      <c r="C6" s="8" t="inlineStr">
        <is>
          <t>Governance / Board Management System</t>
        </is>
      </c>
      <c r="D6" s="8" t="inlineStr">
        <is>
          <t>Diligent, BoardEffect, internal Company Secretary records</t>
        </is>
      </c>
      <c r="E6" s="8" t="inlineStr">
        <is>
          <t>Default Evidence Source declared: Annual Report</t>
        </is>
      </c>
    </row>
    <row r="7" ht="15" customHeight="1" s="6">
      <c r="A7" s="8" t="inlineStr">
        <is>
          <t>CDE-R006</t>
        </is>
      </c>
      <c r="B7" s="8" t="inlineStr">
        <is>
          <t>Board Risk Committee Meeting Frequency</t>
        </is>
      </c>
      <c r="C7" s="8" t="inlineStr">
        <is>
          <t>Governance / Board Management System</t>
        </is>
      </c>
      <c r="D7" s="8" t="inlineStr">
        <is>
          <t>Diligent, BoardEffect, internal Company Secretary records</t>
        </is>
      </c>
      <c r="E7" s="8" t="inlineStr">
        <is>
          <t>Default Evidence Source declared: Board Minutes</t>
        </is>
      </c>
    </row>
    <row r="8" ht="15" customHeight="1" s="6">
      <c r="A8" s="8" t="inlineStr">
        <is>
          <t>CDE-R007</t>
        </is>
      </c>
      <c r="B8" s="8" t="inlineStr">
        <is>
          <t>Board Risk Committee Chair Name</t>
        </is>
      </c>
      <c r="C8" s="8" t="inlineStr">
        <is>
          <t>Governance / Board Management System</t>
        </is>
      </c>
      <c r="D8" s="8" t="inlineStr">
        <is>
          <t>Diligent, BoardEffect, internal Company Secretary records</t>
        </is>
      </c>
      <c r="E8" s="8" t="inlineStr">
        <is>
          <t>Default Evidence Source declared: Annual Report</t>
        </is>
      </c>
    </row>
    <row r="9" ht="15" customHeight="1" s="6">
      <c r="A9" s="8" t="inlineStr">
        <is>
          <t>CDE-R008</t>
        </is>
      </c>
      <c r="B9" s="8" t="inlineStr">
        <is>
          <t>Board Risk Committee Member Count</t>
        </is>
      </c>
      <c r="C9" s="8" t="inlineStr">
        <is>
          <t>Governance / Board Management System</t>
        </is>
      </c>
      <c r="D9" s="8" t="inlineStr">
        <is>
          <t>Diligent, BoardEffect, internal Company Secretary records</t>
        </is>
      </c>
      <c r="E9" s="8" t="inlineStr">
        <is>
          <t>Default Evidence Source declared: Annual Report</t>
        </is>
      </c>
    </row>
    <row r="10" ht="15" customHeight="1" s="6">
      <c r="A10" s="8" t="inlineStr">
        <is>
          <t>CDE-R009</t>
        </is>
      </c>
      <c r="B10" s="8" t="inlineStr">
        <is>
          <t>Three Lines of Defense Model Implemented</t>
        </is>
      </c>
      <c r="C10" s="8" t="inlineStr">
        <is>
          <t>Governance / Board Management System</t>
        </is>
      </c>
      <c r="D10" s="8" t="inlineStr">
        <is>
          <t>Diligent, BoardEffect, internal Company Secretary records</t>
        </is>
      </c>
      <c r="E10" s="8" t="inlineStr">
        <is>
          <t>Default Evidence Source declared: Annual Report</t>
        </is>
      </c>
    </row>
    <row r="11" ht="15" customHeight="1" s="6">
      <c r="A11" s="8" t="inlineStr">
        <is>
          <t>CDE-R010</t>
        </is>
      </c>
      <c r="B11" s="8" t="inlineStr">
        <is>
          <t>First Line of Defense Owner</t>
        </is>
      </c>
      <c r="C11" s="8" t="inlineStr">
        <is>
          <t>Governance / Board Management System</t>
        </is>
      </c>
      <c r="D11" s="8" t="inlineStr">
        <is>
          <t>Risk governance charter document, three-lines-of-defense policy</t>
        </is>
      </c>
      <c r="E11" s="8" t="inlineStr">
        <is>
          <t>Default Evidence Source declared: User Validation</t>
        </is>
      </c>
    </row>
    <row r="12" ht="15" customHeight="1" s="6">
      <c r="A12" s="8" t="inlineStr">
        <is>
          <t>CDE-R011</t>
        </is>
      </c>
      <c r="B12" s="8" t="inlineStr">
        <is>
          <t>Internal Audit Function Independence Confirmed</t>
        </is>
      </c>
      <c r="C12" s="8" t="inlineStr">
        <is>
          <t>Governance / Board Management System</t>
        </is>
      </c>
      <c r="D12" s="8" t="inlineStr">
        <is>
          <t>Internal Audit GRC module, Annual Report</t>
        </is>
      </c>
      <c r="E12" s="8" t="inlineStr">
        <is>
          <t>Default Evidence Source declared: Annual Report</t>
        </is>
      </c>
    </row>
    <row r="13" ht="15" customHeight="1" s="6">
      <c r="A13" s="8" t="inlineStr">
        <is>
          <t>CDE-R012</t>
        </is>
      </c>
      <c r="B13" s="8" t="inlineStr">
        <is>
          <t>Risk Reporting Frequency to Board</t>
        </is>
      </c>
      <c r="C13" s="8" t="inlineStr">
        <is>
          <t>Governance / Board Management System</t>
        </is>
      </c>
      <c r="D13" s="8" t="inlineStr">
        <is>
          <t>Board minutes archive</t>
        </is>
      </c>
      <c r="E13" s="8" t="inlineStr">
        <is>
          <t>Default Evidence Source declared: Board Minutes</t>
        </is>
      </c>
    </row>
    <row r="14" ht="15" customHeight="1" s="6">
      <c r="A14" s="8" t="inlineStr">
        <is>
          <t>CDE-R013</t>
        </is>
      </c>
      <c r="B14" s="8" t="inlineStr">
        <is>
          <t>Risk Report Format/Structure</t>
        </is>
      </c>
      <c r="C14" s="8" t="inlineStr">
        <is>
          <t>Governance / Board Management System</t>
        </is>
      </c>
      <c r="D14" s="8" t="inlineStr">
        <is>
          <t>Board minutes archive</t>
        </is>
      </c>
      <c r="E14" s="8" t="inlineStr">
        <is>
          <t>Default Evidence Source declared: Board Minutes</t>
        </is>
      </c>
    </row>
    <row r="15" ht="15" customHeight="1" s="6">
      <c r="A15" s="8" t="inlineStr">
        <is>
          <t>CDE-R014</t>
        </is>
      </c>
      <c r="B15" s="8" t="inlineStr">
        <is>
          <t>Last Board Risk Report Date</t>
        </is>
      </c>
      <c r="C15" s="8" t="inlineStr">
        <is>
          <t>Governance / Board Management System</t>
        </is>
      </c>
      <c r="D15" s="8" t="inlineStr">
        <is>
          <t>Board minutes archive</t>
        </is>
      </c>
      <c r="E15" s="8" t="inlineStr">
        <is>
          <t>Default Evidence Source declared: Board Minutes</t>
        </is>
      </c>
    </row>
    <row r="16" ht="15" customHeight="1" s="6">
      <c r="A16" s="8" t="inlineStr">
        <is>
          <t>CDE-R015</t>
        </is>
      </c>
      <c r="B16" s="8" t="inlineStr">
        <is>
          <t>Stated Risk Culture Description</t>
        </is>
      </c>
      <c r="C16" s="8" t="inlineStr">
        <is>
          <t>Governance / Board Management System</t>
        </is>
      </c>
      <c r="D16" s="8" t="inlineStr">
        <is>
          <t>Remuneration Committee minutes, HR compensation system</t>
        </is>
      </c>
      <c r="E16" s="8" t="inlineStr">
        <is>
          <t>Default Evidence Source declared: Annual Report</t>
        </is>
      </c>
    </row>
    <row r="17" ht="15" customHeight="1" s="6">
      <c r="A17" s="8" t="inlineStr">
        <is>
          <t>CDE-R016</t>
        </is>
      </c>
      <c r="B17" s="8" t="inlineStr">
        <is>
          <t>Risk Management Linked to Executive Compensation</t>
        </is>
      </c>
      <c r="C17" s="8" t="inlineStr">
        <is>
          <t>Governance / Board Management System</t>
        </is>
      </c>
      <c r="D17" s="8" t="inlineStr">
        <is>
          <t>Remuneration Committee minutes, HR compensation system</t>
        </is>
      </c>
      <c r="E17" s="8" t="inlineStr">
        <is>
          <t>Default Evidence Source declared: Annual Report</t>
        </is>
      </c>
    </row>
    <row r="18" ht="15" customHeight="1" s="6">
      <c r="A18" s="8" t="inlineStr">
        <is>
          <t>CDE-R017</t>
        </is>
      </c>
      <c r="B18" s="8" t="inlineStr">
        <is>
          <t>Risk Culture Survey Conducted</t>
        </is>
      </c>
      <c r="C18" s="8" t="inlineStr">
        <is>
          <t>Governance / Board Management System</t>
        </is>
      </c>
      <c r="D18" s="8" t="inlineStr">
        <is>
          <t>Remuneration Committee minutes, HR compensation system</t>
        </is>
      </c>
      <c r="E18" s="8" t="inlineStr">
        <is>
          <t>Default Evidence Source declared: User Validation</t>
        </is>
      </c>
    </row>
    <row r="19" ht="15" customHeight="1" s="6">
      <c r="A19" s="8" t="inlineStr">
        <is>
          <t>CDE-R018</t>
        </is>
      </c>
      <c r="B19" s="8" t="inlineStr">
        <is>
          <t>Risk Escalation Channel Exists (e.g. whistleblower-adjacent)</t>
        </is>
      </c>
      <c r="C19" s="8" t="inlineStr">
        <is>
          <t>Governance / Board Management System</t>
        </is>
      </c>
      <c r="D19" s="8" t="inlineStr">
        <is>
          <t>Diligent, BoardEffect, internal Company Secretary records</t>
        </is>
      </c>
      <c r="E19" s="8" t="inlineStr">
        <is>
          <t>Default Evidence Source declared: User Validation</t>
        </is>
      </c>
    </row>
    <row r="20" ht="15" customHeight="1" s="6">
      <c r="A20" s="8" t="inlineStr">
        <is>
          <t>CDE-R019</t>
        </is>
      </c>
      <c r="B20" s="8" t="inlineStr">
        <is>
          <t>Risk Escalation Volume (count per period)</t>
        </is>
      </c>
      <c r="C20" s="8" t="inlineStr">
        <is>
          <t>GRC Platform</t>
        </is>
      </c>
      <c r="D20" s="8" t="inlineStr">
        <is>
          <t>RSA Archer, ServiceNow GRC — escalation/whistleblower-adjacent tracking module</t>
        </is>
      </c>
      <c r="E20" s="8" t="inlineStr">
        <is>
          <t>Default Evidence Source declared: User Validation</t>
        </is>
      </c>
    </row>
    <row r="21" ht="15" customHeight="1" s="6">
      <c r="A21" s="8" t="inlineStr">
        <is>
          <t>CDE-R020</t>
        </is>
      </c>
      <c r="B21" s="8" t="inlineStr">
        <is>
          <t>Escalation Behavior Measured/Tracked</t>
        </is>
      </c>
      <c r="C21" s="8" t="inlineStr">
        <is>
          <t>Human Judgment / Internal Assessment</t>
        </is>
      </c>
      <c r="D21" s="8" t="inlineStr">
        <is>
          <t>Risk culture survey results, HR/Risk team assessment</t>
        </is>
      </c>
      <c r="E21" s="8" t="inlineStr">
        <is>
          <t>Default Evidence Source declared: User Validation</t>
        </is>
      </c>
    </row>
    <row r="22" ht="15" customHeight="1" s="6">
      <c r="A22" s="8" t="inlineStr">
        <is>
          <t>CDE-R021</t>
        </is>
      </c>
      <c r="B22" s="8" t="inlineStr">
        <is>
          <t>Risk Taxonomy Framework Used (e.g. COSO ERM, ISO 31000)</t>
        </is>
      </c>
      <c r="C22" s="8" t="inlineStr">
        <is>
          <t>GRC Platform</t>
        </is>
      </c>
      <c r="D22" s="8" t="inlineStr">
        <is>
          <t>RSA Archer, ServiceNow GRC, MetricStream — risk register module</t>
        </is>
      </c>
      <c r="E22" s="8" t="inlineStr">
        <is>
          <t>Default Evidence Source declared: Annual Report</t>
        </is>
      </c>
    </row>
    <row r="23" ht="15" customHeight="1" s="6">
      <c r="A23" s="8" t="inlineStr">
        <is>
          <t>CDE-R022</t>
        </is>
      </c>
      <c r="B23" s="8" t="inlineStr">
        <is>
          <t>Number of Top-Level Risk Categories Defined</t>
        </is>
      </c>
      <c r="C23" s="8" t="inlineStr">
        <is>
          <t>Annual Report / Public Filing</t>
        </is>
      </c>
      <c r="D23" s="8" t="inlineStr">
        <is>
          <t>Annual Report PDF, regulatory filing portal</t>
        </is>
      </c>
      <c r="E23" s="8" t="inlineStr">
        <is>
          <t>Default Evidence Source declared: Annual Report</t>
        </is>
      </c>
    </row>
    <row r="24" ht="15" customHeight="1" s="6">
      <c r="A24" s="8" t="inlineStr">
        <is>
          <t>CDE-R023</t>
        </is>
      </c>
      <c r="B24" s="8" t="inlineStr">
        <is>
          <t>Taxonomy Last Reviewed Date</t>
        </is>
      </c>
      <c r="C24" s="8" t="inlineStr">
        <is>
          <t>GRC Platform</t>
        </is>
      </c>
      <c r="D24" s="8" t="inlineStr">
        <is>
          <t>RSA Archer, ServiceNow GRC, MetricStream — risk register module</t>
        </is>
      </c>
      <c r="E24" s="8" t="inlineStr">
        <is>
          <t>Default Evidence Source declared: User Validation</t>
        </is>
      </c>
    </row>
    <row r="25" ht="15" customHeight="1" s="6">
      <c r="A25" s="8" t="inlineStr">
        <is>
          <t>CDE-R024</t>
        </is>
      </c>
      <c r="B25" s="8" t="inlineStr">
        <is>
          <t>Risk Identification Methodology Description</t>
        </is>
      </c>
      <c r="C25" s="8" t="inlineStr">
        <is>
          <t>GRC Platform</t>
        </is>
      </c>
      <c r="D25" s="8" t="inlineStr">
        <is>
          <t>RSA Archer, ServiceNow GRC — risk identification methodology documentation</t>
        </is>
      </c>
      <c r="E25" s="8" t="inlineStr">
        <is>
          <t>Default Evidence Source declared: User Validation</t>
        </is>
      </c>
    </row>
    <row r="26" ht="15" customHeight="1" s="6">
      <c r="A26" s="8" t="inlineStr">
        <is>
          <t>CDE-R025</t>
        </is>
      </c>
      <c r="B26" s="8" t="inlineStr">
        <is>
          <t>Bottom-Up Risk Identification Process Exists</t>
        </is>
      </c>
      <c r="C26" s="8" t="inlineStr">
        <is>
          <t>GRC Platform</t>
        </is>
      </c>
      <c r="D26" s="8" t="inlineStr">
        <is>
          <t>RSA Archer, ServiceNow GRC — risk submission/identification workflow</t>
        </is>
      </c>
      <c r="E26" s="8" t="inlineStr">
        <is>
          <t>Default Evidence Source declared: User Validation</t>
        </is>
      </c>
    </row>
    <row r="27" ht="15" customHeight="1" s="6">
      <c r="A27" s="8" t="inlineStr">
        <is>
          <t>CDE-R026</t>
        </is>
      </c>
      <c r="B27" s="8" t="inlineStr">
        <is>
          <t>Risk Identification Frequency</t>
        </is>
      </c>
      <c r="C27" s="8" t="inlineStr">
        <is>
          <t>GRC Platform</t>
        </is>
      </c>
      <c r="D27" s="8" t="inlineStr">
        <is>
          <t>RSA Archer, ServiceNow GRC — risk register update cadence settings</t>
        </is>
      </c>
      <c r="E27" s="8" t="inlineStr">
        <is>
          <t>Default Evidence Source declared: User Validation</t>
        </is>
      </c>
    </row>
    <row r="28" ht="15" customHeight="1" s="6">
      <c r="A28" s="8" t="inlineStr">
        <is>
          <t>CDE-R027</t>
        </is>
      </c>
      <c r="B28" s="8" t="inlineStr">
        <is>
          <t>Material Risk Name</t>
        </is>
      </c>
      <c r="C28" s="8" t="inlineStr">
        <is>
          <t>GRC Platform</t>
        </is>
      </c>
      <c r="D28" s="8" t="inlineStr">
        <is>
          <t>RSA Archer, ServiceNow GRC, MetricStream — risk register module</t>
        </is>
      </c>
      <c r="E28" s="8" t="inlineStr">
        <is>
          <t>Default Evidence Source declared: Risk Register</t>
        </is>
      </c>
    </row>
    <row r="29" ht="15" customHeight="1" s="6">
      <c r="A29" s="8" t="inlineStr">
        <is>
          <t>CDE-R028</t>
        </is>
      </c>
      <c r="B29" s="8" t="inlineStr">
        <is>
          <t>Material Risk Category</t>
        </is>
      </c>
      <c r="C29" s="8" t="inlineStr">
        <is>
          <t>GRC Platform</t>
        </is>
      </c>
      <c r="D29" s="8" t="inlineStr">
        <is>
          <t>RSA Archer, ServiceNow GRC, MetricStream — risk register module</t>
        </is>
      </c>
      <c r="E29" s="8" t="inlineStr">
        <is>
          <t>Default Evidence Source declared: Risk Register</t>
        </is>
      </c>
    </row>
    <row r="30" ht="15" customHeight="1" s="6">
      <c r="A30" s="8" t="inlineStr">
        <is>
          <t>CDE-R029</t>
        </is>
      </c>
      <c r="B30" s="8" t="inlineStr">
        <is>
          <t>Total Material Risks Identified</t>
        </is>
      </c>
      <c r="C30" s="8" t="inlineStr">
        <is>
          <t>GRC Platform</t>
        </is>
      </c>
      <c r="D30" s="8" t="inlineStr">
        <is>
          <t>RSA Archer, ServiceNow GRC, MetricStream</t>
        </is>
      </c>
      <c r="E30" s="8" t="inlineStr">
        <is>
          <t>Default Evidence Source declared: Risk Register</t>
        </is>
      </c>
    </row>
    <row r="31" ht="15" customHeight="1" s="6">
      <c r="A31" s="8" t="inlineStr">
        <is>
          <t>CDE-R030</t>
        </is>
      </c>
      <c r="B31" s="8" t="inlineStr">
        <is>
          <t>Risk Register Review Frequency</t>
        </is>
      </c>
      <c r="C31" s="8" t="inlineStr">
        <is>
          <t>GRC Platform</t>
        </is>
      </c>
      <c r="D31" s="8" t="inlineStr">
        <is>
          <t>RSA Archer, ServiceNow GRC, MetricStream — risk register module</t>
        </is>
      </c>
      <c r="E31" s="8" t="inlineStr">
        <is>
          <t>Default Evidence Source declared: User Validation</t>
        </is>
      </c>
    </row>
    <row r="32" ht="15" customHeight="1" s="6">
      <c r="A32" s="8" t="inlineStr">
        <is>
          <t>CDE-R031</t>
        </is>
      </c>
      <c r="B32" s="8" t="inlineStr">
        <is>
          <t>Risk Register Last Updated Date</t>
        </is>
      </c>
      <c r="C32" s="8" t="inlineStr">
        <is>
          <t>GRC Platform</t>
        </is>
      </c>
      <c r="D32" s="8" t="inlineStr">
        <is>
          <t>RSA Archer, ServiceNow GRC, MetricStream — risk register module</t>
        </is>
      </c>
      <c r="E32" s="8" t="inlineStr">
        <is>
          <t>Default Evidence Source declared: Risk Register</t>
        </is>
      </c>
    </row>
    <row r="33" ht="15" customHeight="1" s="6">
      <c r="A33" s="8" t="inlineStr">
        <is>
          <t>CDE-R032</t>
        </is>
      </c>
      <c r="B33" s="8" t="inlineStr">
        <is>
          <t>Risk Owner Name/Function</t>
        </is>
      </c>
      <c r="C33" s="8" t="inlineStr">
        <is>
          <t>GRC Platform</t>
        </is>
      </c>
      <c r="D33" s="8" t="inlineStr">
        <is>
          <t>RSA Archer, ServiceNow GRC, MetricStream — risk register module</t>
        </is>
      </c>
      <c r="E33" s="8" t="inlineStr">
        <is>
          <t>Default Evidence Source declared: Risk Register</t>
        </is>
      </c>
    </row>
    <row r="34" ht="15" customHeight="1" s="6">
      <c r="A34" s="8" t="inlineStr">
        <is>
          <t>CDE-R033</t>
        </is>
      </c>
      <c r="B34" s="8" t="inlineStr">
        <is>
          <t>Risk Ownership Assignment Coverage %</t>
        </is>
      </c>
      <c r="C34" s="8" t="inlineStr">
        <is>
          <t>GRC Platform</t>
        </is>
      </c>
      <c r="D34" s="8" t="inlineStr">
        <is>
          <t>RSA Archer, ServiceNow GRC, MetricStream — risk register module</t>
        </is>
      </c>
      <c r="E34" s="8" t="inlineStr">
        <is>
          <t>Default Evidence Source declared: Risk Register</t>
        </is>
      </c>
    </row>
    <row r="35" ht="15" customHeight="1" s="6">
      <c r="A35" s="8" t="inlineStr">
        <is>
          <t>CDE-R034</t>
        </is>
      </c>
      <c r="B35" s="8" t="inlineStr">
        <is>
          <t>Risk Appetite Statement Board-Approved</t>
        </is>
      </c>
      <c r="C35" s="8" t="inlineStr">
        <is>
          <t>GRC Platform</t>
        </is>
      </c>
      <c r="D35" s="8" t="inlineStr">
        <is>
          <t>RSA Archer, ServiceNow GRC — risk appetite module</t>
        </is>
      </c>
      <c r="E35" s="8" t="inlineStr">
        <is>
          <t>Default Evidence Source declared: Board Minutes</t>
        </is>
      </c>
    </row>
    <row r="36" ht="15" customHeight="1" s="6">
      <c r="A36" s="8" t="inlineStr">
        <is>
          <t>CDE-R035</t>
        </is>
      </c>
      <c r="B36" s="8" t="inlineStr">
        <is>
          <t>Risk Appetite Statement Approval Date</t>
        </is>
      </c>
      <c r="C36" s="8" t="inlineStr">
        <is>
          <t>GRC Platform</t>
        </is>
      </c>
      <c r="D36" s="8" t="inlineStr">
        <is>
          <t>RSA Archer, ServiceNow GRC — risk appetite module</t>
        </is>
      </c>
      <c r="E36" s="8" t="inlineStr">
        <is>
          <t>Default Evidence Source declared: Board Minutes</t>
        </is>
      </c>
    </row>
    <row r="37" ht="15" customHeight="1" s="6">
      <c r="A37" s="8" t="inlineStr">
        <is>
          <t>CDE-R036</t>
        </is>
      </c>
      <c r="B37" s="8" t="inlineStr">
        <is>
          <t>Risk Appetite Statement Text Summary</t>
        </is>
      </c>
      <c r="C37" s="8" t="inlineStr">
        <is>
          <t>GRC Platform</t>
        </is>
      </c>
      <c r="D37" s="8" t="inlineStr">
        <is>
          <t>RSA Archer, ServiceNow GRC — risk appetite module</t>
        </is>
      </c>
      <c r="E37" s="8" t="inlineStr">
        <is>
          <t>Default Evidence Source declared: Annual Report</t>
        </is>
      </c>
    </row>
    <row r="38" ht="15" customHeight="1" s="6">
      <c r="A38" s="8" t="inlineStr">
        <is>
          <t>CDE-R037</t>
        </is>
      </c>
      <c r="B38" s="8" t="inlineStr">
        <is>
          <t>Risk Category with Defined Tolerance</t>
        </is>
      </c>
      <c r="C38" s="8" t="inlineStr">
        <is>
          <t>GRC Platform</t>
        </is>
      </c>
      <c r="D38" s="8" t="inlineStr">
        <is>
          <t>RSA Archer, ServiceNow GRC, MetricStream — risk register module</t>
        </is>
      </c>
      <c r="E38" s="8" t="inlineStr">
        <is>
          <t>Default Evidence Source declared: Board Minutes</t>
        </is>
      </c>
    </row>
    <row r="39" ht="15" customHeight="1" s="6">
      <c r="A39" s="8" t="inlineStr">
        <is>
          <t>CDE-R038</t>
        </is>
      </c>
      <c r="B39" s="8" t="inlineStr">
        <is>
          <t>Risk Tolerance Threshold Value</t>
        </is>
      </c>
      <c r="C39" s="8" t="inlineStr">
        <is>
          <t>GRC Platform</t>
        </is>
      </c>
      <c r="D39" s="8" t="inlineStr">
        <is>
          <t>RSA Archer, ServiceNow GRC — risk appetite module</t>
        </is>
      </c>
      <c r="E39" s="8" t="inlineStr">
        <is>
          <t>Default Evidence Source declared: Board Minutes</t>
        </is>
      </c>
    </row>
    <row r="40" ht="15" customHeight="1" s="6">
      <c r="A40" s="8" t="inlineStr">
        <is>
          <t>CDE-R039</t>
        </is>
      </c>
      <c r="B40" s="8" t="inlineStr">
        <is>
          <t>Risk Tolerance Threshold Unit/Basis</t>
        </is>
      </c>
      <c r="C40" s="8" t="inlineStr">
        <is>
          <t>GRC Platform</t>
        </is>
      </c>
      <c r="D40" s="8" t="inlineStr">
        <is>
          <t>RSA Archer, ServiceNow GRC — risk appetite module</t>
        </is>
      </c>
      <c r="E40" s="8" t="inlineStr">
        <is>
          <t>Default Evidence Source declared: Board Minutes</t>
        </is>
      </c>
    </row>
    <row r="41" ht="15" customHeight="1" s="6">
      <c r="A41" s="8" t="inlineStr">
        <is>
          <t>CDE-R040</t>
        </is>
      </c>
      <c r="B41" s="8" t="inlineStr">
        <is>
          <t>Risk Appetite Breached in Current Period</t>
        </is>
      </c>
      <c r="C41" s="8" t="inlineStr">
        <is>
          <t>GRC Platform</t>
        </is>
      </c>
      <c r="D41" s="8" t="inlineStr">
        <is>
          <t>RSA Archer, ServiceNow GRC — risk appetite module</t>
        </is>
      </c>
      <c r="E41" s="8" t="inlineStr">
        <is>
          <t>Default Evidence Source declared: Board Minutes</t>
        </is>
      </c>
    </row>
    <row r="42" ht="15" customHeight="1" s="6">
      <c r="A42" s="8" t="inlineStr">
        <is>
          <t>CDE-R041</t>
        </is>
      </c>
      <c r="B42" s="8" t="inlineStr">
        <is>
          <t>Risk Category Breached</t>
        </is>
      </c>
      <c r="C42" s="8" t="inlineStr">
        <is>
          <t>GRC Platform</t>
        </is>
      </c>
      <c r="D42" s="8" t="inlineStr">
        <is>
          <t>RSA Archer, ServiceNow GRC, MetricStream — risk register module</t>
        </is>
      </c>
      <c r="E42" s="8" t="inlineStr">
        <is>
          <t>Default Evidence Source declared: Board Minutes</t>
        </is>
      </c>
    </row>
    <row r="43" ht="15" customHeight="1" s="6">
      <c r="A43" s="8" t="inlineStr">
        <is>
          <t>CDE-R042</t>
        </is>
      </c>
      <c r="B43" s="8" t="inlineStr">
        <is>
          <t>Breach Magnitude (% over threshold)</t>
        </is>
      </c>
      <c r="C43" s="8" t="inlineStr">
        <is>
          <t>GRC Platform</t>
        </is>
      </c>
      <c r="D43" s="8" t="inlineStr">
        <is>
          <t>RSA Archer, ServiceNow GRC — risk appetite module</t>
        </is>
      </c>
      <c r="E43" s="8" t="inlineStr">
        <is>
          <t>Default Evidence Source declared: Board Minutes</t>
        </is>
      </c>
    </row>
    <row r="44" ht="15" customHeight="1" s="6">
      <c r="A44" s="8" t="inlineStr">
        <is>
          <t>CDE-R043</t>
        </is>
      </c>
      <c r="B44" s="8" t="inlineStr">
        <is>
          <t>Breach Escalation Process Exists</t>
        </is>
      </c>
      <c r="C44" s="8" t="inlineStr">
        <is>
          <t>GRC Platform</t>
        </is>
      </c>
      <c r="D44" s="8" t="inlineStr">
        <is>
          <t>RSA Archer, ServiceNow GRC — risk appetite module</t>
        </is>
      </c>
      <c r="E44" s="8" t="inlineStr">
        <is>
          <t>Default Evidence Source declared: User Validation</t>
        </is>
      </c>
    </row>
    <row r="45" ht="15" customHeight="1" s="6">
      <c r="A45" s="8" t="inlineStr">
        <is>
          <t>CDE-R044</t>
        </is>
      </c>
      <c r="B45" s="8" t="inlineStr">
        <is>
          <t>Breach Escalation Authority (who is notified)</t>
        </is>
      </c>
      <c r="C45" s="8" t="inlineStr">
        <is>
          <t>GRC Platform</t>
        </is>
      </c>
      <c r="D45" s="8" t="inlineStr">
        <is>
          <t>RSA Archer, ServiceNow GRC — risk appetite module</t>
        </is>
      </c>
      <c r="E45" s="8" t="inlineStr">
        <is>
          <t>Default Evidence Source declared: User Validation</t>
        </is>
      </c>
    </row>
    <row r="46" ht="15" customHeight="1" s="6">
      <c r="A46" s="8" t="inlineStr">
        <is>
          <t>CDE-R045</t>
        </is>
      </c>
      <c r="B46" s="8" t="inlineStr">
        <is>
          <t>Breach Resolution Timeframe Required</t>
        </is>
      </c>
      <c r="C46" s="8" t="inlineStr">
        <is>
          <t>GRC Platform</t>
        </is>
      </c>
      <c r="D46" s="8" t="inlineStr">
        <is>
          <t>RSA Archer, ServiceNow GRC — risk appetite module</t>
        </is>
      </c>
      <c r="E46" s="8" t="inlineStr">
        <is>
          <t>Default Evidence Source declared: User Validation</t>
        </is>
      </c>
    </row>
    <row r="47" ht="15" customHeight="1" s="6">
      <c r="A47" s="8" t="inlineStr">
        <is>
          <t>CDE-R046</t>
        </is>
      </c>
      <c r="B47" s="8" t="inlineStr">
        <is>
          <t>Risk Appetite Statement Last Revised Date</t>
        </is>
      </c>
      <c r="C47" s="8" t="inlineStr">
        <is>
          <t>GRC Platform</t>
        </is>
      </c>
      <c r="D47" s="8" t="inlineStr">
        <is>
          <t>RSA Archer, ServiceNow GRC — risk appetite module</t>
        </is>
      </c>
      <c r="E47" s="8" t="inlineStr">
        <is>
          <t>Default Evidence Source declared: Board Minutes</t>
        </is>
      </c>
    </row>
    <row r="48" ht="15" customHeight="1" s="6">
      <c r="A48" s="8" t="inlineStr">
        <is>
          <t>CDE-R047</t>
        </is>
      </c>
      <c r="B48" s="8" t="inlineStr">
        <is>
          <t>Risk Appetite Review Cycle Frequency</t>
        </is>
      </c>
      <c r="C48" s="8" t="inlineStr">
        <is>
          <t>GRC Platform</t>
        </is>
      </c>
      <c r="D48" s="8" t="inlineStr">
        <is>
          <t>RSA Archer, ServiceNow GRC — risk appetite module</t>
        </is>
      </c>
      <c r="E48" s="8" t="inlineStr">
        <is>
          <t>Default Evidence Source declared: User Validation</t>
        </is>
      </c>
    </row>
    <row r="49" ht="15" customHeight="1" s="6">
      <c r="A49" s="8" t="inlineStr">
        <is>
          <t>CDE-R048</t>
        </is>
      </c>
      <c r="B49" s="8" t="inlineStr">
        <is>
          <t>Risk Quantification Methodology (e.g. Monte Carlo, scenario-based, qualitative scoring)</t>
        </is>
      </c>
      <c r="C49" s="8" t="inlineStr">
        <is>
          <t>GRC Platform</t>
        </is>
      </c>
      <c r="D49" s="8" t="inlineStr">
        <is>
          <t>RSA Archer, ServiceNow GRC — risk quantification methodology configuration</t>
        </is>
      </c>
      <c r="E49" s="8" t="inlineStr">
        <is>
          <t>Default Evidence Source declared: User Validation</t>
        </is>
      </c>
    </row>
    <row r="50" ht="15" customHeight="1" s="6">
      <c r="A50" s="8" t="inlineStr">
        <is>
          <t>CDE-R049</t>
        </is>
      </c>
      <c r="B50" s="8" t="inlineStr">
        <is>
          <t>Probability Scale Used (e.g. 1-5, %)</t>
        </is>
      </c>
      <c r="C50" s="8" t="inlineStr">
        <is>
          <t>GRC Platform</t>
        </is>
      </c>
      <c r="D50" s="8" t="inlineStr">
        <is>
          <t>RSA Archer, ServiceNow GRC — risk quantification module</t>
        </is>
      </c>
      <c r="E50" s="8" t="inlineStr">
        <is>
          <t>Default Evidence Source declared: Risk Register</t>
        </is>
      </c>
    </row>
    <row r="51" ht="15" customHeight="1" s="6">
      <c r="A51" s="8" t="inlineStr">
        <is>
          <t>CDE-R050</t>
        </is>
      </c>
      <c r="B51" s="8" t="inlineStr">
        <is>
          <t>Severity Scale Used</t>
        </is>
      </c>
      <c r="C51" s="8" t="inlineStr">
        <is>
          <t>GRC Platform</t>
        </is>
      </c>
      <c r="D51" s="8" t="inlineStr">
        <is>
          <t>RSA Archer, ServiceNow GRC — risk quantification module</t>
        </is>
      </c>
      <c r="E51" s="8" t="inlineStr">
        <is>
          <t>Default Evidence Source declared: Risk Register</t>
        </is>
      </c>
    </row>
    <row r="52" ht="15" customHeight="1" s="6">
      <c r="A52" s="8" t="inlineStr">
        <is>
          <t>CDE-R051</t>
        </is>
      </c>
      <c r="B52" s="8" t="inlineStr">
        <is>
          <t>Risk Probability Score</t>
        </is>
      </c>
      <c r="C52" s="8" t="inlineStr">
        <is>
          <t>GRC Platform</t>
        </is>
      </c>
      <c r="D52" s="8" t="inlineStr">
        <is>
          <t>RSA Archer, ServiceNow GRC — risk quantification module</t>
        </is>
      </c>
      <c r="E52" s="8" t="inlineStr">
        <is>
          <t>Default Evidence Source declared: Risk Register</t>
        </is>
      </c>
    </row>
    <row r="53" ht="15" customHeight="1" s="6">
      <c r="A53" s="8" t="inlineStr">
        <is>
          <t>CDE-R052</t>
        </is>
      </c>
      <c r="B53" s="8" t="inlineStr">
        <is>
          <t>Risk Financial Exposure — Low Estimate</t>
        </is>
      </c>
      <c r="C53" s="8" t="inlineStr">
        <is>
          <t>GRC Platform</t>
        </is>
      </c>
      <c r="D53" s="8" t="inlineStr">
        <is>
          <t>RSA Archer, ServiceNow GRC — risk quantification module</t>
        </is>
      </c>
      <c r="E53" s="8" t="inlineStr">
        <is>
          <t>Default Evidence Source declared: Risk Register</t>
        </is>
      </c>
    </row>
    <row r="54" ht="15" customHeight="1" s="6">
      <c r="A54" s="8" t="inlineStr">
        <is>
          <t>CDE-R053</t>
        </is>
      </c>
      <c r="B54" s="8" t="inlineStr">
        <is>
          <t>Risk Financial Exposure — High Estimate</t>
        </is>
      </c>
      <c r="C54" s="8" t="inlineStr">
        <is>
          <t>GRC Platform</t>
        </is>
      </c>
      <c r="D54" s="8" t="inlineStr">
        <is>
          <t>RSA Archer, ServiceNow GRC — risk quantification module</t>
        </is>
      </c>
      <c r="E54" s="8" t="inlineStr">
        <is>
          <t>Default Evidence Source declared: Risk Register</t>
        </is>
      </c>
    </row>
    <row r="55" ht="15" customHeight="1" s="6">
      <c r="A55" s="8" t="inlineStr">
        <is>
          <t>CDE-R054</t>
        </is>
      </c>
      <c r="B55" s="8" t="inlineStr">
        <is>
          <t>Insurance Policy Type</t>
        </is>
      </c>
      <c r="C55" s="8" t="inlineStr">
        <is>
          <t>Finance / ERP</t>
        </is>
      </c>
      <c r="D55" s="8" t="inlineStr">
        <is>
          <t>SAP, Oracle Treasury — insurance/hedging module</t>
        </is>
      </c>
      <c r="E55" s="8" t="inlineStr">
        <is>
          <t>Default Evidence Source declared: Finance / ERP</t>
        </is>
      </c>
    </row>
    <row r="56" ht="15" customHeight="1" s="6">
      <c r="A56" s="8" t="inlineStr">
        <is>
          <t>CDE-R055</t>
        </is>
      </c>
      <c r="B56" s="8" t="inlineStr">
        <is>
          <t>Insurance Coverage Limit</t>
        </is>
      </c>
      <c r="C56" s="8" t="inlineStr">
        <is>
          <t>Finance / ERP</t>
        </is>
      </c>
      <c r="D56" s="8" t="inlineStr">
        <is>
          <t>SAP, Oracle Treasury — insurance/hedging module</t>
        </is>
      </c>
      <c r="E56" s="8" t="inlineStr">
        <is>
          <t>Default Evidence Source declared: Finance / ERP</t>
        </is>
      </c>
    </row>
    <row r="57" ht="15" customHeight="1" s="6">
      <c r="A57" s="8" t="inlineStr">
        <is>
          <t>CDE-R056</t>
        </is>
      </c>
      <c r="B57" s="8" t="inlineStr">
        <is>
          <t>Insurance Premium Cost (Annual)</t>
        </is>
      </c>
      <c r="C57" s="8" t="inlineStr">
        <is>
          <t>Finance / ERP</t>
        </is>
      </c>
      <c r="D57" s="8" t="inlineStr">
        <is>
          <t>SAP, Oracle Treasury — insurance/hedging module</t>
        </is>
      </c>
      <c r="E57" s="8" t="inlineStr">
        <is>
          <t>Default Evidence Source declared: Finance / ERP</t>
        </is>
      </c>
    </row>
    <row r="58" ht="15" customHeight="1" s="6">
      <c r="A58" s="8" t="inlineStr">
        <is>
          <t>CDE-R057</t>
        </is>
      </c>
      <c r="B58" s="8" t="inlineStr">
        <is>
          <t>Risk Transfer Mechanism Type (Hedge/Contractual/Insurance/Other)</t>
        </is>
      </c>
      <c r="C58" s="8" t="inlineStr">
        <is>
          <t>Finance / ERP</t>
        </is>
      </c>
      <c r="D58" s="8" t="inlineStr">
        <is>
          <t>SAP, Oracle Treasury — insurance/hedging module</t>
        </is>
      </c>
      <c r="E58" s="8" t="inlineStr">
        <is>
          <t>Default Evidence Source declared: Finance / ERP</t>
        </is>
      </c>
    </row>
    <row r="59" ht="15" customHeight="1" s="6">
      <c r="A59" s="8" t="inlineStr">
        <is>
          <t>CDE-R058</t>
        </is>
      </c>
      <c r="B59" s="8" t="inlineStr">
        <is>
          <t>Risk Transfer Mechanism Description</t>
        </is>
      </c>
      <c r="C59" s="8" t="inlineStr">
        <is>
          <t>Finance / ERP</t>
        </is>
      </c>
      <c r="D59" s="8" t="inlineStr">
        <is>
          <t>SAP, Oracle Treasury — insurance/hedging module</t>
        </is>
      </c>
      <c r="E59" s="8" t="inlineStr">
        <is>
          <t>Default Evidence Source declared: User Validation</t>
        </is>
      </c>
    </row>
    <row r="60" ht="15" customHeight="1" s="6">
      <c r="A60" s="8" t="inlineStr">
        <is>
          <t>CDE-R059</t>
        </is>
      </c>
      <c r="B60" s="8" t="inlineStr">
        <is>
          <t>Total Retained (Uninsured) Risk Exposure</t>
        </is>
      </c>
      <c r="C60" s="8" t="inlineStr">
        <is>
          <t>GRC Platform</t>
        </is>
      </c>
      <c r="D60" s="8" t="inlineStr">
        <is>
          <t>RSA Archer, ServiceNow GRC — risk quantification module</t>
        </is>
      </c>
      <c r="E60" s="8" t="inlineStr">
        <is>
          <t>Default Evidence Source declared: Finance / ERP</t>
        </is>
      </c>
    </row>
    <row r="61" ht="15" customHeight="1" s="6">
      <c r="A61" s="8" t="inlineStr">
        <is>
          <t>CDE-R060</t>
        </is>
      </c>
      <c r="B61" s="8" t="inlineStr">
        <is>
          <t>Retained Risk Exposure as % of Net Worth</t>
        </is>
      </c>
      <c r="C61" s="8" t="inlineStr">
        <is>
          <t>GRC Platform</t>
        </is>
      </c>
      <c r="D61" s="8" t="inlineStr">
        <is>
          <t>RSA Archer, ServiceNow GRC — risk quantification module</t>
        </is>
      </c>
      <c r="E61" s="8" t="inlineStr">
        <is>
          <t>Default Evidence Source declared: Finance / ERP</t>
        </is>
      </c>
    </row>
    <row r="62" ht="15" customHeight="1" s="6">
      <c r="A62" s="8" t="inlineStr">
        <is>
          <t>CDE-R061</t>
        </is>
      </c>
      <c r="B62" s="8" t="inlineStr">
        <is>
          <t>Mitigation Cost for Top Risk</t>
        </is>
      </c>
      <c r="C62" s="8" t="inlineStr">
        <is>
          <t>Finance / ERP</t>
        </is>
      </c>
      <c r="D62" s="8" t="inlineStr">
        <is>
          <t>SAP, Oracle Finance — mitigation cost-benefit analysis</t>
        </is>
      </c>
      <c r="E62" s="8" t="inlineStr">
        <is>
          <t>Default Evidence Source declared: User Validation</t>
        </is>
      </c>
    </row>
    <row r="63" ht="15" customHeight="1" s="6">
      <c r="A63" s="8" t="inlineStr">
        <is>
          <t>CDE-R062</t>
        </is>
      </c>
      <c r="B63" s="8" t="inlineStr">
        <is>
          <t>Exposure-to-Mitigation-Cost Ratio</t>
        </is>
      </c>
      <c r="C63" s="8" t="inlineStr">
        <is>
          <t>GRC Platform</t>
        </is>
      </c>
      <c r="D63" s="8" t="inlineStr">
        <is>
          <t>RSA Archer, ServiceNow GRC — risk quantification module</t>
        </is>
      </c>
      <c r="E63" s="8" t="inlineStr">
        <is>
          <t>Default Evidence Source declared: User Validation</t>
        </is>
      </c>
    </row>
    <row r="64" ht="15" customHeight="1" s="6">
      <c r="A64" s="8" t="inlineStr">
        <is>
          <t>CDE-R063</t>
        </is>
      </c>
      <c r="B64" s="8" t="inlineStr">
        <is>
          <t>Credit Risk Exposure from Customers/Counterparties</t>
        </is>
      </c>
      <c r="C64" s="8" t="inlineStr">
        <is>
          <t>GRC Platform</t>
        </is>
      </c>
      <c r="D64" s="8" t="inlineStr">
        <is>
          <t>RSA Archer, ServiceNow GRC — risk quantification module</t>
        </is>
      </c>
      <c r="E64" s="8" t="inlineStr">
        <is>
          <t>Default Evidence Source declared: Finance / ERP</t>
        </is>
      </c>
    </row>
    <row r="65" ht="15" customHeight="1" s="6">
      <c r="A65" s="8" t="inlineStr">
        <is>
          <t>CDE-R064</t>
        </is>
      </c>
      <c r="B65" s="8" t="inlineStr">
        <is>
          <t>Credit Risk Concentration — Top Counterparty %</t>
        </is>
      </c>
      <c r="C65" s="8" t="inlineStr">
        <is>
          <t>Finance / ERP</t>
        </is>
      </c>
      <c r="D65" s="8" t="inlineStr">
        <is>
          <t>SAP, Oracle Treasury Management System</t>
        </is>
      </c>
      <c r="E65" s="8" t="inlineStr">
        <is>
          <t>Default Evidence Source declared: Finance / ERP</t>
        </is>
      </c>
    </row>
    <row r="66" ht="15" customHeight="1" s="6">
      <c r="A66" s="8" t="inlineStr">
        <is>
          <t>CDE-R065</t>
        </is>
      </c>
      <c r="B66" s="8" t="inlineStr">
        <is>
          <t>Credit Rating of Major Counterparties</t>
        </is>
      </c>
      <c r="C66" s="8" t="inlineStr">
        <is>
          <t>Finance / ERP</t>
        </is>
      </c>
      <c r="D66" s="8" t="inlineStr">
        <is>
          <t>SAP, Oracle Treasury Management System</t>
        </is>
      </c>
      <c r="E66" s="8" t="inlineStr">
        <is>
          <t>Default Evidence Source declared: Finance / ERP</t>
        </is>
      </c>
    </row>
    <row r="67" ht="15" customHeight="1" s="6">
      <c r="A67" s="8" t="inlineStr">
        <is>
          <t>CDE-R066</t>
        </is>
      </c>
      <c r="B67" s="8" t="inlineStr">
        <is>
          <t>Liquidity Risk Identified</t>
        </is>
      </c>
      <c r="C67" s="8" t="inlineStr">
        <is>
          <t>Finance / ERP</t>
        </is>
      </c>
      <c r="D67" s="8" t="inlineStr">
        <is>
          <t>SAP, Oracle Treasury Management System</t>
        </is>
      </c>
      <c r="E67" s="8" t="inlineStr">
        <is>
          <t>Default Evidence Source declared: Finance / ERP</t>
        </is>
      </c>
    </row>
    <row r="68" ht="15" customHeight="1" s="6">
      <c r="A68" s="8" t="inlineStr">
        <is>
          <t>CDE-R067</t>
        </is>
      </c>
      <c r="B68" s="8" t="inlineStr">
        <is>
          <t>Liquidity Buffer Maintained (months of operating expense)</t>
        </is>
      </c>
      <c r="C68" s="8" t="inlineStr">
        <is>
          <t>Finance / ERP</t>
        </is>
      </c>
      <c r="D68" s="8" t="inlineStr">
        <is>
          <t>SAP, Oracle Treasury Management System</t>
        </is>
      </c>
      <c r="E68" s="8" t="inlineStr">
        <is>
          <t>Default Evidence Source declared: Finance / ERP</t>
        </is>
      </c>
    </row>
    <row r="69" ht="15" customHeight="1" s="6">
      <c r="A69" s="8" t="inlineStr">
        <is>
          <t>CDE-R068</t>
        </is>
      </c>
      <c r="B69" s="8" t="inlineStr">
        <is>
          <t>Liquidity Stress Test Conducted</t>
        </is>
      </c>
      <c r="C69" s="8" t="inlineStr">
        <is>
          <t>Finance / ERP</t>
        </is>
      </c>
      <c r="D69" s="8" t="inlineStr">
        <is>
          <t>SAP, Oracle Treasury Management System</t>
        </is>
      </c>
      <c r="E69" s="8" t="inlineStr">
        <is>
          <t>Default Evidence Source declared: User Validation</t>
        </is>
      </c>
    </row>
    <row r="70" ht="15" customHeight="1" s="6">
      <c r="A70" s="8" t="inlineStr">
        <is>
          <t>CDE-R069</t>
        </is>
      </c>
      <c r="B70" s="8" t="inlineStr">
        <is>
          <t>FX Risk Exposure Identified as Material</t>
        </is>
      </c>
      <c r="C70" s="8" t="inlineStr">
        <is>
          <t>GRC Platform</t>
        </is>
      </c>
      <c r="D70" s="8" t="inlineStr">
        <is>
          <t>RSA Archer, ServiceNow GRC — risk quantification module</t>
        </is>
      </c>
      <c r="E70" s="8" t="inlineStr">
        <is>
          <t>Default Evidence Source declared: Annual Report</t>
        </is>
      </c>
    </row>
    <row r="71" ht="15" customHeight="1" s="6">
      <c r="A71" s="8" t="inlineStr">
        <is>
          <t>CDE-R070</t>
        </is>
      </c>
      <c r="B71" s="8" t="inlineStr">
        <is>
          <t>FX Risk Hedge Ratio %</t>
        </is>
      </c>
      <c r="C71" s="8" t="inlineStr">
        <is>
          <t>Finance / ERP</t>
        </is>
      </c>
      <c r="D71" s="8" t="inlineStr">
        <is>
          <t>SAP, Oracle Treasury — insurance/hedging module</t>
        </is>
      </c>
      <c r="E71" s="8" t="inlineStr">
        <is>
          <t>Default Evidence Source declared: Finance / ERP</t>
        </is>
      </c>
    </row>
    <row r="72" ht="15" customHeight="1" s="6">
      <c r="A72" s="8" t="inlineStr">
        <is>
          <t>CDE-R071</t>
        </is>
      </c>
      <c r="B72" s="8" t="inlineStr">
        <is>
          <t>Interest Rate Risk Exposure on Variable-Rate Debt %</t>
        </is>
      </c>
      <c r="C72" s="8" t="inlineStr">
        <is>
          <t>GRC Platform</t>
        </is>
      </c>
      <c r="D72" s="8" t="inlineStr">
        <is>
          <t>RSA Archer, ServiceNow GRC — risk quantification module</t>
        </is>
      </c>
      <c r="E72" s="8" t="inlineStr">
        <is>
          <t>Default Evidence Source declared: Finance / ERP</t>
        </is>
      </c>
    </row>
    <row r="73" ht="15" customHeight="1" s="6">
      <c r="A73" s="8" t="inlineStr">
        <is>
          <t>CDE-R072</t>
        </is>
      </c>
      <c r="B73" s="8" t="inlineStr">
        <is>
          <t>Interest Rate Hedge Instrument Used</t>
        </is>
      </c>
      <c r="C73" s="8" t="inlineStr">
        <is>
          <t>Finance / ERP</t>
        </is>
      </c>
      <c r="D73" s="8" t="inlineStr">
        <is>
          <t>SAP, Oracle Treasury — insurance/hedging module</t>
        </is>
      </c>
      <c r="E73" s="8" t="inlineStr">
        <is>
          <t>Default Evidence Source declared: Finance / ERP</t>
        </is>
      </c>
    </row>
    <row r="74" ht="15" customHeight="1" s="6">
      <c r="A74" s="8" t="inlineStr">
        <is>
          <t>CDE-R073</t>
        </is>
      </c>
      <c r="B74" s="8" t="inlineStr">
        <is>
          <t>Counterparty Default Risk Rating</t>
        </is>
      </c>
      <c r="C74" s="8" t="inlineStr">
        <is>
          <t>Finance / ERP</t>
        </is>
      </c>
      <c r="D74" s="8" t="inlineStr">
        <is>
          <t>SAP, Oracle Treasury Management System</t>
        </is>
      </c>
      <c r="E74" s="8" t="inlineStr">
        <is>
          <t>Default Evidence Source declared: Finance / ERP</t>
        </is>
      </c>
    </row>
    <row r="75" ht="15" customHeight="1" s="6">
      <c r="A75" s="8" t="inlineStr">
        <is>
          <t>CDE-R074</t>
        </is>
      </c>
      <c r="B75" s="8" t="inlineStr">
        <is>
          <t>Maximum Single-Counterparty Default Exposure</t>
        </is>
      </c>
      <c r="C75" s="8" t="inlineStr">
        <is>
          <t>GRC Platform</t>
        </is>
      </c>
      <c r="D75" s="8" t="inlineStr">
        <is>
          <t>RSA Archer, ServiceNow GRC — risk quantification module</t>
        </is>
      </c>
      <c r="E75" s="8" t="inlineStr">
        <is>
          <t>Default Evidence Source declared: Finance / ERP</t>
        </is>
      </c>
    </row>
    <row r="76" ht="15" customHeight="1" s="6">
      <c r="A76" s="8" t="inlineStr">
        <is>
          <t>CDE-R075</t>
        </is>
      </c>
      <c r="B76" s="8" t="inlineStr">
        <is>
          <t>Process Failure Risk Identified</t>
        </is>
      </c>
      <c r="C76" s="8" t="inlineStr">
        <is>
          <t>GRC Platform</t>
        </is>
      </c>
      <c r="D76" s="8" t="inlineStr">
        <is>
          <t>RSA Archer, ServiceNow GRC, MetricStream</t>
        </is>
      </c>
      <c r="E76" s="8" t="inlineStr">
        <is>
          <t>Default Evidence Source declared: Risk Register</t>
        </is>
      </c>
    </row>
    <row r="77" ht="15" customHeight="1" s="6">
      <c r="A77" s="8" t="inlineStr">
        <is>
          <t>CDE-R076</t>
        </is>
      </c>
      <c r="B77" s="8" t="inlineStr">
        <is>
          <t>Process Failure Risk Severity Rating</t>
        </is>
      </c>
      <c r="C77" s="8" t="inlineStr">
        <is>
          <t>GRC Platform</t>
        </is>
      </c>
      <c r="D77" s="8" t="inlineStr">
        <is>
          <t>RSA Archer, ServiceNow GRC — risk quantification module</t>
        </is>
      </c>
      <c r="E77" s="8" t="inlineStr">
        <is>
          <t>Default Evidence Source declared: Risk Register</t>
        </is>
      </c>
    </row>
    <row r="78" ht="15" customHeight="1" s="6">
      <c r="A78" s="8" t="inlineStr">
        <is>
          <t>CDE-R077</t>
        </is>
      </c>
      <c r="B78" s="8" t="inlineStr">
        <is>
          <t>Process Control Mitigation in Place</t>
        </is>
      </c>
      <c r="C78" s="8" t="inlineStr">
        <is>
          <t>Governance / Board Management System</t>
        </is>
      </c>
      <c r="D78" s="8" t="inlineStr">
        <is>
          <t>Internal Audit GRC module, Annual Report</t>
        </is>
      </c>
      <c r="E78" s="8" t="inlineStr">
        <is>
          <t>Default Evidence Source declared: User Validation</t>
        </is>
      </c>
    </row>
    <row r="79" ht="15" customHeight="1" s="6">
      <c r="A79" s="8" t="inlineStr">
        <is>
          <t>CDE-R078</t>
        </is>
      </c>
      <c r="B79" s="8" t="inlineStr">
        <is>
          <t>Key-Person Risk Identified for Critical Role</t>
        </is>
      </c>
      <c r="C79" s="8" t="inlineStr">
        <is>
          <t>HRMS</t>
        </is>
      </c>
      <c r="D79" s="8" t="inlineStr">
        <is>
          <t>Workday, SAP SuccessFactors — succession planning module</t>
        </is>
      </c>
      <c r="E79" s="8" t="inlineStr">
        <is>
          <t>Default Evidence Source declared: User Validation</t>
        </is>
      </c>
    </row>
    <row r="80" ht="15" customHeight="1" s="6">
      <c r="A80" s="8" t="inlineStr">
        <is>
          <t>CDE-R079</t>
        </is>
      </c>
      <c r="B80" s="8" t="inlineStr">
        <is>
          <t>Succession Plan Exists for Key Role</t>
        </is>
      </c>
      <c r="C80" s="8" t="inlineStr">
        <is>
          <t>HRMS</t>
        </is>
      </c>
      <c r="D80" s="8" t="inlineStr">
        <is>
          <t>Workday, SAP SuccessFactors — succession planning module</t>
        </is>
      </c>
      <c r="E80" s="8" t="inlineStr">
        <is>
          <t>Default Evidence Source declared: User Validation</t>
        </is>
      </c>
    </row>
    <row r="81" ht="15" customHeight="1" s="6">
      <c r="A81" s="8" t="inlineStr">
        <is>
          <t>CDE-R080</t>
        </is>
      </c>
      <c r="B81" s="8" t="inlineStr">
        <is>
          <t>Critical Role Vacancy Risk Rating</t>
        </is>
      </c>
      <c r="C81" s="8" t="inlineStr">
        <is>
          <t>HRMS</t>
        </is>
      </c>
      <c r="D81" s="8" t="inlineStr">
        <is>
          <t>Workday, SAP SuccessFactors — succession planning module</t>
        </is>
      </c>
      <c r="E81" s="8" t="inlineStr">
        <is>
          <t>Default Evidence Source declared: User Validation</t>
        </is>
      </c>
    </row>
    <row r="82" ht="15" customHeight="1" s="6">
      <c r="A82" s="8" t="inlineStr">
        <is>
          <t>CDE-R081</t>
        </is>
      </c>
      <c r="B82" s="8" t="inlineStr">
        <is>
          <t>Mission-Critical System Failure Risk Identified</t>
        </is>
      </c>
      <c r="C82" s="8" t="inlineStr">
        <is>
          <t>IT Service Management</t>
        </is>
      </c>
      <c r="D82" s="8" t="inlineStr">
        <is>
          <t>ServiceNow ITSM, system uptime monitoring</t>
        </is>
      </c>
      <c r="E82" s="8" t="inlineStr">
        <is>
          <t>Default Evidence Source declared: Risk Register</t>
        </is>
      </c>
    </row>
    <row r="83" ht="15" customHeight="1" s="6">
      <c r="A83" s="8" t="inlineStr">
        <is>
          <t>CDE-R082</t>
        </is>
      </c>
      <c r="B83" s="8" t="inlineStr">
        <is>
          <t>System Redundancy/Failover Exists</t>
        </is>
      </c>
      <c r="C83" s="8" t="inlineStr">
        <is>
          <t>IT Service Management</t>
        </is>
      </c>
      <c r="D83" s="8" t="inlineStr">
        <is>
          <t>ServiceNow ITSM, system uptime monitoring</t>
        </is>
      </c>
      <c r="E83" s="8" t="inlineStr">
        <is>
          <t>Default Evidence Source declared: User Validation</t>
        </is>
      </c>
    </row>
    <row r="84" ht="15" customHeight="1" s="6">
      <c r="A84" s="8" t="inlineStr">
        <is>
          <t>CDE-R083</t>
        </is>
      </c>
      <c r="B84" s="8" t="inlineStr">
        <is>
          <t>System Downtime Historical Frequency (events per year)</t>
        </is>
      </c>
      <c r="C84" s="8" t="inlineStr">
        <is>
          <t>IT Service Management</t>
        </is>
      </c>
      <c r="D84" s="8" t="inlineStr">
        <is>
          <t>ServiceNow ITSM, system uptime monitoring</t>
        </is>
      </c>
      <c r="E84" s="8" t="inlineStr">
        <is>
          <t>Default Evidence Source declared: User Validation</t>
        </is>
      </c>
    </row>
    <row r="85" ht="15" customHeight="1" s="6">
      <c r="A85" s="8" t="inlineStr">
        <is>
          <t>CDE-R084</t>
        </is>
      </c>
      <c r="B85" s="8" t="inlineStr">
        <is>
          <t>Fraud Risk Assessment Conducted</t>
        </is>
      </c>
      <c r="C85" s="8" t="inlineStr">
        <is>
          <t>Governance / Board Management System</t>
        </is>
      </c>
      <c r="D85" s="8" t="inlineStr">
        <is>
          <t>Internal Audit GRC module, Annual Report</t>
        </is>
      </c>
      <c r="E85" s="8" t="inlineStr">
        <is>
          <t>Default Evidence Source declared: Annual Report</t>
        </is>
      </c>
    </row>
    <row r="86" ht="15" customHeight="1" s="6">
      <c r="A86" s="8" t="inlineStr">
        <is>
          <t>CDE-R085</t>
        </is>
      </c>
      <c r="B86" s="8" t="inlineStr">
        <is>
          <t>Internal Control Material Weakness Identified</t>
        </is>
      </c>
      <c r="C86" s="8" t="inlineStr">
        <is>
          <t>Governance / Board Management System</t>
        </is>
      </c>
      <c r="D86" s="8" t="inlineStr">
        <is>
          <t>Internal Audit GRC module, Annual Report</t>
        </is>
      </c>
      <c r="E86" s="8" t="inlineStr">
        <is>
          <t>Default Evidence Source declared: Annual Report</t>
        </is>
      </c>
    </row>
    <row r="87" ht="15" customHeight="1" s="6">
      <c r="A87" s="8" t="inlineStr">
        <is>
          <t>CDE-R086</t>
        </is>
      </c>
      <c r="B87" s="8" t="inlineStr">
        <is>
          <t>Fraud Incident Count (Current Period)</t>
        </is>
      </c>
      <c r="C87" s="8" t="inlineStr">
        <is>
          <t>Governance / Board Management System</t>
        </is>
      </c>
      <c r="D87" s="8" t="inlineStr">
        <is>
          <t>Internal Audit GRC module, Annual Report</t>
        </is>
      </c>
      <c r="E87" s="8" t="inlineStr">
        <is>
          <t>Default Evidence Source declared: Annual Report</t>
        </is>
      </c>
    </row>
    <row r="88" ht="15" customHeight="1" s="6">
      <c r="A88" s="8" t="inlineStr">
        <is>
          <t>CDE-R087</t>
        </is>
      </c>
      <c r="B88" s="8" t="inlineStr">
        <is>
          <t>Operational Risk Event Historical Frequency (per year)</t>
        </is>
      </c>
      <c r="C88" s="8" t="inlineStr">
        <is>
          <t>GRC Platform</t>
        </is>
      </c>
      <c r="D88" s="8" t="inlineStr">
        <is>
          <t>RSA Archer, ServiceNow GRC, MetricStream</t>
        </is>
      </c>
      <c r="E88" s="8" t="inlineStr">
        <is>
          <t>Default Evidence Source declared: Risk Register</t>
        </is>
      </c>
    </row>
    <row r="89" ht="15" customHeight="1" s="6">
      <c r="A89" s="8" t="inlineStr">
        <is>
          <t>CDE-R088</t>
        </is>
      </c>
      <c r="B89" s="8" t="inlineStr">
        <is>
          <t>Operational Risk Event Historical Cost (Annual)</t>
        </is>
      </c>
      <c r="C89" s="8" t="inlineStr">
        <is>
          <t>Finance / ERP</t>
        </is>
      </c>
      <c r="D89" s="8" t="inlineStr">
        <is>
          <t>SAP, Oracle Finance</t>
        </is>
      </c>
      <c r="E89" s="8" t="inlineStr">
        <is>
          <t>Default Evidence Source declared: Finance / ERP</t>
        </is>
      </c>
    </row>
    <row r="90" ht="15" customHeight="1" s="6">
      <c r="A90" s="8" t="inlineStr">
        <is>
          <t>CDE-R089</t>
        </is>
      </c>
      <c r="B90" s="8" t="inlineStr">
        <is>
          <t>Risk That Could Derail Strategic Plan</t>
        </is>
      </c>
      <c r="C90" s="8" t="inlineStr">
        <is>
          <t>GRC Platform</t>
        </is>
      </c>
      <c r="D90" s="8" t="inlineStr">
        <is>
          <t>RSA Archer, ServiceNow GRC, MetricStream</t>
        </is>
      </c>
      <c r="E90" s="8" t="inlineStr">
        <is>
          <t>Default Evidence Source declared: Risk Register</t>
        </is>
      </c>
    </row>
    <row r="91" ht="15" customHeight="1" s="6">
      <c r="A91" s="8" t="inlineStr">
        <is>
          <t>CDE-R090</t>
        </is>
      </c>
      <c r="B91" s="8" t="inlineStr">
        <is>
          <t>Strategic Risk Probability Score</t>
        </is>
      </c>
      <c r="C91" s="8" t="inlineStr">
        <is>
          <t>GRC Platform</t>
        </is>
      </c>
      <c r="D91" s="8" t="inlineStr">
        <is>
          <t>RSA Archer, ServiceNow GRC — risk quantification module</t>
        </is>
      </c>
      <c r="E91" s="8" t="inlineStr">
        <is>
          <t>Default Evidence Source declared: Risk Register</t>
        </is>
      </c>
    </row>
    <row r="92" ht="15" customHeight="1" s="6">
      <c r="A92" s="8" t="inlineStr">
        <is>
          <t>CDE-R091</t>
        </is>
      </c>
      <c r="B92" s="8" t="inlineStr">
        <is>
          <t>Strategic Risk Financial Exposure</t>
        </is>
      </c>
      <c r="C92" s="8" t="inlineStr">
        <is>
          <t>GRC Platform</t>
        </is>
      </c>
      <c r="D92" s="8" t="inlineStr">
        <is>
          <t>RSA Archer, ServiceNow GRC — risk quantification module</t>
        </is>
      </c>
      <c r="E92" s="8" t="inlineStr">
        <is>
          <t>Default Evidence Source declared: Risk Register</t>
        </is>
      </c>
    </row>
    <row r="93" ht="15" customHeight="1" s="6">
      <c r="A93" s="8" t="inlineStr">
        <is>
          <t>CDE-R092</t>
        </is>
      </c>
      <c r="B93" s="8" t="inlineStr">
        <is>
          <t>Reputational Risk Identified</t>
        </is>
      </c>
      <c r="C93" s="8" t="inlineStr">
        <is>
          <t>Human Judgment / Internal Assessment</t>
        </is>
      </c>
      <c r="D93" s="8" t="inlineStr">
        <is>
          <t>Communications/Strategy team monitoring, social listening tool</t>
        </is>
      </c>
      <c r="E93" s="8" t="inlineStr">
        <is>
          <t>Default Evidence Source declared: Risk Register</t>
        </is>
      </c>
    </row>
    <row r="94" ht="15" customHeight="1" s="6">
      <c r="A94" s="8" t="inlineStr">
        <is>
          <t>CDE-R093</t>
        </is>
      </c>
      <c r="B94" s="8" t="inlineStr">
        <is>
          <t>Reputational Risk Escalation Velocity Rating</t>
        </is>
      </c>
      <c r="C94" s="8" t="inlineStr">
        <is>
          <t>Human Judgment / Internal Assessment</t>
        </is>
      </c>
      <c r="D94" s="8" t="inlineStr">
        <is>
          <t>Communications/Strategy team monitoring, social listening tool</t>
        </is>
      </c>
      <c r="E94" s="8" t="inlineStr">
        <is>
          <t>Default Evidence Source declared: User Validation</t>
        </is>
      </c>
    </row>
    <row r="95" ht="15" customHeight="1" s="6">
      <c r="A95" s="8" t="inlineStr">
        <is>
          <t>CDE-R094</t>
        </is>
      </c>
      <c r="B95" s="8" t="inlineStr">
        <is>
          <t>Reputational Risk Monitoring Mechanism (e.g. social listening)</t>
        </is>
      </c>
      <c r="C95" s="8" t="inlineStr">
        <is>
          <t>Human Judgment / Internal Assessment</t>
        </is>
      </c>
      <c r="D95" s="8" t="inlineStr">
        <is>
          <t>Communications/Strategy team monitoring, social listening tool</t>
        </is>
      </c>
      <c r="E95" s="8" t="inlineStr">
        <is>
          <t>Default Evidence Source declared: User Validation</t>
        </is>
      </c>
    </row>
    <row r="96" ht="15" customHeight="1" s="6">
      <c r="A96" s="8" t="inlineStr">
        <is>
          <t>CDE-R095</t>
        </is>
      </c>
      <c r="B96" s="8" t="inlineStr">
        <is>
          <t>Material Litigation Risk Identified</t>
        </is>
      </c>
      <c r="C96" s="8" t="inlineStr">
        <is>
          <t>Legal Document Management</t>
        </is>
      </c>
      <c r="D96" s="8" t="inlineStr">
        <is>
          <t>iManage, NetDocuments — litigation tracking</t>
        </is>
      </c>
      <c r="E96" s="8" t="inlineStr">
        <is>
          <t>Default Evidence Source declared: Annual Report</t>
        </is>
      </c>
    </row>
    <row r="97" ht="15" customHeight="1" s="6">
      <c r="A97" s="8" t="inlineStr">
        <is>
          <t>CDE-R096</t>
        </is>
      </c>
      <c r="B97" s="8" t="inlineStr">
        <is>
          <t>Litigation Risk Estimated Financial Exposure</t>
        </is>
      </c>
      <c r="C97" s="8" t="inlineStr">
        <is>
          <t>GRC Platform</t>
        </is>
      </c>
      <c r="D97" s="8" t="inlineStr">
        <is>
          <t>RSA Archer, ServiceNow GRC — risk quantification module</t>
        </is>
      </c>
      <c r="E97" s="8" t="inlineStr">
        <is>
          <t>Default Evidence Source declared: Annual Report</t>
        </is>
      </c>
    </row>
    <row r="98" ht="15" customHeight="1" s="6">
      <c r="A98" s="8" t="inlineStr">
        <is>
          <t>CDE-R097</t>
        </is>
      </c>
      <c r="B98" s="8" t="inlineStr">
        <is>
          <t>Litigation Risk Could Affect Strategic Execution</t>
        </is>
      </c>
      <c r="C98" s="8" t="inlineStr">
        <is>
          <t>Legal Document Management</t>
        </is>
      </c>
      <c r="D98" s="8" t="inlineStr">
        <is>
          <t>iManage, NetDocuments — litigation tracking</t>
        </is>
      </c>
      <c r="E98" s="8" t="inlineStr">
        <is>
          <t>Default Evidence Source declared: User Validation</t>
        </is>
      </c>
    </row>
    <row r="99" ht="15" customHeight="1" s="6">
      <c r="A99" s="8" t="inlineStr">
        <is>
          <t>CDE-R098</t>
        </is>
      </c>
      <c r="B99" s="8" t="inlineStr">
        <is>
          <t>Competitive Disruption Risk Identified</t>
        </is>
      </c>
      <c r="C99" s="8" t="inlineStr">
        <is>
          <t>Human Judgment / Internal Assessment</t>
        </is>
      </c>
      <c r="D99" s="8" t="inlineStr">
        <is>
          <t>Strategy team risk assessment documentation</t>
        </is>
      </c>
      <c r="E99" s="8" t="inlineStr">
        <is>
          <t>Default Evidence Source declared: Risk Register</t>
        </is>
      </c>
    </row>
    <row r="100" ht="15" customHeight="1" s="6">
      <c r="A100" s="8" t="inlineStr">
        <is>
          <t>CDE-R099</t>
        </is>
      </c>
      <c r="B100" s="8" t="inlineStr">
        <is>
          <t>Disruption Risk Time Horizon</t>
        </is>
      </c>
      <c r="C100" s="8" t="inlineStr">
        <is>
          <t>Human Judgment / Internal Assessment</t>
        </is>
      </c>
      <c r="D100" s="8" t="inlineStr">
        <is>
          <t>Strategy/Risk team disruption timeline assessment</t>
        </is>
      </c>
      <c r="E100" s="8" t="inlineStr">
        <is>
          <t>Default Evidence Source declared: User Validation</t>
        </is>
      </c>
    </row>
    <row r="101" ht="15" customHeight="1" s="6">
      <c r="A101" s="8" t="inlineStr">
        <is>
          <t>CDE-R100</t>
        </is>
      </c>
      <c r="B101" s="8" t="inlineStr">
        <is>
          <t>Technology Obsolescence Risk Identified</t>
        </is>
      </c>
      <c r="C101" s="8" t="inlineStr">
        <is>
          <t>Human Judgment / Internal Assessment</t>
        </is>
      </c>
      <c r="D101" s="8" t="inlineStr">
        <is>
          <t>Strategy team risk assessment documentation</t>
        </is>
      </c>
      <c r="E101" s="8" t="inlineStr">
        <is>
          <t>Default Evidence Source declared: Risk Register</t>
        </is>
      </c>
    </row>
    <row r="102" ht="15" customHeight="1" s="6">
      <c r="A102" s="8" t="inlineStr">
        <is>
          <t>CDE-R101</t>
        </is>
      </c>
      <c r="B102" s="8" t="inlineStr">
        <is>
          <t>Obsolescence Risk Estimated Impact on Business Model</t>
        </is>
      </c>
      <c r="C102" s="8" t="inlineStr">
        <is>
          <t>Human Judgment / Internal Assessment</t>
        </is>
      </c>
      <c r="D102" s="8" t="inlineStr">
        <is>
          <t>Strategy team risk assessment documentation</t>
        </is>
      </c>
      <c r="E102" s="8" t="inlineStr">
        <is>
          <t>Default Evidence Source declared: User Validation</t>
        </is>
      </c>
    </row>
    <row r="103" ht="15" customHeight="1" s="6">
      <c r="A103" s="8" t="inlineStr">
        <is>
          <t>CDE-R102</t>
        </is>
      </c>
      <c r="B103" s="8" t="inlineStr">
        <is>
          <t>Country Concentration Risk Identified</t>
        </is>
      </c>
      <c r="C103" s="8" t="inlineStr">
        <is>
          <t>Regulatory Filing Portal</t>
        </is>
      </c>
      <c r="D103" s="8" t="inlineStr">
        <is>
          <t>Trade compliance database, sanctions screening tool</t>
        </is>
      </c>
      <c r="E103" s="8" t="inlineStr">
        <is>
          <t>Default Evidence Source declared: Annual Report</t>
        </is>
      </c>
    </row>
    <row r="104" ht="15" customHeight="1" s="6">
      <c r="A104" s="8" t="inlineStr">
        <is>
          <t>CDE-R103</t>
        </is>
      </c>
      <c r="B104" s="8" t="inlineStr">
        <is>
          <t>Country Concentration Risk Severity Rating</t>
        </is>
      </c>
      <c r="C104" s="8" t="inlineStr">
        <is>
          <t>GRC Platform</t>
        </is>
      </c>
      <c r="D104" s="8" t="inlineStr">
        <is>
          <t>RSA Archer, ServiceNow GRC — risk quantification module</t>
        </is>
      </c>
      <c r="E104" s="8" t="inlineStr">
        <is>
          <t>Default Evidence Source declared: Risk Register</t>
        </is>
      </c>
    </row>
    <row r="105" ht="15" customHeight="1" s="6">
      <c r="A105" s="8" t="inlineStr">
        <is>
          <t>CDE-R104</t>
        </is>
      </c>
      <c r="B105" s="8" t="inlineStr">
        <is>
          <t>Country with Highest Concentration Risk</t>
        </is>
      </c>
      <c r="C105" s="8" t="inlineStr">
        <is>
          <t>Regulatory Filing Portal</t>
        </is>
      </c>
      <c r="D105" s="8" t="inlineStr">
        <is>
          <t>Trade compliance database, sanctions screening tool</t>
        </is>
      </c>
      <c r="E105" s="8" t="inlineStr">
        <is>
          <t>Default Evidence Source declared: Annual Report</t>
        </is>
      </c>
    </row>
    <row r="106" ht="15" customHeight="1" s="6">
      <c r="A106" s="8" t="inlineStr">
        <is>
          <t>CDE-R105</t>
        </is>
      </c>
      <c r="B106" s="8" t="inlineStr">
        <is>
          <t>Trade-War Tariff Exposure Identified</t>
        </is>
      </c>
      <c r="C106" s="8" t="inlineStr">
        <is>
          <t>GRC Platform</t>
        </is>
      </c>
      <c r="D106" s="8" t="inlineStr">
        <is>
          <t>RSA Archer, ServiceNow GRC — risk quantification module</t>
        </is>
      </c>
      <c r="E106" s="8" t="inlineStr">
        <is>
          <t>Default Evidence Source declared: Annual Report</t>
        </is>
      </c>
    </row>
    <row r="107" ht="15" customHeight="1" s="6">
      <c r="A107" s="8" t="inlineStr">
        <is>
          <t>CDE-R106</t>
        </is>
      </c>
      <c r="B107" s="8" t="inlineStr">
        <is>
          <t>Sanctions Exposure Risk Rating</t>
        </is>
      </c>
      <c r="C107" s="8" t="inlineStr">
        <is>
          <t>GRC Platform</t>
        </is>
      </c>
      <c r="D107" s="8" t="inlineStr">
        <is>
          <t>RSA Archer, ServiceNow GRC — risk quantification module</t>
        </is>
      </c>
      <c r="E107" s="8" t="inlineStr">
        <is>
          <t>Default Evidence Source declared: Regulatory Filings</t>
        </is>
      </c>
    </row>
    <row r="108" ht="15" customHeight="1" s="6">
      <c r="A108" s="8" t="inlineStr">
        <is>
          <t>CDE-R107</t>
        </is>
      </c>
      <c r="B108" s="8" t="inlineStr">
        <is>
          <t>Tariff Exposure Estimated Financial Impact</t>
        </is>
      </c>
      <c r="C108" s="8" t="inlineStr">
        <is>
          <t>GRC Platform</t>
        </is>
      </c>
      <c r="D108" s="8" t="inlineStr">
        <is>
          <t>RSA Archer, ServiceNow GRC — risk quantification module</t>
        </is>
      </c>
      <c r="E108" s="8" t="inlineStr">
        <is>
          <t>Default Evidence Source declared: Finance / ERP</t>
        </is>
      </c>
    </row>
    <row r="109" ht="15" customHeight="1" s="6">
      <c r="A109" s="8" t="inlineStr">
        <is>
          <t>CDE-R108</t>
        </is>
      </c>
      <c r="B109" s="8" t="inlineStr">
        <is>
          <t>Facility Physical Climate Risk Rating</t>
        </is>
      </c>
      <c r="C109" s="8" t="inlineStr">
        <is>
          <t>Risk Management System / Human Judgment</t>
        </is>
      </c>
      <c r="D109" s="8" t="inlineStr">
        <is>
          <t>Climate risk assessment study (Climate X, Moody's), GRC platform</t>
        </is>
      </c>
      <c r="E109" s="8" t="inlineStr">
        <is>
          <t>Default Evidence Source declared: User Validation</t>
        </is>
      </c>
    </row>
    <row r="110" ht="15" customHeight="1" s="6">
      <c r="A110" s="8" t="inlineStr">
        <is>
          <t>CDE-R109</t>
        </is>
      </c>
      <c r="B110" s="8" t="inlineStr">
        <is>
          <t>Facility Climate Risk Type (Flood/Heat/Drought/Storm)</t>
        </is>
      </c>
      <c r="C110" s="8" t="inlineStr">
        <is>
          <t>Risk Management System / Human Judgment</t>
        </is>
      </c>
      <c r="D110" s="8" t="inlineStr">
        <is>
          <t>Climate risk assessment study (Climate X, Moody's), GRC platform</t>
        </is>
      </c>
      <c r="E110" s="8" t="inlineStr">
        <is>
          <t>Default Evidence Source declared: User Validation</t>
        </is>
      </c>
    </row>
    <row r="111" ht="15" customHeight="1" s="6">
      <c r="A111" s="8" t="inlineStr">
        <is>
          <t>CDE-R110</t>
        </is>
      </c>
      <c r="B111" s="8" t="inlineStr">
        <is>
          <t>Facility Climate Risk Assessment Source</t>
        </is>
      </c>
      <c r="C111" s="8" t="inlineStr">
        <is>
          <t>Risk Management System / Human Judgment</t>
        </is>
      </c>
      <c r="D111" s="8" t="inlineStr">
        <is>
          <t>Climate risk assessment study (Climate X, Moody's), GRC platform</t>
        </is>
      </c>
      <c r="E111" s="8" t="inlineStr">
        <is>
          <t>Default Evidence Source declared: User Validation</t>
        </is>
      </c>
    </row>
    <row r="112" ht="15" customHeight="1" s="6">
      <c r="A112" s="8" t="inlineStr">
        <is>
          <t>CDE-R111</t>
        </is>
      </c>
      <c r="B112" s="8" t="inlineStr">
        <is>
          <t>Political Instability Risk Country</t>
        </is>
      </c>
      <c r="C112" s="8" t="inlineStr">
        <is>
          <t>Regulatory Filing Portal</t>
        </is>
      </c>
      <c r="D112" s="8" t="inlineStr">
        <is>
          <t>Trade compliance database, sanctions screening tool</t>
        </is>
      </c>
      <c r="E112" s="8" t="inlineStr">
        <is>
          <t>Default Evidence Source declared: Risk Register</t>
        </is>
      </c>
    </row>
    <row r="113" ht="15" customHeight="1" s="6">
      <c r="A113" s="8" t="inlineStr">
        <is>
          <t>CDE-R112</t>
        </is>
      </c>
      <c r="B113" s="8" t="inlineStr">
        <is>
          <t>Political Instability Risk Rating</t>
        </is>
      </c>
      <c r="C113" s="8" t="inlineStr">
        <is>
          <t>Regulatory Filing Portal</t>
        </is>
      </c>
      <c r="D113" s="8" t="inlineStr">
        <is>
          <t>Trade compliance database, sanctions screening tool</t>
        </is>
      </c>
      <c r="E113" s="8" t="inlineStr">
        <is>
          <t>Default Evidence Source declared: Risk Register</t>
        </is>
      </c>
    </row>
    <row r="114" ht="15" customHeight="1" s="6">
      <c r="A114" s="8" t="inlineStr">
        <is>
          <t>CDE-R113</t>
        </is>
      </c>
      <c r="B114" s="8" t="inlineStr">
        <is>
          <t>Critical Supplier Concentration Risk Identified</t>
        </is>
      </c>
      <c r="C114" s="8" t="inlineStr">
        <is>
          <t>Procurement System</t>
        </is>
      </c>
      <c r="D114" s="8" t="inlineStr">
        <is>
          <t>SAP Ariba, Coupa — third-party risk module</t>
        </is>
      </c>
      <c r="E114" s="8" t="inlineStr">
        <is>
          <t>Default Evidence Source declared: Risk Register</t>
        </is>
      </c>
    </row>
    <row r="115" ht="15" customHeight="1" s="6">
      <c r="A115" s="8" t="inlineStr">
        <is>
          <t>CDE-R114</t>
        </is>
      </c>
      <c r="B115" s="8" t="inlineStr">
        <is>
          <t>Single-Source Critical Input Identified</t>
        </is>
      </c>
      <c r="C115" s="8" t="inlineStr">
        <is>
          <t>GRC Platform</t>
        </is>
      </c>
      <c r="D115" s="8" t="inlineStr">
        <is>
          <t>RSA Archer, ServiceNow GRC, MetricStream</t>
        </is>
      </c>
      <c r="E115" s="8" t="inlineStr">
        <is>
          <t>Default Evidence Source declared: Risk Register</t>
        </is>
      </c>
    </row>
    <row r="116" ht="15" customHeight="1" s="6">
      <c r="A116" s="8" t="inlineStr">
        <is>
          <t>CDE-R115</t>
        </is>
      </c>
      <c r="B116" s="8" t="inlineStr">
        <is>
          <t>Customer Concentration Risk Mitigation Plan Exists</t>
        </is>
      </c>
      <c r="C116" s="8" t="inlineStr">
        <is>
          <t>Procurement System</t>
        </is>
      </c>
      <c r="D116" s="8" t="inlineStr">
        <is>
          <t>SAP Ariba, Coupa — third-party risk module</t>
        </is>
      </c>
      <c r="E116" s="8" t="inlineStr">
        <is>
          <t>Default Evidence Source declared: User Validation</t>
        </is>
      </c>
    </row>
    <row r="117" ht="15" customHeight="1" s="6">
      <c r="A117" s="8" t="inlineStr">
        <is>
          <t>CDE-R116</t>
        </is>
      </c>
      <c r="B117" s="8" t="inlineStr">
        <is>
          <t>Customer Concentration Risk Severity Rating</t>
        </is>
      </c>
      <c r="C117" s="8" t="inlineStr">
        <is>
          <t>GRC Platform</t>
        </is>
      </c>
      <c r="D117" s="8" t="inlineStr">
        <is>
          <t>RSA Archer, ServiceNow GRC — risk quantification module</t>
        </is>
      </c>
      <c r="E117" s="8" t="inlineStr">
        <is>
          <t>Default Evidence Source declared: Risk Register</t>
        </is>
      </c>
    </row>
    <row r="118" ht="15" customHeight="1" s="6">
      <c r="A118" s="8" t="inlineStr">
        <is>
          <t>CDE-R117</t>
        </is>
      </c>
      <c r="B118" s="8" t="inlineStr">
        <is>
          <t>Third-Party Due Diligence Process Exists</t>
        </is>
      </c>
      <c r="C118" s="8" t="inlineStr">
        <is>
          <t>Procurement System</t>
        </is>
      </c>
      <c r="D118" s="8" t="inlineStr">
        <is>
          <t>SAP Ariba, Coupa — third-party risk module</t>
        </is>
      </c>
      <c r="E118" s="8" t="inlineStr">
        <is>
          <t>Default Evidence Source declared: User Validation</t>
        </is>
      </c>
    </row>
    <row r="119" ht="15" customHeight="1" s="6">
      <c r="A119" s="8" t="inlineStr">
        <is>
          <t>CDE-R118</t>
        </is>
      </c>
      <c r="B119" s="8" t="inlineStr">
        <is>
          <t>Due Diligence Frequency for Critical Third Parties</t>
        </is>
      </c>
      <c r="C119" s="8" t="inlineStr">
        <is>
          <t>Procurement System</t>
        </is>
      </c>
      <c r="D119" s="8" t="inlineStr">
        <is>
          <t>SAP Ariba, Coupa — third-party risk module</t>
        </is>
      </c>
      <c r="E119" s="8" t="inlineStr">
        <is>
          <t>Default Evidence Source declared: User Validation</t>
        </is>
      </c>
    </row>
    <row r="120" ht="15" customHeight="1" s="6">
      <c r="A120" s="8" t="inlineStr">
        <is>
          <t>CDE-R119</t>
        </is>
      </c>
      <c r="B120" s="8" t="inlineStr">
        <is>
          <t>Third-Party Risk Rating Methodology</t>
        </is>
      </c>
      <c r="C120" s="8" t="inlineStr">
        <is>
          <t>Procurement System</t>
        </is>
      </c>
      <c r="D120" s="8" t="inlineStr">
        <is>
          <t>SAP Ariba, Coupa — third-party risk module</t>
        </is>
      </c>
      <c r="E120" s="8" t="inlineStr">
        <is>
          <t>Default Evidence Source declared: User Validation</t>
        </is>
      </c>
    </row>
    <row r="121" ht="15" customHeight="1" s="6">
      <c r="A121" s="8" t="inlineStr">
        <is>
          <t>CDE-R120</t>
        </is>
      </c>
      <c r="B121" s="8" t="inlineStr">
        <is>
          <t>Contingency Plan Exists for Critical Third-Party Failure</t>
        </is>
      </c>
      <c r="C121" s="8" t="inlineStr">
        <is>
          <t>Procurement System</t>
        </is>
      </c>
      <c r="D121" s="8" t="inlineStr">
        <is>
          <t>SAP Ariba, Coupa — third-party risk module</t>
        </is>
      </c>
      <c r="E121" s="8" t="inlineStr">
        <is>
          <t>Default Evidence Source declared: User Validation</t>
        </is>
      </c>
    </row>
    <row r="122" ht="15" customHeight="1" s="6">
      <c r="A122" s="8" t="inlineStr">
        <is>
          <t>CDE-R121</t>
        </is>
      </c>
      <c r="B122" s="8" t="inlineStr">
        <is>
          <t>Alternative Supplier/Customer Identified</t>
        </is>
      </c>
      <c r="C122" s="8" t="inlineStr">
        <is>
          <t>Procurement System</t>
        </is>
      </c>
      <c r="D122" s="8" t="inlineStr">
        <is>
          <t>SAP Ariba, Coupa — third-party risk module</t>
        </is>
      </c>
      <c r="E122" s="8" t="inlineStr">
        <is>
          <t>Default Evidence Source declared: User Validation</t>
        </is>
      </c>
    </row>
    <row r="123" ht="15" customHeight="1" s="6">
      <c r="A123" s="8" t="inlineStr">
        <is>
          <t>CDE-R122</t>
        </is>
      </c>
      <c r="B123" s="8" t="inlineStr">
        <is>
          <t>Fourth-Party (Sub-Supplier) Risk Visibility Exists</t>
        </is>
      </c>
      <c r="C123" s="8" t="inlineStr">
        <is>
          <t>Procurement System</t>
        </is>
      </c>
      <c r="D123" s="8" t="inlineStr">
        <is>
          <t>SAP Ariba, Coupa — third-party risk module</t>
        </is>
      </c>
      <c r="E123" s="8" t="inlineStr">
        <is>
          <t>Default Evidence Source declared: User Validation</t>
        </is>
      </c>
    </row>
    <row r="124" ht="15" customHeight="1" s="6">
      <c r="A124" s="8" t="inlineStr">
        <is>
          <t>CDE-R123</t>
        </is>
      </c>
      <c r="B124" s="8" t="inlineStr">
        <is>
          <t>Fourth-Party Mapping Coverage %</t>
        </is>
      </c>
      <c r="C124" s="8" t="inlineStr">
        <is>
          <t>Procurement System</t>
        </is>
      </c>
      <c r="D124" s="8" t="inlineStr">
        <is>
          <t>SAP Ariba, Coupa — third-party risk module</t>
        </is>
      </c>
      <c r="E124" s="8" t="inlineStr">
        <is>
          <t>Default Evidence Source declared: User Validation</t>
        </is>
      </c>
    </row>
    <row r="125" ht="15" customHeight="1" s="6">
      <c r="A125" s="8" t="inlineStr">
        <is>
          <t>CDE-R124</t>
        </is>
      </c>
      <c r="B125" s="8" t="inlineStr">
        <is>
          <t>Early Warning Indicator Defined</t>
        </is>
      </c>
      <c r="C125" s="8" t="inlineStr">
        <is>
          <t>GRC Platform</t>
        </is>
      </c>
      <c r="D125" s="8" t="inlineStr">
        <is>
          <t>RSA Archer, ServiceNow GRC — risk monitoring module</t>
        </is>
      </c>
      <c r="E125" s="8" t="inlineStr">
        <is>
          <t>Default Evidence Source declared: Risk Register</t>
        </is>
      </c>
    </row>
    <row r="126" ht="15" customHeight="1" s="6">
      <c r="A126" s="8" t="inlineStr">
        <is>
          <t>CDE-R125</t>
        </is>
      </c>
      <c r="B126" s="8" t="inlineStr">
        <is>
          <t>Early Warning Indicator Threshold Value</t>
        </is>
      </c>
      <c r="C126" s="8" t="inlineStr">
        <is>
          <t>GRC Platform</t>
        </is>
      </c>
      <c r="D126" s="8" t="inlineStr">
        <is>
          <t>RSA Archer, ServiceNow GRC — risk monitoring module</t>
        </is>
      </c>
      <c r="E126" s="8" t="inlineStr">
        <is>
          <t>Default Evidence Source declared: Risk Register</t>
        </is>
      </c>
    </row>
    <row r="127" ht="15" customHeight="1" s="6">
      <c r="A127" s="8" t="inlineStr">
        <is>
          <t>CDE-R126</t>
        </is>
      </c>
      <c r="B127" s="8" t="inlineStr">
        <is>
          <t>Early Warning Indicator Monitoring Frequency</t>
        </is>
      </c>
      <c r="C127" s="8" t="inlineStr">
        <is>
          <t>GRC Platform</t>
        </is>
      </c>
      <c r="D127" s="8" t="inlineStr">
        <is>
          <t>RSA Archer, ServiceNow GRC — risk monitoring module</t>
        </is>
      </c>
      <c r="E127" s="8" t="inlineStr">
        <is>
          <t>Default Evidence Source declared: User Validation</t>
        </is>
      </c>
    </row>
    <row r="128" ht="15" customHeight="1" s="6">
      <c r="A128" s="8" t="inlineStr">
        <is>
          <t>CDE-R127</t>
        </is>
      </c>
      <c r="B128" s="8" t="inlineStr">
        <is>
          <t>Emerging Risk Identified (Not Yet Formalized)</t>
        </is>
      </c>
      <c r="C128" s="8" t="inlineStr">
        <is>
          <t>GRC Platform</t>
        </is>
      </c>
      <c r="D128" s="8" t="inlineStr">
        <is>
          <t>RSA Archer, ServiceNow GRC — risk monitoring module</t>
        </is>
      </c>
      <c r="E128" s="8" t="inlineStr">
        <is>
          <t>Default Evidence Source declared: User Validation</t>
        </is>
      </c>
    </row>
    <row r="129" ht="15" customHeight="1" s="6">
      <c r="A129" s="8" t="inlineStr">
        <is>
          <t>CDE-R128</t>
        </is>
      </c>
      <c r="B129" s="8" t="inlineStr">
        <is>
          <t>Emerging Risk Source (e.g. weak signal, analyst flag)</t>
        </is>
      </c>
      <c r="C129" s="8" t="inlineStr">
        <is>
          <t>GRC Platform</t>
        </is>
      </c>
      <c r="D129" s="8" t="inlineStr">
        <is>
          <t>RSA Archer, ServiceNow GRC — risk monitoring module</t>
        </is>
      </c>
      <c r="E129" s="8" t="inlineStr">
        <is>
          <t>Default Evidence Source declared: User Validation</t>
        </is>
      </c>
    </row>
    <row r="130" ht="15" customHeight="1" s="6">
      <c r="A130" s="8" t="inlineStr">
        <is>
          <t>CDE-R129</t>
        </is>
      </c>
      <c r="B130" s="8" t="inlineStr">
        <is>
          <t>Emerging Risk Formalization Status</t>
        </is>
      </c>
      <c r="C130" s="8" t="inlineStr">
        <is>
          <t>GRC Platform</t>
        </is>
      </c>
      <c r="D130" s="8" t="inlineStr">
        <is>
          <t>RSA Archer, ServiceNow GRC — risk monitoring module</t>
        </is>
      </c>
      <c r="E130" s="8" t="inlineStr">
        <is>
          <t>Default Evidence Source declared: User Validation</t>
        </is>
      </c>
    </row>
    <row r="131" ht="15" customHeight="1" s="6">
      <c r="A131" s="8" t="inlineStr">
        <is>
          <t>CDE-R130</t>
        </is>
      </c>
      <c r="B131" s="8" t="inlineStr">
        <is>
          <t>Risk Correlation/Cascade Modeling Conducted</t>
        </is>
      </c>
      <c r="C131" s="8" t="inlineStr">
        <is>
          <t>GRC Platform</t>
        </is>
      </c>
      <c r="D131" s="8" t="inlineStr">
        <is>
          <t>RSA Archer, ServiceNow GRC — risk monitoring module</t>
        </is>
      </c>
      <c r="E131" s="8" t="inlineStr">
        <is>
          <t>Default Evidence Source declared: User Validation</t>
        </is>
      </c>
    </row>
    <row r="132" ht="15" customHeight="1" s="6">
      <c r="A132" s="8" t="inlineStr">
        <is>
          <t>CDE-R131</t>
        </is>
      </c>
      <c r="B132" s="8" t="inlineStr">
        <is>
          <t>Identified Risk Correlation Pair</t>
        </is>
      </c>
      <c r="C132" s="8" t="inlineStr">
        <is>
          <t>GRC Platform</t>
        </is>
      </c>
      <c r="D132" s="8" t="inlineStr">
        <is>
          <t>RSA Archer, ServiceNow GRC — risk monitoring module</t>
        </is>
      </c>
      <c r="E132" s="8" t="inlineStr">
        <is>
          <t>Default Evidence Source declared: User Validation</t>
        </is>
      </c>
    </row>
    <row r="133" ht="15" customHeight="1" s="6">
      <c r="A133" s="8" t="inlineStr">
        <is>
          <t>CDE-R132</t>
        </is>
      </c>
      <c r="B133" s="8" t="inlineStr">
        <is>
          <t>GRC Platform/Risk Management Technology Used</t>
        </is>
      </c>
      <c r="C133" s="8" t="inlineStr">
        <is>
          <t>GRC Platform</t>
        </is>
      </c>
      <c r="D133" s="8" t="inlineStr">
        <is>
          <t>RSA Archer, ServiceNow GRC, MetricStream</t>
        </is>
      </c>
      <c r="E133" s="8" t="inlineStr">
        <is>
          <t>Default Evidence Source declared: User Validation</t>
        </is>
      </c>
    </row>
    <row r="134" ht="15" customHeight="1" s="6">
      <c r="A134" s="8" t="inlineStr">
        <is>
          <t>CDE-R133</t>
        </is>
      </c>
      <c r="B134" s="8" t="inlineStr">
        <is>
          <t>Risk Data Centralized in Single System</t>
        </is>
      </c>
      <c r="C134" s="8" t="inlineStr">
        <is>
          <t>GRC Platform</t>
        </is>
      </c>
      <c r="D134" s="8" t="inlineStr">
        <is>
          <t>RSA Archer, ServiceNow GRC, MetricStream</t>
        </is>
      </c>
      <c r="E134" s="8" t="inlineStr">
        <is>
          <t>Default Evidence Source declared: User Validation</t>
        </is>
      </c>
    </row>
    <row r="135" ht="15" customHeight="1" s="6">
      <c r="A135" s="8" t="inlineStr">
        <is>
          <t>CDE-R134</t>
        </is>
      </c>
      <c r="B135" s="8" t="inlineStr">
        <is>
          <t>Risk Data Quality Validation Process Exists</t>
        </is>
      </c>
      <c r="C135" s="8" t="inlineStr">
        <is>
          <t>GRC Platform / Human Judgment</t>
        </is>
      </c>
      <c r="D135" s="8" t="inlineStr">
        <is>
          <t>Internal Audit data quality review, GRC platform validation rules</t>
        </is>
      </c>
      <c r="E135" s="8" t="inlineStr">
        <is>
          <t>Default Evidence Source declared: User Validation</t>
        </is>
      </c>
    </row>
    <row r="136" ht="15" customHeight="1" s="6">
      <c r="A136" s="8" t="inlineStr">
        <is>
          <t>CDE-R135</t>
        </is>
      </c>
      <c r="B136" s="8" t="inlineStr">
        <is>
          <t>Independent Risk Data Audit Conducted</t>
        </is>
      </c>
      <c r="C136" s="8" t="inlineStr">
        <is>
          <t>Governance / Board Management System</t>
        </is>
      </c>
      <c r="D136" s="8" t="inlineStr">
        <is>
          <t>Internal Audit GRC module, Annual Report</t>
        </is>
      </c>
      <c r="E136" s="8" t="inlineStr">
        <is>
          <t>Default Evidence Source declared: User Validation</t>
        </is>
      </c>
    </row>
    <row r="137" ht="15" customHeight="1" s="6">
      <c r="A137" s="8" t="inlineStr">
        <is>
          <t>CDE-R136</t>
        </is>
      </c>
      <c r="B137" s="8" t="inlineStr">
        <is>
          <t>Risk Metric Gaming Incident Identified</t>
        </is>
      </c>
      <c r="C137" s="8" t="inlineStr">
        <is>
          <t>GRC Platform / Human Judgment</t>
        </is>
      </c>
      <c r="D137" s="8" t="inlineStr">
        <is>
          <t>Internal Audit data quality review, GRC platform validation rules</t>
        </is>
      </c>
      <c r="E137" s="8" t="inlineStr">
        <is>
          <t>Default Evidence Source declared: User Validation</t>
        </is>
      </c>
    </row>
    <row r="138" ht="15" customHeight="1" s="6">
      <c r="A138" s="8" t="inlineStr">
        <is>
          <t>CDE-R137</t>
        </is>
      </c>
      <c r="B138" s="8" t="inlineStr">
        <is>
          <t>Risk Identification Methodology Last Reviewed Date</t>
        </is>
      </c>
      <c r="C138" s="8" t="inlineStr">
        <is>
          <t>GRC Platform</t>
        </is>
      </c>
      <c r="D138" s="8" t="inlineStr">
        <is>
          <t>RSA Archer, ServiceNow GRC — methodology review log</t>
        </is>
      </c>
      <c r="E138" s="8" t="inlineStr">
        <is>
          <t>Default Evidence Source declared: User Validation</t>
        </is>
      </c>
    </row>
    <row r="139" ht="15" customHeight="1" s="6">
      <c r="A139" s="8" t="inlineStr">
        <is>
          <t>CDE-R138</t>
        </is>
      </c>
      <c r="B139" s="8" t="inlineStr">
        <is>
          <t>Risk Owner Function Type (Individual/Committee/Function)</t>
        </is>
      </c>
      <c r="C139" s="8" t="inlineStr">
        <is>
          <t>Governance / Board Management System</t>
        </is>
      </c>
      <c r="D139" s="8" t="inlineStr">
        <is>
          <t>Diligent, BoardEffect, internal Company Secretary records</t>
        </is>
      </c>
      <c r="E139" s="8" t="inlineStr">
        <is>
          <t>Default Evidence Source declared: Risk Register</t>
        </is>
      </c>
    </row>
    <row r="140" ht="15" customHeight="1" s="6">
      <c r="A140" s="8" t="inlineStr">
        <is>
          <t>CDE-R139</t>
        </is>
      </c>
      <c r="B140" s="8" t="inlineStr">
        <is>
          <t>Risk Appetite Review Approved By</t>
        </is>
      </c>
      <c r="C140" s="8" t="inlineStr">
        <is>
          <t>GRC Platform</t>
        </is>
      </c>
      <c r="D140" s="8" t="inlineStr">
        <is>
          <t>RSA Archer, ServiceNow GRC — risk appetite module</t>
        </is>
      </c>
      <c r="E140" s="8" t="inlineStr">
        <is>
          <t>Default Evidence Source declared: Board Minutes</t>
        </is>
      </c>
    </row>
    <row r="141" ht="15" customHeight="1" s="6">
      <c r="A141" s="8" t="inlineStr">
        <is>
          <t>CDE-R140</t>
        </is>
      </c>
      <c r="B141" s="8" t="inlineStr">
        <is>
          <t>Insurance/Risk Transfer Mechanism Last Renewed Date</t>
        </is>
      </c>
      <c r="C141" s="8" t="inlineStr">
        <is>
          <t>Finance / ERP</t>
        </is>
      </c>
      <c r="D141" s="8" t="inlineStr">
        <is>
          <t>SAP, Oracle Treasury — insurance/hedging module</t>
        </is>
      </c>
      <c r="E141" s="8" t="inlineStr">
        <is>
          <t>Default Evidence Source declared: Finance / ERP</t>
        </is>
      </c>
    </row>
    <row r="142" ht="15" customHeight="1" s="6">
      <c r="A142" s="8" t="inlineStr">
        <is>
          <t>CDE-R141</t>
        </is>
      </c>
      <c r="B142" s="8" t="inlineStr">
        <is>
          <t>Retained Risk Exposure Last Reviewed Date</t>
        </is>
      </c>
      <c r="C142" s="8" t="inlineStr">
        <is>
          <t>GRC Platform</t>
        </is>
      </c>
      <c r="D142" s="8" t="inlineStr">
        <is>
          <t>RSA Archer, ServiceNow GRC — risk quantification module</t>
        </is>
      </c>
      <c r="E142" s="8" t="inlineStr">
        <is>
          <t>Default Evidence Source declared: User Validation</t>
        </is>
      </c>
    </row>
    <row r="143" ht="15" customHeight="1" s="6">
      <c r="A143" s="8" t="inlineStr">
        <is>
          <t>CDE-R142</t>
        </is>
      </c>
      <c r="B143" s="8" t="inlineStr">
        <is>
          <t>Mitigation Cost Decision Owner</t>
        </is>
      </c>
      <c r="C143" s="8" t="inlineStr">
        <is>
          <t>Finance / ERP</t>
        </is>
      </c>
      <c r="D143" s="8" t="inlineStr">
        <is>
          <t>SAP, Oracle Finance — capital decision approval record</t>
        </is>
      </c>
      <c r="E143" s="8" t="inlineStr">
        <is>
          <t>Default Evidence Source declared: User Validation</t>
        </is>
      </c>
    </row>
    <row r="144" ht="15" customHeight="1" s="6">
      <c r="A144" s="8" t="inlineStr">
        <is>
          <t>CDE-R143</t>
        </is>
      </c>
      <c r="B144" s="8" t="inlineStr">
        <is>
          <t>FX Hedge Instrument Type Used</t>
        </is>
      </c>
      <c r="C144" s="8" t="inlineStr">
        <is>
          <t>Finance / ERP</t>
        </is>
      </c>
      <c r="D144" s="8" t="inlineStr">
        <is>
          <t>SAP, Oracle Treasury — insurance/hedging module</t>
        </is>
      </c>
      <c r="E144" s="8" t="inlineStr">
        <is>
          <t>Default Evidence Source declared: Finance / ERP</t>
        </is>
      </c>
    </row>
    <row r="145" ht="15" customHeight="1" s="6">
      <c r="A145" s="8" t="inlineStr">
        <is>
          <t>CDE-R144</t>
        </is>
      </c>
      <c r="B145" s="8" t="inlineStr">
        <is>
          <t>Interest Rate Risk Last Assessed Date</t>
        </is>
      </c>
      <c r="C145" s="8" t="inlineStr">
        <is>
          <t>Finance / ERP</t>
        </is>
      </c>
      <c r="D145" s="8" t="inlineStr">
        <is>
          <t>SAP, Oracle Treasury Management System</t>
        </is>
      </c>
      <c r="E145" s="8" t="inlineStr">
        <is>
          <t>Default Evidence Source declared: Finance / ERP</t>
        </is>
      </c>
    </row>
    <row r="146" ht="15" customHeight="1" s="6">
      <c r="A146" s="8" t="inlineStr">
        <is>
          <t>CDE-R145</t>
        </is>
      </c>
      <c r="B146" s="8" t="inlineStr">
        <is>
          <t>Counterparty Default Risk Last Reviewed Date</t>
        </is>
      </c>
      <c r="C146" s="8" t="inlineStr">
        <is>
          <t>Finance / ERP</t>
        </is>
      </c>
      <c r="D146" s="8" t="inlineStr">
        <is>
          <t>SAP, Oracle Treasury Management System</t>
        </is>
      </c>
      <c r="E146" s="8" t="inlineStr">
        <is>
          <t>Default Evidence Source declared: Finance / ERP</t>
        </is>
      </c>
    </row>
    <row r="147" ht="15" customHeight="1" s="6">
      <c r="A147" s="8" t="inlineStr">
        <is>
          <t>CDE-R146</t>
        </is>
      </c>
      <c r="B147" s="8" t="inlineStr">
        <is>
          <t>Operational Risk Event Cost Trend (3yr)</t>
        </is>
      </c>
      <c r="C147" s="8" t="inlineStr">
        <is>
          <t>Finance / ERP</t>
        </is>
      </c>
      <c r="D147" s="8" t="inlineStr">
        <is>
          <t>SAP, Oracle Finance — operational risk cost trend analysis</t>
        </is>
      </c>
      <c r="E147" s="8" t="inlineStr">
        <is>
          <t>Default Evidence Source declared: User Validation</t>
        </is>
      </c>
    </row>
    <row r="148" ht="15" customHeight="1" s="6">
      <c r="A148" s="8" t="inlineStr">
        <is>
          <t>CDE-R147</t>
        </is>
      </c>
      <c r="B148" s="8" t="inlineStr">
        <is>
          <t>Competitive Disruption Risk Source/Trigger</t>
        </is>
      </c>
      <c r="C148" s="8" t="inlineStr">
        <is>
          <t>Human Judgment / Internal Assessment</t>
        </is>
      </c>
      <c r="D148" s="8" t="inlineStr">
        <is>
          <t>Strategy team risk assessment documentation</t>
        </is>
      </c>
      <c r="E148" s="8" t="inlineStr">
        <is>
          <t>Default Evidence Source declared: User Validation</t>
        </is>
      </c>
    </row>
    <row r="149" ht="15" customHeight="1" s="6">
      <c r="A149" s="8" t="inlineStr">
        <is>
          <t>CDE-R148</t>
        </is>
      </c>
      <c r="B149" s="8" t="inlineStr">
        <is>
          <t>Technology Obsolescence Risk Mitigation Plan Exists</t>
        </is>
      </c>
      <c r="C149" s="8" t="inlineStr">
        <is>
          <t>Human Judgment / Internal Assessment</t>
        </is>
      </c>
      <c r="D149" s="8" t="inlineStr">
        <is>
          <t>Strategy team risk assessment documentation</t>
        </is>
      </c>
      <c r="E149" s="8" t="inlineStr">
        <is>
          <t>Default Evidence Source declared: User Validation</t>
        </is>
      </c>
    </row>
    <row r="150" ht="15" customHeight="1" s="6">
      <c r="A150" s="8" t="inlineStr">
        <is>
          <t>CDE-R149</t>
        </is>
      </c>
      <c r="B150" s="8" t="inlineStr">
        <is>
          <t>Political Instability Risk Last Assessed Date</t>
        </is>
      </c>
      <c r="C150" s="8" t="inlineStr">
        <is>
          <t>Regulatory Filing Portal</t>
        </is>
      </c>
      <c r="D150" s="8" t="inlineStr">
        <is>
          <t>Trade compliance database, sanctions screening tool</t>
        </is>
      </c>
      <c r="E150" s="8" t="inlineStr">
        <is>
          <t>Default Evidence Source declared: User Validation</t>
        </is>
      </c>
    </row>
    <row r="151" ht="15" customHeight="1" s="6">
      <c r="A151" s="8" t="inlineStr">
        <is>
          <t>CDE-R150</t>
        </is>
      </c>
      <c r="B151" s="8" t="inlineStr">
        <is>
          <t>Single-Source Critical Input Alternative Sourcing Status</t>
        </is>
      </c>
      <c r="C151" s="8" t="inlineStr">
        <is>
          <t>Procurement System</t>
        </is>
      </c>
      <c r="D151" s="8" t="inlineStr">
        <is>
          <t>SAP Ariba, Coupa — alternative sourcing pipeline</t>
        </is>
      </c>
      <c r="E151" s="8" t="inlineStr">
        <is>
          <t>Default Evidence Source declared: User Validation</t>
        </is>
      </c>
    </row>
    <row r="152" ht="15" customHeight="1" s="6">
      <c r="A152" s="8" t="inlineStr">
        <is>
          <t>CDE-R151</t>
        </is>
      </c>
      <c r="B152" s="8" t="inlineStr">
        <is>
          <t>Customer Concentration Risk Last Reviewed Date</t>
        </is>
      </c>
      <c r="C152" s="8" t="inlineStr">
        <is>
          <t>Procurement System</t>
        </is>
      </c>
      <c r="D152" s="8" t="inlineStr">
        <is>
          <t>SAP Ariba, Coupa — third-party risk module</t>
        </is>
      </c>
      <c r="E152" s="8" t="inlineStr">
        <is>
          <t>Default Evidence Source declared: User Validation</t>
        </is>
      </c>
    </row>
    <row r="153" ht="15" customHeight="1" s="6">
      <c r="A153" s="8" t="inlineStr">
        <is>
          <t>CDE-R152</t>
        </is>
      </c>
      <c r="B153" s="8" t="inlineStr">
        <is>
          <t>Contingency Plan Last Tested Date</t>
        </is>
      </c>
      <c r="C153" s="8" t="inlineStr">
        <is>
          <t>Procurement System</t>
        </is>
      </c>
      <c r="D153" s="8" t="inlineStr">
        <is>
          <t>SAP Ariba, Coupa — supplier risk module</t>
        </is>
      </c>
      <c r="E153" s="8" t="inlineStr">
        <is>
          <t>Default Evidence Source declared: User Validation</t>
        </is>
      </c>
    </row>
    <row r="154" ht="15" customHeight="1" s="6">
      <c r="A154" s="8" t="inlineStr">
        <is>
          <t>CDE-R153</t>
        </is>
      </c>
      <c r="B154" s="8" t="inlineStr">
        <is>
          <t>Fourth-Party Mapping Last Updated Date</t>
        </is>
      </c>
      <c r="C154" s="8" t="inlineStr">
        <is>
          <t>Procurement System</t>
        </is>
      </c>
      <c r="D154" s="8" t="inlineStr">
        <is>
          <t>SAP Ariba, Coupa — third-party risk module</t>
        </is>
      </c>
      <c r="E154" s="8" t="inlineStr">
        <is>
          <t>Default Evidence Source declared: User Validation</t>
        </is>
      </c>
    </row>
    <row r="155" ht="15" customHeight="1" s="6">
      <c r="A155" s="8" t="inlineStr">
        <is>
          <t>CDE-R154</t>
        </is>
      </c>
      <c r="B155" s="8" t="inlineStr">
        <is>
          <t>Risk Correlation Model Last Run Date</t>
        </is>
      </c>
      <c r="C155" s="8" t="inlineStr">
        <is>
          <t>GRC Platform</t>
        </is>
      </c>
      <c r="D155" s="8" t="inlineStr">
        <is>
          <t>RSA Archer, ServiceNow GRC — risk monitoring module</t>
        </is>
      </c>
      <c r="E155" s="8" t="inlineStr">
        <is>
          <t>Default Evidence Source declared: User Validation</t>
        </is>
      </c>
    </row>
    <row r="156" ht="15" customHeight="1" s="6">
      <c r="A156" s="8" t="inlineStr">
        <is>
          <t>CDE-R155</t>
        </is>
      </c>
      <c r="B156" s="8" t="inlineStr">
        <is>
          <t>GRC Platform Implementation Date</t>
        </is>
      </c>
      <c r="C156" s="8" t="inlineStr">
        <is>
          <t>GRC Platform</t>
        </is>
      </c>
      <c r="D156" s="8" t="inlineStr">
        <is>
          <t>RSA Archer, ServiceNow GRC, MetricStream</t>
        </is>
      </c>
      <c r="E156" s="8" t="inlineStr">
        <is>
          <t>Default Evidence Source declared: User Validation</t>
        </is>
      </c>
    </row>
    <row r="157" ht="15" customHeight="1" s="6">
      <c r="A157" s="8" t="inlineStr">
        <is>
          <t>CDE-R156</t>
        </is>
      </c>
      <c r="B157" s="8" t="inlineStr">
        <is>
          <t>Risk Management Maturity Level</t>
        </is>
      </c>
      <c r="C157" s="8" t="inlineStr">
        <is>
          <t>GRC Platform</t>
        </is>
      </c>
      <c r="D157" s="8" t="inlineStr">
        <is>
          <t>RSA Archer, ServiceNow GRC — ERM maturity self-assessment module</t>
        </is>
      </c>
      <c r="E157" s="8" t="inlineStr">
        <is>
          <t>Default Evidence Source declared: see CDE Registry</t>
        </is>
      </c>
    </row>
    <row r="158" ht="15" customHeight="1" s="6">
      <c r="A158" s="8" t="inlineStr">
        <is>
          <t>CDE-R157</t>
        </is>
      </c>
      <c r="B158" s="8" t="inlineStr">
        <is>
          <t>Maturity Assessment Methodology Used</t>
        </is>
      </c>
      <c r="C158" s="8" t="inlineStr">
        <is>
          <t>Human Judgment / Internal Assessment</t>
        </is>
      </c>
      <c r="D158" s="8" t="inlineStr">
        <is>
          <t>Internal Audit/CRO office maturity model documentation</t>
        </is>
      </c>
      <c r="E158" s="8" t="inlineStr">
        <is>
          <t>Default Evidence Source declared: see CDE Registry</t>
        </is>
      </c>
    </row>
    <row r="159" ht="15" customHeight="1" s="6">
      <c r="A159" s="8" t="inlineStr">
        <is>
          <t>CDE-R158</t>
        </is>
      </c>
      <c r="B159" s="8" t="inlineStr">
        <is>
          <t>Maturity Assessment Last Conducted Date</t>
        </is>
      </c>
      <c r="C159" s="8" t="inlineStr">
        <is>
          <t>Human Judgment / Internal Assessment</t>
        </is>
      </c>
      <c r="D159" s="8" t="inlineStr">
        <is>
          <t>Internal Audit/CRO office assessment log</t>
        </is>
      </c>
      <c r="E159" s="8" t="inlineStr">
        <is>
          <t>Default Evidence Source declared: see CDE Registry</t>
        </is>
      </c>
    </row>
    <row r="160" ht="15" customHeight="1" s="6">
      <c r="A160" s="8" t="inlineStr">
        <is>
          <t>CDE-R159</t>
        </is>
      </c>
      <c r="B160" s="8" t="inlineStr">
        <is>
          <t>Risk Quantification Model Internally Validated</t>
        </is>
      </c>
      <c r="C160" s="8" t="inlineStr">
        <is>
          <t>GRC Platform</t>
        </is>
      </c>
      <c r="D160" s="8" t="inlineStr">
        <is>
          <t>RSA Archer, ServiceNow GRC — model validation module</t>
        </is>
      </c>
      <c r="E160" s="8" t="inlineStr">
        <is>
          <t>Default Evidence Source declared: see CDE Registry</t>
        </is>
      </c>
    </row>
    <row r="161" ht="15" customHeight="1" s="6">
      <c r="A161" s="8" t="inlineStr">
        <is>
          <t>CDE-R160</t>
        </is>
      </c>
      <c r="B161" s="8" t="inlineStr">
        <is>
          <t>Back-Testing of Risk Estimates Conducted</t>
        </is>
      </c>
      <c r="C161" s="8" t="inlineStr">
        <is>
          <t>GRC Platform</t>
        </is>
      </c>
      <c r="D161" s="8" t="inlineStr">
        <is>
          <t>RSA Archer, ServiceNow GRC — model validation module</t>
        </is>
      </c>
      <c r="E161" s="8" t="inlineStr">
        <is>
          <t>Default Evidence Source declared: see CDE Registry</t>
        </is>
      </c>
    </row>
    <row r="162" ht="15" customHeight="1" s="6">
      <c r="A162" s="8" t="inlineStr">
        <is>
          <t>CDE-R161</t>
        </is>
      </c>
      <c r="B162" s="8" t="inlineStr">
        <is>
          <t>Model Validation Last Conducted Date</t>
        </is>
      </c>
      <c r="C162" s="8" t="inlineStr">
        <is>
          <t>GRC Platform</t>
        </is>
      </c>
      <c r="D162" s="8" t="inlineStr">
        <is>
          <t>RSA Archer, ServiceNow GRC — validation log</t>
        </is>
      </c>
      <c r="E162" s="8" t="inlineStr">
        <is>
          <t>Default Evidence Source declared: see CDE Registry</t>
        </is>
      </c>
    </row>
    <row r="163" ht="15" customHeight="1" s="6">
      <c r="A163" s="8" t="inlineStr">
        <is>
          <t>CDE-R162</t>
        </is>
      </c>
      <c r="B163" s="8" t="inlineStr">
        <is>
          <t>Pension Funding Shortfall Risk Identified</t>
        </is>
      </c>
      <c r="C163" s="8" t="inlineStr">
        <is>
          <t>Finance / ERP</t>
        </is>
      </c>
      <c r="D163" s="8" t="inlineStr">
        <is>
          <t>SAP, Oracle Finance — actuarial valuation, pension risk module</t>
        </is>
      </c>
      <c r="E163" s="8" t="inlineStr">
        <is>
          <t>Default Evidence Source declared: see CDE Registry</t>
        </is>
      </c>
    </row>
    <row r="164" ht="15" customHeight="1" s="6">
      <c r="A164" s="8" t="inlineStr">
        <is>
          <t>CDE-R163</t>
        </is>
      </c>
      <c r="B164" s="8" t="inlineStr">
        <is>
          <t>Pension Obligation Interest Rate Sensitivity</t>
        </is>
      </c>
      <c r="C164" s="8" t="inlineStr">
        <is>
          <t>Finance / ERP</t>
        </is>
      </c>
      <c r="D164" s="8" t="inlineStr">
        <is>
          <t>SAP, Oracle Finance — actuarial sensitivity analysis</t>
        </is>
      </c>
      <c r="E164" s="8" t="inlineStr">
        <is>
          <t>Default Evidence Source declared: see CDE Registry</t>
        </is>
      </c>
    </row>
    <row r="165" ht="15" customHeight="1" s="6">
      <c r="A165" s="8" t="inlineStr">
        <is>
          <t>CDE-R164</t>
        </is>
      </c>
      <c r="B165" s="8" t="inlineStr">
        <is>
          <t>Pension Risk Mitigation Action (e.g. de-risking, buyout)</t>
        </is>
      </c>
      <c r="C165" s="8" t="inlineStr">
        <is>
          <t>Finance / ERP</t>
        </is>
      </c>
      <c r="D165" s="8" t="inlineStr">
        <is>
          <t>SAP, Oracle Treasury — pension de-risking strategy documentation</t>
        </is>
      </c>
      <c r="E165" s="8" t="inlineStr">
        <is>
          <t>Default Evidence Source declared: see CDE Registry</t>
        </is>
      </c>
    </row>
    <row r="166" ht="15" customHeight="1" s="6">
      <c r="A166" s="8" t="inlineStr">
        <is>
          <t>CDE-R165</t>
        </is>
      </c>
      <c r="B166" s="8" t="inlineStr">
        <is>
          <t>Risk-Taking Behavior Diverges from Stated Appetite</t>
        </is>
      </c>
      <c r="C166" s="8" t="inlineStr">
        <is>
          <t>GRC Platform</t>
        </is>
      </c>
      <c r="D166" s="8" t="inlineStr">
        <is>
          <t>RSA Archer, ServiceNow GRC — appetite-vs-actual dashboard</t>
        </is>
      </c>
      <c r="E166" s="8" t="inlineStr">
        <is>
          <t>Default Evidence Source declared: see CDE Registry</t>
        </is>
      </c>
    </row>
    <row r="167" ht="15" customHeight="1" s="6">
      <c r="A167" s="8" t="inlineStr">
        <is>
          <t>CDE-R166</t>
        </is>
      </c>
      <c r="B167" s="8" t="inlineStr">
        <is>
          <t>Divergence Description (without formal breach)</t>
        </is>
      </c>
      <c r="C167" s="8" t="inlineStr">
        <is>
          <t>Human Judgment / Internal Assessment</t>
        </is>
      </c>
      <c r="D167" s="8" t="inlineStr">
        <is>
          <t>Internal Audit/Risk function review documentation</t>
        </is>
      </c>
      <c r="E167" s="8" t="inlineStr">
        <is>
          <t>Default Evidence Source declared: see CDE Registry</t>
        </is>
      </c>
    </row>
    <row r="168" ht="15" customHeight="1" s="6">
      <c r="A168" s="8" t="inlineStr">
        <is>
          <t>CDE-R167</t>
        </is>
      </c>
      <c r="B168" s="8" t="inlineStr">
        <is>
          <t>Divergence Identified By (Internal Audit/Risk Function/Board)</t>
        </is>
      </c>
      <c r="C168" s="8" t="inlineStr">
        <is>
          <t>Governance / Board Management System</t>
        </is>
      </c>
      <c r="D168" s="8" t="inlineStr">
        <is>
          <t>Internal Audit report, Board Risk Committee minutes</t>
        </is>
      </c>
      <c r="E168" s="8" t="inlineStr">
        <is>
          <t>Default Evidence Source declared: see CDE Registry</t>
        </is>
      </c>
    </row>
    <row r="169" ht="15" customHeight="1" s="6">
      <c r="A169" s="8" t="inlineStr">
        <is>
          <t>CDE-R168</t>
        </is>
      </c>
      <c r="B169" s="8" t="inlineStr">
        <is>
          <t>Climate Transition Risk Identified (Carbon Pricing/Stranded Assets)</t>
        </is>
      </c>
      <c r="C169" s="8" t="inlineStr">
        <is>
          <t>Annual Report / Public Filing</t>
        </is>
      </c>
      <c r="D169" s="8" t="inlineStr">
        <is>
          <t>Annual Report climate risk disclosure (TCFD-aligned section)</t>
        </is>
      </c>
      <c r="E169" s="8" t="inlineStr">
        <is>
          <t>Default Evidence Source declared: see CDE Registry</t>
        </is>
      </c>
    </row>
    <row r="170" ht="15" customHeight="1" s="6">
      <c r="A170" s="8" t="inlineStr">
        <is>
          <t>CDE-R169</t>
        </is>
      </c>
      <c r="B170" s="8" t="inlineStr">
        <is>
          <t>Transition Risk Estimated Financial Exposure</t>
        </is>
      </c>
      <c r="C170" s="8" t="inlineStr">
        <is>
          <t>Finance / ERP</t>
        </is>
      </c>
      <c r="D170" s="8" t="inlineStr">
        <is>
          <t>SAP, Oracle Finance — climate scenario financial modeling</t>
        </is>
      </c>
      <c r="E170" s="8" t="inlineStr">
        <is>
          <t>Default Evidence Source declared: see CDE Registry</t>
        </is>
      </c>
    </row>
    <row r="171" ht="15" customHeight="1" s="6">
      <c r="A171" s="8" t="inlineStr">
        <is>
          <t>CDE-R170</t>
        </is>
      </c>
      <c r="B171" s="8" t="inlineStr">
        <is>
          <t>AI/Algorithmic Risk Identified (Bias/Model Failure/Hallucination)</t>
        </is>
      </c>
      <c r="C171" s="8" t="inlineStr">
        <is>
          <t>GRC Platform</t>
        </is>
      </c>
      <c r="D171" s="8" t="inlineStr">
        <is>
          <t>RSA Archer, ServiceNow GRC — AI/model risk register</t>
        </is>
      </c>
      <c r="E171" s="8" t="inlineStr">
        <is>
          <t>Default Evidence Source declared: see CDE Registry</t>
        </is>
      </c>
    </row>
    <row r="172" ht="15" customHeight="1" s="6">
      <c r="A172" s="8" t="inlineStr">
        <is>
          <t>CDE-R171</t>
        </is>
      </c>
      <c r="B172" s="8" t="inlineStr">
        <is>
          <t>AI Risk Governance/Review Process Exists</t>
        </is>
      </c>
      <c r="C172" s="8" t="inlineStr">
        <is>
          <t>Governance / Board Management System</t>
        </is>
      </c>
      <c r="D172" s="8" t="inlineStr">
        <is>
          <t>AI governance committee charter, Board minutes</t>
        </is>
      </c>
      <c r="E172" s="8" t="inlineStr">
        <is>
          <t>Default Evidence Source declared: see CDE Registry</t>
        </is>
      </c>
    </row>
    <row r="173" ht="15" customHeight="1" s="6">
      <c r="A173" s="8" t="inlineStr">
        <is>
          <t>CDE-R172</t>
        </is>
      </c>
      <c r="B173" s="8" t="inlineStr">
        <is>
          <t>M&amp;A Due Diligence Risk Finding</t>
        </is>
      </c>
      <c r="C173" s="8" t="inlineStr">
        <is>
          <t>GRC Platform</t>
        </is>
      </c>
      <c r="D173" s="8" t="inlineStr">
        <is>
          <t>RSA Archer, ServiceNow GRC — M&amp;A due diligence risk tracker</t>
        </is>
      </c>
      <c r="E173" s="8" t="inlineStr">
        <is>
          <t>Default Evidence Source declared: see CDE Registry</t>
        </is>
      </c>
    </row>
    <row r="174" ht="15" customHeight="1" s="6">
      <c r="A174" s="8" t="inlineStr">
        <is>
          <t>CDE-R173</t>
        </is>
      </c>
      <c r="B174" s="8" t="inlineStr">
        <is>
          <t>M&amp;A Risk Finding Severity Rating</t>
        </is>
      </c>
      <c r="C174" s="8" t="inlineStr">
        <is>
          <t>GRC Platform</t>
        </is>
      </c>
      <c r="D174" s="8" t="inlineStr">
        <is>
          <t>RSA Archer, ServiceNow GRC — M&amp;A due diligence risk tracker</t>
        </is>
      </c>
      <c r="E174" s="8" t="inlineStr">
        <is>
          <t>Default Evidence Source declared: see CDE Registry</t>
        </is>
      </c>
    </row>
    <row r="175" ht="15" customHeight="1" s="6">
      <c r="A175" s="8" t="inlineStr">
        <is>
          <t>CDE-R174</t>
        </is>
      </c>
      <c r="B175" s="8" t="inlineStr">
        <is>
          <t>M&amp;A Risk Finding Remediation Status</t>
        </is>
      </c>
      <c r="C175" s="8" t="inlineStr">
        <is>
          <t>GRC Platform</t>
        </is>
      </c>
      <c r="D175" s="8" t="inlineStr">
        <is>
          <t>RSA Archer, ServiceNow GRC — remediation tracking module</t>
        </is>
      </c>
      <c r="E175" s="8" t="inlineStr">
        <is>
          <t>Default Evidence Source declared: see CDE Registry</t>
        </is>
      </c>
    </row>
    <row r="176" ht="15" customHeight="1" s="6">
      <c r="A176" s="8" t="inlineStr">
        <is>
          <t>CDE-R175</t>
        </is>
      </c>
      <c r="B176" s="8" t="inlineStr">
        <is>
          <t>Pending Regulatory Change Tracked as Risk</t>
        </is>
      </c>
      <c r="C176" s="8" t="inlineStr">
        <is>
          <t>Regulatory Filing Portal</t>
        </is>
      </c>
      <c r="D176" s="8" t="inlineStr">
        <is>
          <t>Regulatory horizon-scanning service, GRC platform</t>
        </is>
      </c>
      <c r="E176" s="8" t="inlineStr">
        <is>
          <t>Default Evidence Source declared: see CDE Registry</t>
        </is>
      </c>
    </row>
    <row r="177" ht="15" customHeight="1" s="6">
      <c r="A177" s="8" t="inlineStr">
        <is>
          <t>CDE-R176</t>
        </is>
      </c>
      <c r="B177" s="8" t="inlineStr">
        <is>
          <t>Regulatory Change Expected Effective Date</t>
        </is>
      </c>
      <c r="C177" s="8" t="inlineStr">
        <is>
          <t>Regulatory Filing Portal</t>
        </is>
      </c>
      <c r="D177" s="8" t="inlineStr">
        <is>
          <t>Regulatory horizon-scanning service</t>
        </is>
      </c>
      <c r="E177" s="8" t="inlineStr">
        <is>
          <t>Default Evidence Source declared: see CDE Registry</t>
        </is>
      </c>
    </row>
    <row r="178" ht="15" customHeight="1" s="6">
      <c r="A178" s="8" t="inlineStr">
        <is>
          <t>CDE-R177</t>
        </is>
      </c>
      <c r="B178" s="8" t="inlineStr">
        <is>
          <t>Regulatory Change Estimated Compliance Cost</t>
        </is>
      </c>
      <c r="C178" s="8" t="inlineStr">
        <is>
          <t>Finance / ERP</t>
        </is>
      </c>
      <c r="D178" s="8" t="inlineStr">
        <is>
          <t>SAP, Oracle Finance — compliance cost estimation</t>
        </is>
      </c>
      <c r="E178" s="8" t="inlineStr">
        <is>
          <t>Default Evidence Source declared: see CDE Registry</t>
        </is>
      </c>
    </row>
    <row r="179" ht="15" customHeight="1" s="6">
      <c r="A179" s="8" t="inlineStr">
        <is>
          <t>CDE-R178</t>
        </is>
      </c>
      <c r="B179" s="8" t="inlineStr">
        <is>
          <t>Risk Blind-Spot Self-Assessment Conducted</t>
        </is>
      </c>
      <c r="C179" s="8" t="inlineStr">
        <is>
          <t>Human Judgment / Internal Assessment</t>
        </is>
      </c>
      <c r="D179" s="8" t="inlineStr">
        <is>
          <t>Internal Audit independent risk coverage review</t>
        </is>
      </c>
      <c r="E179" s="8" t="inlineStr">
        <is>
          <t>Default Evidence Source declared: see CDE Registry</t>
        </is>
      </c>
    </row>
    <row r="180" ht="15" customHeight="1" s="6">
      <c r="A180" s="8" t="inlineStr">
        <is>
          <t>CDE-R179</t>
        </is>
      </c>
      <c r="B180" s="8" t="inlineStr">
        <is>
          <t>Identified Coverage Gap Description</t>
        </is>
      </c>
      <c r="C180" s="8" t="inlineStr">
        <is>
          <t>Human Judgment / Internal Assessment</t>
        </is>
      </c>
      <c r="D180" s="8" t="inlineStr">
        <is>
          <t>Internal Audit findings report</t>
        </is>
      </c>
      <c r="E180" s="8" t="inlineStr">
        <is>
          <t>Default Evidence Source declared: see CDE Registry</t>
        </is>
      </c>
    </row>
    <row r="181" ht="15" customHeight="1" s="6">
      <c r="A181" s="8" t="inlineStr">
        <is>
          <t>CDE-R180</t>
        </is>
      </c>
      <c r="B181" s="8" t="inlineStr">
        <is>
          <t>Blind-Spot Assessment Conducted By (Internal/External)</t>
        </is>
      </c>
      <c r="C181" s="8" t="inlineStr">
        <is>
          <t>Human Judgment / Internal Assessment</t>
        </is>
      </c>
      <c r="D181" s="8" t="inlineStr">
        <is>
          <t>Internal Audit engagement record, external consultant report</t>
        </is>
      </c>
      <c r="E181" s="8" t="inlineStr">
        <is>
          <t>Default Evidence Source declared: see CDE Registry</t>
        </is>
      </c>
    </row>
    <row r="182" ht="15" customHeight="1" s="6">
      <c r="A182" s="8" t="inlineStr">
        <is>
          <t>CDE-R181</t>
        </is>
      </c>
      <c r="B182" s="8" t="inlineStr">
        <is>
          <t>Risk Appetite Varies by Business Unit/Subsidiary</t>
        </is>
      </c>
      <c r="C182" s="8" t="inlineStr">
        <is>
          <t>Governance / Board Management System</t>
        </is>
      </c>
      <c r="D182" s="8" t="inlineStr">
        <is>
          <t>Board Risk Committee minutes</t>
        </is>
      </c>
      <c r="E182" s="8" t="inlineStr">
        <is>
          <t>Default Evidence Source declared: see CDE Registry</t>
        </is>
      </c>
    </row>
    <row r="183" ht="15" customHeight="1" s="6">
      <c r="A183" s="8" t="inlineStr">
        <is>
          <t>CDE-R182</t>
        </is>
      </c>
      <c r="B183" s="8" t="inlineStr">
        <is>
          <t>Business Unit/Subsidiary-Specific Risk Tolerance</t>
        </is>
      </c>
      <c r="C183" s="8" t="inlineStr">
        <is>
          <t>Governance / Board Management System</t>
        </is>
      </c>
      <c r="D183" s="8" t="inlineStr">
        <is>
          <t>Board Risk Committee minutes</t>
        </is>
      </c>
      <c r="E183" s="8" t="inlineStr">
        <is>
          <t>Default Evidence Source declared: see CDE Registry</t>
        </is>
      </c>
    </row>
    <row r="184" ht="15" customHeight="1" s="6">
      <c r="A184" s="8" t="inlineStr">
        <is>
          <t>CDE-R183</t>
        </is>
      </c>
      <c r="B184" s="8" t="inlineStr">
        <is>
          <t>Cyber Incident Probability Score</t>
        </is>
      </c>
      <c r="C184" s="8" t="inlineStr">
        <is>
          <t>GRC Platform</t>
        </is>
      </c>
      <c r="D184" s="8" t="inlineStr">
        <is>
          <t>RSA Archer, ServiceNow GRC — cyber risk quantification module</t>
        </is>
      </c>
      <c r="E184" s="8" t="inlineStr">
        <is>
          <t>Default Evidence Source declared: see CDE Registry</t>
        </is>
      </c>
    </row>
    <row r="185" ht="15" customHeight="1" s="6">
      <c r="A185" s="8" t="inlineStr">
        <is>
          <t>CDE-R184</t>
        </is>
      </c>
      <c r="B185" s="8" t="inlineStr">
        <is>
          <t>Cyber Risk Estimated Financial Exposure</t>
        </is>
      </c>
      <c r="C185" s="8" t="inlineStr">
        <is>
          <t>GRC Platform</t>
        </is>
      </c>
      <c r="D185" s="8" t="inlineStr">
        <is>
          <t>RSA Archer, ServiceNow GRC — cyber risk quantification module</t>
        </is>
      </c>
      <c r="E185" s="8" t="inlineStr">
        <is>
          <t>Default Evidence Source declared: see CDE Registry</t>
        </is>
      </c>
    </row>
    <row r="186" ht="15" customHeight="1" s="6">
      <c r="A186" s="8" t="inlineStr">
        <is>
          <t>CDE-R185</t>
        </is>
      </c>
      <c r="B186" s="8" t="inlineStr">
        <is>
          <t>Cyber Risk Reported to Board as Business Risk</t>
        </is>
      </c>
      <c r="C186" s="8" t="inlineStr">
        <is>
          <t>Governance / Board Management System</t>
        </is>
      </c>
      <c r="D186" s="8" t="inlineStr">
        <is>
          <t>Board Risk Committee minutes, cyber risk briefing</t>
        </is>
      </c>
      <c r="E186" s="8" t="inlineStr">
        <is>
          <t>Default Evidence Source declared: see CDE Registry</t>
        </is>
      </c>
    </row>
    <row r="187" ht="15" customHeight="1" s="6">
      <c r="A187" s="8" t="inlineStr">
        <is>
          <t>CDE-R186</t>
        </is>
      </c>
      <c r="B187" s="8" t="inlineStr">
        <is>
          <t>Risk Appetite Variation Approved By</t>
        </is>
      </c>
      <c r="C187" s="8" t="inlineStr">
        <is>
          <t>Governance / Board Management System</t>
        </is>
      </c>
      <c r="D187" s="8" t="inlineStr">
        <is>
          <t>Board Risk Committee minutes</t>
        </is>
      </c>
      <c r="E187" s="8" t="inlineStr">
        <is>
          <t>Default Evidence Source declared: see CDE Registry</t>
        </is>
      </c>
    </row>
    <row r="188" ht="15" customHeight="1" s="6">
      <c r="A188" s="8" t="inlineStr">
        <is>
          <t>CDE-R187</t>
        </is>
      </c>
      <c r="B188" s="8" t="inlineStr">
        <is>
          <t>Economic/Risk Capital Allocation Methodology Used</t>
        </is>
      </c>
      <c r="C188" s="8" t="inlineStr">
        <is>
          <t>Finance / ERP</t>
        </is>
      </c>
      <c r="D188" s="8" t="inlineStr">
        <is>
          <t>SAP, Oracle Finance — economic capital model</t>
        </is>
      </c>
      <c r="E188" s="8" t="inlineStr">
        <is>
          <t>Default Evidence Source declared: see CDE Registry</t>
        </is>
      </c>
    </row>
    <row r="189" ht="15" customHeight="1" s="6">
      <c r="A189" s="8" t="inlineStr">
        <is>
          <t>CDE-R188</t>
        </is>
      </c>
      <c r="B189" s="8" t="inlineStr">
        <is>
          <t>Economic Capital Held (Currency Value)</t>
        </is>
      </c>
      <c r="C189" s="8" t="inlineStr">
        <is>
          <t>Finance / ERP</t>
        </is>
      </c>
      <c r="D189" s="8" t="inlineStr">
        <is>
          <t>SAP, Oracle Finance — capital reserve tracking</t>
        </is>
      </c>
      <c r="E189" s="8" t="inlineStr">
        <is>
          <t>Default Evidence Source declared: see CDE Registry</t>
        </is>
      </c>
    </row>
    <row r="190" ht="15" customHeight="1" s="6">
      <c r="A190" s="8" t="inlineStr">
        <is>
          <t>CDE-R189</t>
        </is>
      </c>
      <c r="B190" s="8" t="inlineStr">
        <is>
          <t>Risk Capital Methodology Description</t>
        </is>
      </c>
      <c r="C190" s="8" t="inlineStr">
        <is>
          <t>Human Judgment / Internal Assessment</t>
        </is>
      </c>
      <c r="D190" s="8" t="inlineStr">
        <is>
          <t>CRO office methodology documentation</t>
        </is>
      </c>
      <c r="E190" s="8" t="inlineStr">
        <is>
          <t>Default Evidence Source declared: see CDE Registry</t>
        </is>
      </c>
    </row>
    <row r="191" ht="15" customHeight="1" s="6">
      <c r="A191" s="8" t="inlineStr">
        <is>
          <t>CDE-R190</t>
        </is>
      </c>
      <c r="B191" s="8" t="inlineStr">
        <is>
          <t>Tail-Risk/Black-Swan Scenario Specifically Modeled</t>
        </is>
      </c>
      <c r="C191" s="8" t="inlineStr">
        <is>
          <t>GRC Platform</t>
        </is>
      </c>
      <c r="D191" s="8" t="inlineStr">
        <is>
          <t>RSA Archer, ServiceNow GRC — tail-risk scenario module</t>
        </is>
      </c>
      <c r="E191" s="8" t="inlineStr">
        <is>
          <t>Default Evidence Source declared: see CDE Registry</t>
        </is>
      </c>
    </row>
    <row r="192" ht="15" customHeight="1" s="6">
      <c r="A192" s="8" t="inlineStr">
        <is>
          <t>CDE-R191</t>
        </is>
      </c>
      <c r="B192" s="8" t="inlineStr">
        <is>
          <t>Tail-Risk Scenario Description</t>
        </is>
      </c>
      <c r="C192" s="8" t="inlineStr">
        <is>
          <t>GRC Platform</t>
        </is>
      </c>
      <c r="D192" s="8" t="inlineStr">
        <is>
          <t>RSA Archer, ServiceNow GRC — tail-risk scenario module</t>
        </is>
      </c>
      <c r="E192" s="8" t="inlineStr">
        <is>
          <t>Default Evidence Source declared: see CDE Registry</t>
        </is>
      </c>
    </row>
    <row r="193" ht="15" customHeight="1" s="6">
      <c r="A193" s="8" t="inlineStr">
        <is>
          <t>CDE-R192</t>
        </is>
      </c>
      <c r="B193" s="8" t="inlineStr">
        <is>
          <t>Tail-Risk Scenario Estimated Impact</t>
        </is>
      </c>
      <c r="C193" s="8" t="inlineStr">
        <is>
          <t>Finance / ERP</t>
        </is>
      </c>
      <c r="D193" s="8" t="inlineStr">
        <is>
          <t>SAP, Oracle Finance — scenario financial modeling</t>
        </is>
      </c>
      <c r="E193" s="8" t="inlineStr">
        <is>
          <t>Default Evidence Source declared: see CDE Registry</t>
        </is>
      </c>
    </row>
    <row r="194" ht="15" customHeight="1" s="6">
      <c r="A194" s="8" t="inlineStr">
        <is>
          <t>CDE-R193</t>
        </is>
      </c>
      <c r="B194" s="8" t="inlineStr">
        <is>
          <t>Risk Management Function Annual Budget</t>
        </is>
      </c>
      <c r="C194" s="8" t="inlineStr">
        <is>
          <t>Finance / ERP</t>
        </is>
      </c>
      <c r="D194" s="8" t="inlineStr">
        <is>
          <t>SAP, Oracle Finance — departmental budget tracking</t>
        </is>
      </c>
      <c r="E194" s="8" t="inlineStr">
        <is>
          <t>Default Evidence Source declared: see CDE Registry</t>
        </is>
      </c>
    </row>
    <row r="195" ht="15" customHeight="1" s="6">
      <c r="A195" s="8" t="inlineStr">
        <is>
          <t>CDE-R194</t>
        </is>
      </c>
      <c r="B195" s="8" t="inlineStr">
        <is>
          <t>Risk Management Function Headcount</t>
        </is>
      </c>
      <c r="C195" s="8" t="inlineStr">
        <is>
          <t>HRMS</t>
        </is>
      </c>
      <c r="D195" s="8" t="inlineStr">
        <is>
          <t>Workday, SAP SuccessFactors — org structure/headcount</t>
        </is>
      </c>
      <c r="E195" s="8" t="inlineStr">
        <is>
          <t>Default Evidence Source declared: see CDE Registry</t>
        </is>
      </c>
    </row>
    <row r="196" ht="15" customHeight="1" s="6">
      <c r="A196" s="8" t="inlineStr">
        <is>
          <t>CDE-R195</t>
        </is>
      </c>
      <c r="B196" s="8" t="inlineStr">
        <is>
          <t>Risk Function Resourcing Adequacy Self-Assessment</t>
        </is>
      </c>
      <c r="C196" s="8" t="inlineStr">
        <is>
          <t>Human Judgment / Internal Assessment</t>
        </is>
      </c>
      <c r="D196" s="8" t="inlineStr">
        <is>
          <t>CRO office self-assessment, Internal Audit review</t>
        </is>
      </c>
      <c r="E196" s="8" t="inlineStr">
        <is>
          <t>Default Evidence Source declared: see CDE Registry</t>
        </is>
      </c>
    </row>
    <row r="197" ht="15" customHeight="1" s="6">
      <c r="A197" s="8" t="inlineStr">
        <is>
          <t>CDE-R196</t>
        </is>
      </c>
      <c r="B197" s="8" t="inlineStr">
        <is>
          <t>Public Risk Disclosure Cross-Checked Against Internal Register</t>
        </is>
      </c>
      <c r="C197" s="8" t="inlineStr">
        <is>
          <t>Human Judgment / Internal Assessment</t>
        </is>
      </c>
      <c r="D197" s="8" t="inlineStr">
        <is>
          <t>Internal Audit/Disclosure Committee review</t>
        </is>
      </c>
      <c r="E197" s="8" t="inlineStr">
        <is>
          <t>Default Evidence Source declared: see CDE Registry</t>
        </is>
      </c>
    </row>
    <row r="198" ht="15" customHeight="1" s="6">
      <c r="A198" s="8" t="inlineStr">
        <is>
          <t>CDE-R197</t>
        </is>
      </c>
      <c r="B198" s="8" t="inlineStr">
        <is>
          <t>Disclosure Consistency Check Performed By</t>
        </is>
      </c>
      <c r="C198" s="8" t="inlineStr">
        <is>
          <t>Human Judgment / Internal Assessment</t>
        </is>
      </c>
      <c r="D198" s="8" t="inlineStr">
        <is>
          <t>Internal Audit/Disclosure Committee record</t>
        </is>
      </c>
      <c r="E198" s="8" t="inlineStr">
        <is>
          <t>Default Evidence Source declared: see CDE Registry</t>
        </is>
      </c>
    </row>
    <row r="199" ht="15" customHeight="1" s="6">
      <c r="A199" s="8" t="inlineStr">
        <is>
          <t>CDE-R198</t>
        </is>
      </c>
      <c r="B199" s="8" t="inlineStr">
        <is>
          <t>Disclosure-to-Register Inconsistency Identified</t>
        </is>
      </c>
      <c r="C199" s="8" t="inlineStr">
        <is>
          <t>Human Judgment / Internal Assessment</t>
        </is>
      </c>
      <c r="D199" s="8" t="inlineStr">
        <is>
          <t>Internal Audit findings report</t>
        </is>
      </c>
      <c r="E199" s="8" t="inlineStr">
        <is>
          <t>Default Evidence Source declared: see CDE Registry</t>
        </is>
      </c>
    </row>
    <row r="200" ht="15" customHeight="1" s="6">
      <c r="A200" s="8" t="inlineStr">
        <is>
          <t>CDE-R199</t>
        </is>
      </c>
      <c r="B200" s="8" t="inlineStr">
        <is>
          <t>Risk Governance Independence from Controlling Shareholder</t>
        </is>
      </c>
      <c r="C200" s="8" t="inlineStr">
        <is>
          <t>Governance / Board Management System</t>
        </is>
      </c>
      <c r="D200" s="8" t="inlineStr">
        <is>
          <t>Board Risk Committee composition, Diligent</t>
        </is>
      </c>
      <c r="E200" s="8" t="inlineStr">
        <is>
          <t>Default Evidence Source declared: see CDE Registry</t>
        </is>
      </c>
    </row>
    <row r="201" ht="15" customHeight="1" s="6">
      <c r="A201" s="8" t="inlineStr">
        <is>
          <t>CDE-R200</t>
        </is>
      </c>
      <c r="B201" s="8" t="inlineStr">
        <is>
          <t>Independent Risk Committee Member Count</t>
        </is>
      </c>
      <c r="C201" s="8" t="inlineStr">
        <is>
          <t>Governance / Board Management System</t>
        </is>
      </c>
      <c r="D201" s="8" t="inlineStr">
        <is>
          <t>Board Risk Committee composition record</t>
        </is>
      </c>
      <c r="E201" s="8" t="inlineStr">
        <is>
          <t>Default Evidence Source declared: see CDE Registry</t>
        </is>
      </c>
    </row>
    <row r="202" ht="15" customHeight="1" s="6">
      <c r="A202" s="8" t="inlineStr">
        <is>
          <t>CDE-R201</t>
        </is>
      </c>
      <c r="B202" s="8" t="inlineStr">
        <is>
          <t>Risk Veto/Override by Controlling Shareholder Documented</t>
        </is>
      </c>
      <c r="C202" s="8" t="inlineStr">
        <is>
          <t>Governance / Board Management System</t>
        </is>
      </c>
      <c r="D202" s="8" t="inlineStr">
        <is>
          <t>Board minutes</t>
        </is>
      </c>
      <c r="E202" s="8" t="inlineStr">
        <is>
          <t>Default Evidence Source declared: see CDE Registry</t>
        </is>
      </c>
    </row>
    <row r="203" ht="15" customHeight="1" s="6">
      <c r="A203" s="8" t="inlineStr">
        <is>
          <t>CDE-R202</t>
        </is>
      </c>
      <c r="B203" s="8" t="inlineStr">
        <is>
          <t>Risk Function Continuity Plan During Financial Distress</t>
        </is>
      </c>
      <c r="C203" s="8" t="inlineStr">
        <is>
          <t>Human Judgment / Internal Assessment</t>
        </is>
      </c>
      <c r="D203" s="8" t="inlineStr">
        <is>
          <t>CRO office business continuity documentation</t>
        </is>
      </c>
      <c r="E203" s="8" t="inlineStr">
        <is>
          <t>Default Evidence Source declared: see CDE Registry</t>
        </is>
      </c>
    </row>
    <row r="204" ht="15" customHeight="1" s="6">
      <c r="A204" s="8" t="inlineStr">
        <is>
          <t>CDE-R203</t>
        </is>
      </c>
      <c r="B204" s="8" t="inlineStr">
        <is>
          <t>Risk Function Independence from Cost-Cutting During Distress</t>
        </is>
      </c>
      <c r="C204" s="8" t="inlineStr">
        <is>
          <t>Human Judgment / Internal Assessment</t>
        </is>
      </c>
      <c r="D204" s="8" t="inlineStr">
        <is>
          <t>CRO office governance documentation</t>
        </is>
      </c>
      <c r="E204" s="8" t="inlineStr">
        <is>
          <t>Default Evidence Source declared: see CDE Registry</t>
        </is>
      </c>
    </row>
    <row r="205" ht="15" customHeight="1" s="6">
      <c r="A205" s="8" t="inlineStr">
        <is>
          <t>CDE-R204</t>
        </is>
      </c>
      <c r="B205" s="8" t="inlineStr">
        <is>
          <t>CRO/Risk Function Succession Plan Exists</t>
        </is>
      </c>
      <c r="C205" s="8" t="inlineStr">
        <is>
          <t>Governance / Board Management System</t>
        </is>
      </c>
      <c r="D205" s="8" t="inlineStr">
        <is>
          <t>Board succession planning record</t>
        </is>
      </c>
      <c r="E205" s="8" t="inlineStr">
        <is>
          <t>Default Evidence Source declared: see CDE Registry</t>
        </is>
      </c>
    </row>
    <row r="206" ht="15" customHeight="1" s="6">
      <c r="A206" s="8" t="inlineStr">
        <is>
          <t>CDE-R205</t>
        </is>
      </c>
      <c r="B206" s="8" t="inlineStr">
        <is>
          <t>CRO Tenure (years)</t>
        </is>
      </c>
      <c r="C206" s="8" t="inlineStr">
        <is>
          <t>HRMS</t>
        </is>
      </c>
      <c r="D206" s="8" t="inlineStr">
        <is>
          <t>Workday, SAP SuccessFactors — employment record</t>
        </is>
      </c>
      <c r="E206" s="8" t="inlineStr">
        <is>
          <t>Default Evidence Source declared: see CDE Registry</t>
        </is>
      </c>
    </row>
    <row r="207" ht="15" customHeight="1" s="6">
      <c r="A207" s="8" t="inlineStr">
        <is>
          <t>CDE-R206</t>
        </is>
      </c>
      <c r="B207" s="8" t="inlineStr">
        <is>
          <t>Risk Function Bench Strength (qualified internal successors)</t>
        </is>
      </c>
      <c r="C207" s="8" t="inlineStr">
        <is>
          <t>HRMS</t>
        </is>
      </c>
      <c r="D207" s="8" t="inlineStr">
        <is>
          <t>Workday, SAP SuccessFactors — succession planning module</t>
        </is>
      </c>
      <c r="E207" s="8" t="inlineStr">
        <is>
          <t>Default Evidence Source declared: see CDE Registry</t>
        </is>
      </c>
    </row>
    <row r="208" ht="15" customHeight="1" s="6">
      <c r="A208" s="8" t="inlineStr">
        <is>
          <t>CDE-R207</t>
        </is>
      </c>
      <c r="B208" s="8" t="inlineStr">
        <is>
          <t>Insurance Market Availability Risk Identified</t>
        </is>
      </c>
      <c r="C208" s="8" t="inlineStr">
        <is>
          <t>Finance / ERP</t>
        </is>
      </c>
      <c r="D208" s="8" t="inlineStr">
        <is>
          <t>SAP, Oracle Treasury — insurance market monitoring</t>
        </is>
      </c>
      <c r="E208" s="8" t="inlineStr">
        <is>
          <t>Default Evidence Source declared: see CDE Registry</t>
        </is>
      </c>
    </row>
    <row r="209" ht="15" customHeight="1" s="6">
      <c r="A209" s="8" t="inlineStr">
        <is>
          <t>CDE-R208</t>
        </is>
      </c>
      <c r="B209" s="8" t="inlineStr">
        <is>
          <t>Coverage Affordability Trend (3yr)</t>
        </is>
      </c>
      <c r="C209" s="8" t="inlineStr">
        <is>
          <t>Finance / ERP</t>
        </is>
      </c>
      <c r="D209" s="8" t="inlineStr">
        <is>
          <t>SAP, Oracle Treasury — premium cost trend analysis</t>
        </is>
      </c>
      <c r="E209" s="8" t="inlineStr">
        <is>
          <t>Default Evidence Source declared: see CDE Registry</t>
        </is>
      </c>
    </row>
    <row r="210" ht="15" customHeight="1" s="6">
      <c r="A210" s="8" t="inlineStr">
        <is>
          <t>CDE-R209</t>
        </is>
      </c>
      <c r="B210" s="8" t="inlineStr">
        <is>
          <t>Uninsurable Risk Category Identified</t>
        </is>
      </c>
      <c r="C210" s="8" t="inlineStr">
        <is>
          <t>Human Judgment / Internal Assessment</t>
        </is>
      </c>
      <c r="D210" s="8" t="inlineStr">
        <is>
          <t>CRO office/insurance broker assessment</t>
        </is>
      </c>
      <c r="E210" s="8" t="inlineStr">
        <is>
          <t>Default Evidence Source declared: see CDE Registry</t>
        </is>
      </c>
    </row>
    <row r="211" ht="15" customHeight="1" s="6">
      <c r="A211" s="8" t="inlineStr">
        <is>
          <t>CDE-R210</t>
        </is>
      </c>
      <c r="B211" s="8" t="inlineStr">
        <is>
          <t>Risk Function Continuity Plan Last Tested Date</t>
        </is>
      </c>
      <c r="C211" s="8" t="inlineStr">
        <is>
          <t>Human Judgment / Internal Assessment</t>
        </is>
      </c>
      <c r="D211" s="8" t="inlineStr">
        <is>
          <t>CRO office continuity plan test log</t>
        </is>
      </c>
      <c r="E211" s="8" t="inlineStr">
        <is>
          <t>Default Evidence Source declared: see CDE Registry</t>
        </is>
      </c>
    </row>
    <row r="212" ht="15" customHeight="1" s="6">
      <c r="A212" s="8" t="inlineStr">
        <is>
          <t>CDE-R211</t>
        </is>
      </c>
      <c r="B212" s="8" t="inlineStr">
        <is>
          <t>Risk-Adjusted Return Metric Used</t>
        </is>
      </c>
      <c r="C212" s="8" t="inlineStr">
        <is>
          <t>Finance / ERP</t>
        </is>
      </c>
      <c r="D212" s="8" t="inlineStr">
        <is>
          <t>SAP, Oracle Finance — performance management module</t>
        </is>
      </c>
      <c r="E212" s="8" t="inlineStr">
        <is>
          <t>Default Evidence Source declared: see CDE Registry</t>
        </is>
      </c>
    </row>
    <row r="213" ht="15" customHeight="1" s="6">
      <c r="A213" s="8" t="inlineStr">
        <is>
          <t>CDE-R212</t>
        </is>
      </c>
      <c r="B213" s="8" t="inlineStr">
        <is>
          <t>Risk-Adjusted Return Metric Type (RAROC/Sharpe/Other)</t>
        </is>
      </c>
      <c r="C213" s="8" t="inlineStr">
        <is>
          <t>Finance / ERP</t>
        </is>
      </c>
      <c r="D213" s="8" t="inlineStr">
        <is>
          <t>SAP, Oracle Finance — performance management module</t>
        </is>
      </c>
      <c r="E213" s="8" t="inlineStr">
        <is>
          <t>Default Evidence Source declared: see CDE Registry</t>
        </is>
      </c>
    </row>
    <row r="214" ht="15" customHeight="1" s="6">
      <c r="A214" s="8" t="inlineStr">
        <is>
          <t>CDE-R213</t>
        </is>
      </c>
      <c r="B214" s="8" t="inlineStr">
        <is>
          <t>Risk-Adjusted Return Applied to Capital Allocation Decisions</t>
        </is>
      </c>
      <c r="C214" s="8" t="inlineStr">
        <is>
          <t>Finance / ERP</t>
        </is>
      </c>
      <c r="D214" s="8" t="inlineStr">
        <is>
          <t>SAP, Oracle Finance — capital allocation decision log</t>
        </is>
      </c>
      <c r="E214" s="8" t="inlineStr">
        <is>
          <t>Default Evidence Source declared: see CDE Registry</t>
        </is>
      </c>
    </row>
    <row r="215" ht="15" customHeight="1" s="6">
      <c r="A215" s="8" t="inlineStr">
        <is>
          <t>CDE-R214</t>
        </is>
      </c>
      <c r="B215" s="8" t="inlineStr">
        <is>
          <t>Risk Disclosure Made to Regulator</t>
        </is>
      </c>
      <c r="C215" s="8" t="inlineStr">
        <is>
          <t>Regulatory Filing Portal</t>
        </is>
      </c>
      <c r="D215" s="8" t="inlineStr">
        <is>
          <t>Regulator-specific filing portal (e.g. SEBI, RBI, SEC)</t>
        </is>
      </c>
      <c r="E215" s="8" t="inlineStr">
        <is>
          <t>Default Evidence Source declared: see CDE Registry</t>
        </is>
      </c>
    </row>
    <row r="216" ht="15" customHeight="1" s="6">
      <c r="A216" s="8" t="inlineStr">
        <is>
          <t>CDE-R215</t>
        </is>
      </c>
      <c r="B216" s="8" t="inlineStr">
        <is>
          <t>Regulatory Risk Disclosure Frequency</t>
        </is>
      </c>
      <c r="C216" s="8" t="inlineStr">
        <is>
          <t>Regulatory Filing Portal</t>
        </is>
      </c>
      <c r="D216" s="8" t="inlineStr">
        <is>
          <t>Regulator filing calendar</t>
        </is>
      </c>
      <c r="E216" s="8" t="inlineStr">
        <is>
          <t>Default Evidence Source declared: see CDE Registry</t>
        </is>
      </c>
    </row>
    <row r="217" ht="15" customHeight="1" s="6">
      <c r="A217" s="8" t="inlineStr">
        <is>
          <t>CDE-R216</t>
        </is>
      </c>
      <c r="B217" s="8" t="inlineStr">
        <is>
          <t>Regulatory Risk Disclosure Differs from Board Report Scope</t>
        </is>
      </c>
      <c r="C217" s="8" t="inlineStr">
        <is>
          <t>Human Judgment / Internal Assessment</t>
        </is>
      </c>
      <c r="D217" s="8" t="inlineStr">
        <is>
          <t>CRO office disclosure scope comparison</t>
        </is>
      </c>
      <c r="E217" s="8" t="inlineStr">
        <is>
          <t>Default Evidence Source declared: see CDE Registry</t>
        </is>
      </c>
    </row>
    <row r="218" ht="15" customHeight="1" s="6">
      <c r="A218" s="8" t="inlineStr">
        <is>
          <t>CDE-R217</t>
        </is>
      </c>
      <c r="B218" s="8" t="inlineStr">
        <is>
          <t>Risk Velocity Rating (Speed of Escalation)</t>
        </is>
      </c>
      <c r="C218" s="8" t="inlineStr">
        <is>
          <t>GRC Platform</t>
        </is>
      </c>
      <c r="D218" s="8" t="inlineStr">
        <is>
          <t>RSA Archer, ServiceNow GRC — risk velocity classification</t>
        </is>
      </c>
      <c r="E218" s="8" t="inlineStr">
        <is>
          <t>Default Evidence Source declared: see CDE Registry</t>
        </is>
      </c>
    </row>
    <row r="219" ht="15" customHeight="1" s="6">
      <c r="A219" s="8" t="inlineStr">
        <is>
          <t>CDE-R218</t>
        </is>
      </c>
      <c r="B219" s="8" t="inlineStr">
        <is>
          <t>Risk Velocity Assessment Methodology</t>
        </is>
      </c>
      <c r="C219" s="8" t="inlineStr">
        <is>
          <t>Human Judgment / Internal Assessment</t>
        </is>
      </c>
      <c r="D219" s="8" t="inlineStr">
        <is>
          <t>CRO office methodology documentation</t>
        </is>
      </c>
      <c r="E219" s="8" t="inlineStr">
        <is>
          <t>Default Evidence Source declared: see CDE Registry</t>
        </is>
      </c>
    </row>
    <row r="220" ht="15" customHeight="1" s="6">
      <c r="A220" s="8" t="inlineStr">
        <is>
          <t>CDE-R219</t>
        </is>
      </c>
      <c r="B220" s="8" t="inlineStr">
        <is>
          <t>Fast-Velocity Risk Monitoring Frequency</t>
        </is>
      </c>
      <c r="C220" s="8" t="inlineStr">
        <is>
          <t>GRC Platform</t>
        </is>
      </c>
      <c r="D220" s="8" t="inlineStr">
        <is>
          <t>RSA Archer, ServiceNow GRC — monitoring schedule configuration</t>
        </is>
      </c>
      <c r="E220" s="8" t="inlineStr">
        <is>
          <t>Default Evidence Source declared: see CDE Registry</t>
        </is>
      </c>
    </row>
    <row r="221" ht="15" customHeight="1" s="6">
      <c r="A221" s="8" t="inlineStr">
        <is>
          <t>CDE-R220</t>
        </is>
      </c>
      <c r="B221" s="8" t="inlineStr">
        <is>
          <t>Data Privacy/Regulatory Risk Identified</t>
        </is>
      </c>
      <c r="C221" s="8" t="inlineStr">
        <is>
          <t>Regulatory Filing Portal</t>
        </is>
      </c>
      <c r="D221" s="8" t="inlineStr">
        <is>
          <t>Data protection authority filing, GRC platform privacy module</t>
        </is>
      </c>
      <c r="E221" s="8" t="inlineStr">
        <is>
          <t>Default Evidence Source declared: see CDE Registry</t>
        </is>
      </c>
    </row>
    <row r="222" ht="15" customHeight="1" s="6">
      <c r="A222" s="8" t="inlineStr">
        <is>
          <t>CDE-R221</t>
        </is>
      </c>
      <c r="B222" s="8" t="inlineStr">
        <is>
          <t>Data Privacy Risk Estimated Financial Exposure (Fines/Penalties)</t>
        </is>
      </c>
      <c r="C222" s="8" t="inlineStr">
        <is>
          <t>Finance / ERP</t>
        </is>
      </c>
      <c r="D222" s="8" t="inlineStr">
        <is>
          <t>SAP, Oracle Finance — contingent liability tracking</t>
        </is>
      </c>
      <c r="E222" s="8" t="inlineStr">
        <is>
          <t>Default Evidence Source declared: see CDE Registry</t>
        </is>
      </c>
    </row>
    <row r="223" ht="15" customHeight="1" s="6">
      <c r="A223" s="8" t="inlineStr">
        <is>
          <t>CDE-R222</t>
        </is>
      </c>
      <c r="B223" s="8" t="inlineStr">
        <is>
          <t>Cross-Border Data Transfer Risk Jurisdiction</t>
        </is>
      </c>
      <c r="C223" s="8" t="inlineStr">
        <is>
          <t>Regulatory Filing Portal</t>
        </is>
      </c>
      <c r="D223" s="8" t="inlineStr">
        <is>
          <t>Data transfer agreement, cross-border compliance tracker</t>
        </is>
      </c>
      <c r="E223" s="8" t="inlineStr">
        <is>
          <t>Default Evidence Source declared: see CDE Registry</t>
        </is>
      </c>
    </row>
    <row r="224" ht="15" customHeight="1" s="6">
      <c r="A224" s="8" t="inlineStr">
        <is>
          <t>CDE-R223</t>
        </is>
      </c>
      <c r="B224" s="8" t="inlineStr">
        <is>
          <t>Compound/Simultaneous Multi-Risk Crisis Scenario Modeled</t>
        </is>
      </c>
      <c r="C224" s="8" t="inlineStr">
        <is>
          <t>GRC Platform</t>
        </is>
      </c>
      <c r="D224" s="8" t="inlineStr">
        <is>
          <t>RSA Archer, ServiceNow GRC — compound scenario module</t>
        </is>
      </c>
      <c r="E224" s="8" t="inlineStr">
        <is>
          <t>Default Evidence Source declared: see CDE Registry</t>
        </is>
      </c>
    </row>
    <row r="225" ht="15" customHeight="1" s="6">
      <c r="A225" s="8" t="inlineStr">
        <is>
          <t>CDE-R224</t>
        </is>
      </c>
      <c r="B225" s="8" t="inlineStr">
        <is>
          <t>Insurer/Hedge Counterparty Credit Risk Assessed</t>
        </is>
      </c>
      <c r="C225" s="8" t="inlineStr">
        <is>
          <t>Finance / ERP</t>
        </is>
      </c>
      <c r="D225" s="8" t="inlineStr">
        <is>
          <t>SAP, Oracle Treasury — counterparty credit assessment</t>
        </is>
      </c>
      <c r="E225" s="8" t="inlineStr">
        <is>
          <t>Default Evidence Source declared: see CDE Registry</t>
        </is>
      </c>
    </row>
    <row r="226" ht="15" customHeight="1" s="6">
      <c r="A226" s="8" t="inlineStr">
        <is>
          <t>CDE-R225</t>
        </is>
      </c>
      <c r="B226" s="8" t="inlineStr">
        <is>
          <t>Risk Profile Benchmarked Against Industry Peers</t>
        </is>
      </c>
      <c r="C226" s="8" t="inlineStr">
        <is>
          <t>Human Judgment / Internal Assessment</t>
        </is>
      </c>
      <c r="D226" s="8" t="inlineStr">
        <is>
          <t>CRO office external benchmarking engagement</t>
        </is>
      </c>
      <c r="E226" s="8" t="inlineStr">
        <is>
          <t>Default Evidence Source declared: see CDE Registry</t>
        </is>
      </c>
    </row>
    <row r="227" ht="15" customHeight="1" s="6">
      <c r="A227" s="8" t="inlineStr">
        <is>
          <t>CDE-R226</t>
        </is>
      </c>
      <c r="B227" s="8" t="inlineStr">
        <is>
          <t>Benchmark Comparison Result (Above/At/Below Peer Average)</t>
        </is>
      </c>
      <c r="C227" s="8" t="inlineStr">
        <is>
          <t>Human Judgment / Internal Assessment</t>
        </is>
      </c>
      <c r="D227" s="8" t="inlineStr">
        <is>
          <t>CRO office benchmark report</t>
        </is>
      </c>
      <c r="E227" s="8" t="inlineStr">
        <is>
          <t>Default Evidence Source declared: see CDE Registry</t>
        </is>
      </c>
    </row>
    <row r="228" ht="15" customHeight="1" s="6">
      <c r="A228" s="8" t="inlineStr">
        <is>
          <t>CDE-R227</t>
        </is>
      </c>
      <c r="B228" s="8" t="inlineStr">
        <is>
          <t>Benchmark Source/Provider</t>
        </is>
      </c>
      <c r="C228" s="8" t="inlineStr">
        <is>
          <t>Human Judgment / Internal Assessment</t>
        </is>
      </c>
      <c r="D228" s="8" t="inlineStr">
        <is>
          <t>External rating agency or risk consultancy report</t>
        </is>
      </c>
      <c r="E228" s="8" t="inlineStr">
        <is>
          <t>Default Evidence Source declared: see CDE Registry</t>
        </is>
      </c>
    </row>
    <row r="229" ht="15" customHeight="1" s="6">
      <c r="A229" s="8" t="inlineStr">
        <is>
          <t>CDE-R228</t>
        </is>
      </c>
      <c r="B229" s="8" t="inlineStr">
        <is>
          <t>Risk Register Confidentiality Classification</t>
        </is>
      </c>
      <c r="C229" s="8" t="inlineStr">
        <is>
          <t>GRC Platform</t>
        </is>
      </c>
      <c r="D229" s="8" t="inlineStr">
        <is>
          <t>RSA Archer, ServiceNow GRC — access control configuration</t>
        </is>
      </c>
      <c r="E229" s="8" t="inlineStr">
        <is>
          <t>Default Evidence Source declared: see CDE Registry</t>
        </is>
      </c>
    </row>
    <row r="230" ht="15" customHeight="1" s="6">
      <c r="A230" s="8" t="inlineStr">
        <is>
          <t>CDE-R229</t>
        </is>
      </c>
      <c r="B230" s="8" t="inlineStr">
        <is>
          <t>Risk Register Access Control List Defined</t>
        </is>
      </c>
      <c r="C230" s="8" t="inlineStr">
        <is>
          <t>GRC Platform</t>
        </is>
      </c>
      <c r="D230" s="8" t="inlineStr">
        <is>
          <t>RSA Archer, ServiceNow GRC — access control configuration</t>
        </is>
      </c>
      <c r="E230" s="8" t="inlineStr">
        <is>
          <t>Default Evidence Source declared: see CDE Registry</t>
        </is>
      </c>
    </row>
    <row r="231" ht="15" customHeight="1" s="6">
      <c r="A231" s="8" t="inlineStr">
        <is>
          <t>CDE-R230</t>
        </is>
      </c>
      <c r="B231" s="8" t="inlineStr">
        <is>
          <t>Risk Register Access Last Reviewed Date</t>
        </is>
      </c>
      <c r="C231" s="8" t="inlineStr">
        <is>
          <t>GRC Platform</t>
        </is>
      </c>
      <c r="D231" s="8" t="inlineStr">
        <is>
          <t>RSA Archer, ServiceNow GRC — access review log</t>
        </is>
      </c>
      <c r="E231" s="8" t="inlineStr">
        <is>
          <t>Default Evidence Source declared: see CDE Registry</t>
        </is>
      </c>
    </row>
    <row r="232" ht="15" customHeight="1" s="6">
      <c r="A232" s="8" t="inlineStr">
        <is>
          <t>CDE-R231</t>
        </is>
      </c>
      <c r="B232" s="8" t="inlineStr">
        <is>
          <t>Physical Climate Risk Financial Exposure (Currency Value)</t>
        </is>
      </c>
      <c r="C232" s="8" t="inlineStr">
        <is>
          <t>Finance / ERP</t>
        </is>
      </c>
      <c r="D232" s="8" t="inlineStr">
        <is>
          <t>SAP, Oracle Finance — climate scenario financial modeling</t>
        </is>
      </c>
      <c r="E232" s="8" t="inlineStr">
        <is>
          <t>Default Evidence Source declared: see CDE Registry</t>
        </is>
      </c>
    </row>
    <row r="233" ht="15" customHeight="1" s="6">
      <c r="A233" s="8" t="inlineStr">
        <is>
          <t>CDE-R232</t>
        </is>
      </c>
      <c r="B233" s="8" t="inlineStr">
        <is>
          <t>Event-Driven Risk Appetite Review Trigger Defined</t>
        </is>
      </c>
      <c r="C233" s="8" t="inlineStr">
        <is>
          <t>Governance / Board Management System</t>
        </is>
      </c>
      <c r="D233" s="8" t="inlineStr">
        <is>
          <t>Board Risk Committee charter document</t>
        </is>
      </c>
      <c r="E233" s="8" t="inlineStr">
        <is>
          <t>Default Evidence Source declared: see CDE Registry</t>
        </is>
      </c>
    </row>
    <row r="234" ht="15" customHeight="1" s="6">
      <c r="A234" s="8" t="inlineStr">
        <is>
          <t>CDE-R233</t>
        </is>
      </c>
      <c r="B234" s="8" t="inlineStr">
        <is>
          <t>CRO Reporting Line Conflict-of-Interest Assessed</t>
        </is>
      </c>
      <c r="C234" s="8" t="inlineStr">
        <is>
          <t>Governance / Board Management System</t>
        </is>
      </c>
      <c r="D234" s="8" t="inlineStr">
        <is>
          <t>Internal Audit/Governance review documentation</t>
        </is>
      </c>
      <c r="E234" s="8" t="inlineStr">
        <is>
          <t>Default Evidence Source declared: see CDE Registry</t>
        </is>
      </c>
    </row>
    <row r="235" ht="15" customHeight="1" s="6">
      <c r="A235" s="8" t="inlineStr">
        <is>
          <t>CDE-R234</t>
        </is>
      </c>
      <c r="B235" s="8" t="inlineStr">
        <is>
          <t>Supply Chain Disruption Estimated Financial Impact</t>
        </is>
      </c>
      <c r="C235" s="8" t="inlineStr">
        <is>
          <t>Finance / ERP</t>
        </is>
      </c>
      <c r="D235" s="8" t="inlineStr">
        <is>
          <t>SAP, Oracle Finance — supply chain risk financial modeling</t>
        </is>
      </c>
      <c r="E235" s="8" t="inlineStr">
        <is>
          <t>Default Evidence Source declared: see CDE Registry</t>
        </is>
      </c>
    </row>
    <row r="236" ht="15" customHeight="1" s="6">
      <c r="A236" s="8" t="inlineStr">
        <is>
          <t>CDE-R235</t>
        </is>
      </c>
      <c r="B236" s="8" t="inlineStr">
        <is>
          <t>Risk Level Constrains Dividend/Buyback Capacity</t>
        </is>
      </c>
      <c r="C236" s="8" t="inlineStr">
        <is>
          <t>Governance / Board Management System</t>
        </is>
      </c>
      <c r="D236" s="8" t="inlineStr">
        <is>
          <t>Board Risk Committee / Board minutes capital allocation discussion</t>
        </is>
      </c>
      <c r="E236" s="8" t="inlineStr">
        <is>
          <t>Default Evidence Source declared: see CDE Registry</t>
        </is>
      </c>
    </row>
    <row r="237" ht="15" customHeight="1" s="6">
      <c r="A237" s="8" t="inlineStr">
        <is>
          <t>CDE-R236</t>
        </is>
      </c>
      <c r="B237" s="8" t="inlineStr">
        <is>
          <t>Risk Rating Historical Trend (3yr)</t>
        </is>
      </c>
      <c r="C237" s="8" t="inlineStr">
        <is>
          <t>GRC Platform</t>
        </is>
      </c>
      <c r="D237" s="8" t="inlineStr">
        <is>
          <t>RSA Archer, ServiceNow GRC — risk register version history</t>
        </is>
      </c>
      <c r="E237" s="8" t="inlineStr">
        <is>
          <t>Default Evidence Source declared: see CDE Registry</t>
        </is>
      </c>
    </row>
    <row r="238" ht="15" customHeight="1" s="6">
      <c r="A238" s="8" t="inlineStr">
        <is>
          <t>CDE-R237</t>
        </is>
      </c>
      <c r="B238" s="8" t="inlineStr">
        <is>
          <t>Risk Oversight Independence from Executive Management</t>
        </is>
      </c>
      <c r="C238" s="8" t="inlineStr">
        <is>
          <t>Governance / Board Management System</t>
        </is>
      </c>
      <c r="D238" s="8" t="inlineStr">
        <is>
          <t>Board Risk Committee composition, Internal Audit review</t>
        </is>
      </c>
      <c r="E238" s="8" t="inlineStr">
        <is>
          <t>Default Evidence Source declared: see CDE Registry</t>
        </is>
      </c>
    </row>
    <row r="239" ht="15" customHeight="1" s="6">
      <c r="A239" s="8" t="inlineStr">
        <is>
          <t>CDE-R238</t>
        </is>
      </c>
      <c r="B239" s="8" t="inlineStr">
        <is>
          <t>Revenue from Largest Customer Percentage</t>
        </is>
      </c>
      <c r="C239" s="8" t="inlineStr">
        <is>
          <t>Finance / ERP</t>
        </is>
      </c>
      <c r="D239" s="8" t="inlineStr">
        <is>
          <t>SAP, Oracle Finance — revenue by customer tracking</t>
        </is>
      </c>
      <c r="E239" s="8" t="inlineStr">
        <is>
          <t>Default Evidence Source declared: Risk Register</t>
        </is>
      </c>
    </row>
    <row r="240" ht="15" customHeight="1" s="6">
      <c r="A240" s="8" t="inlineStr">
        <is>
          <t>CDE-R239</t>
        </is>
      </c>
      <c r="B240" s="8" t="inlineStr">
        <is>
          <t>Revenue from Top 5 Customers Percentage</t>
        </is>
      </c>
      <c r="C240" s="8" t="inlineStr">
        <is>
          <t>Finance / ERP</t>
        </is>
      </c>
      <c r="D240" s="8" t="inlineStr">
        <is>
          <t>SAP, Oracle Finance — revenue by customer tracking</t>
        </is>
      </c>
      <c r="E240" s="8" t="inlineStr">
        <is>
          <t>Default Evidence Source declared: Risk Register</t>
        </is>
      </c>
    </row>
    <row r="241" ht="15" customHeight="1" s="6">
      <c r="A241" s="8" t="inlineStr">
        <is>
          <t>CDE-R240</t>
        </is>
      </c>
      <c r="B241" s="8" t="inlineStr">
        <is>
          <t>Customer Credit Risk Rating</t>
        </is>
      </c>
      <c r="C241" s="8" t="inlineStr">
        <is>
          <t>GRC Platform</t>
        </is>
      </c>
      <c r="D241" s="8" t="inlineStr">
        <is>
          <t>RSA Archer, ServiceNow GRC — counterparty risk module</t>
        </is>
      </c>
      <c r="E241" s="8" t="inlineStr">
        <is>
          <t>Default Evidence Source declared: Risk Register</t>
        </is>
      </c>
    </row>
    <row r="242" ht="15" customHeight="1" s="6">
      <c r="A242" s="8" t="inlineStr">
        <is>
          <t>CDE-R241</t>
        </is>
      </c>
      <c r="B242" s="8" t="inlineStr">
        <is>
          <t>Customer Bankruptcy Watch Status</t>
        </is>
      </c>
      <c r="C242" s="8" t="inlineStr">
        <is>
          <t>GRC Platform</t>
        </is>
      </c>
      <c r="D242" s="8" t="inlineStr">
        <is>
          <t>RSA Archer, ServiceNow GRC — counterparty watch list</t>
        </is>
      </c>
      <c r="E242" s="8" t="inlineStr">
        <is>
          <t>Default Evidence Source declared: Risk Register</t>
        </is>
      </c>
    </row>
    <row r="243" ht="15" customHeight="1" s="6">
      <c r="A243" s="8" t="inlineStr">
        <is>
          <t>CDE-R242</t>
        </is>
      </c>
      <c r="B243" s="8" t="inlineStr">
        <is>
          <t>ESG Investor Concern Level</t>
        </is>
      </c>
      <c r="C243" s="8" t="inlineStr">
        <is>
          <t>Human Judgment / Internal Assessment</t>
        </is>
      </c>
      <c r="D243" s="8" t="inlineStr">
        <is>
          <t>Investor relations team monitoring, proxy advisor reports</t>
        </is>
      </c>
      <c r="E243" s="8" t="inlineStr">
        <is>
          <t>Default Evidence Source declared: User Validation</t>
        </is>
      </c>
    </row>
    <row r="244" ht="15" customHeight="1" s="6">
      <c r="A244" s="8" t="inlineStr">
        <is>
          <t>CDE-R243</t>
        </is>
      </c>
      <c r="B244" s="8" t="inlineStr">
        <is>
          <t>Proxy Advisor Risk Flag</t>
        </is>
      </c>
      <c r="C244" s="8" t="inlineStr">
        <is>
          <t>Human Judgment / Internal Assessment</t>
        </is>
      </c>
      <c r="D244" s="8" t="inlineStr">
        <is>
          <t>Proxy advisor reports (ISS, Glass Lewis)</t>
        </is>
      </c>
      <c r="E244" s="8" t="inlineStr">
        <is>
          <t>Default Evidence Source declared: User Validation</t>
        </is>
      </c>
    </row>
    <row r="245" ht="15" customHeight="1" s="6">
      <c r="A245" s="8" t="inlineStr">
        <is>
          <t>CDE-R244</t>
        </is>
      </c>
      <c r="B245" s="8" t="inlineStr">
        <is>
          <t>Institutional Investor Governance Objection Count</t>
        </is>
      </c>
      <c r="C245" s="8" t="inlineStr">
        <is>
          <t>Governance / Board Management System</t>
        </is>
      </c>
      <c r="D245" s="8" t="inlineStr">
        <is>
          <t>AGM voting results, proxy statement disclosures</t>
        </is>
      </c>
      <c r="E245" s="8" t="inlineStr">
        <is>
          <t>Default Evidence Source declared: User Validation</t>
        </is>
      </c>
    </row>
    <row r="246" ht="15" customHeight="1" s="6">
      <c r="A246" s="8" t="inlineStr">
        <is>
          <t>CDE-R245</t>
        </is>
      </c>
      <c r="B246" s="8" t="inlineStr">
        <is>
          <t>Critical Customer Failure Impact Estimate</t>
        </is>
      </c>
      <c r="C246" s="8" t="inlineStr">
        <is>
          <t>Finance / ERP</t>
        </is>
      </c>
      <c r="D246" s="8" t="inlineStr">
        <is>
          <t>SAP, Oracle Finance — customer risk financial modeling</t>
        </is>
      </c>
      <c r="E246" s="8" t="inlineStr">
        <is>
          <t>Default Evidence Source declared: Finance / ERP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Executive Role</t>
        </is>
      </c>
      <c r="B1" s="5" t="inlineStr">
        <is>
          <t>Priority Intelligence Question</t>
        </is>
      </c>
      <c r="C1" s="5" t="inlineStr">
        <is>
          <t>Current Signal</t>
        </is>
      </c>
      <c r="D1" s="5" t="inlineStr">
        <is>
          <t>Decision Required</t>
        </is>
      </c>
    </row>
    <row r="2">
      <c r="A2" s="5" t="inlineStr">
        <is>
          <t>CEO</t>
        </is>
      </c>
      <c r="B2" s="5" t="inlineStr">
        <is>
          <t>Is our Risk Intelligence posture creating or destroying business value?</t>
        </is>
      </c>
      <c r="C2" s="5" t="inlineStr">
        <is>
          <t>76 Business Questions across this domain define the intelligence picture.</t>
        </is>
      </c>
      <c r="D2" s="5" t="inlineStr">
        <is>
          <t>Review top-3 Business Resilience risks with domain owner and CFO.</t>
        </is>
      </c>
    </row>
    <row r="3">
      <c r="A3" s="5" t="inlineStr">
        <is>
          <t>CFO</t>
        </is>
      </c>
      <c r="B3" s="5" t="inlineStr">
        <is>
          <t>What is the financial consequence of gaps in Risk Intelligence?</t>
        </is>
      </c>
      <c r="C3" s="5" t="inlineStr">
        <is>
          <t>Cross-reference confidence rollup and gap analysis for financial exposure.</t>
        </is>
      </c>
      <c r="D3" s="5" t="inlineStr">
        <is>
          <t>Quantify top-3 financial exposures and assign named remediation owners.</t>
        </is>
      </c>
    </row>
    <row r="4">
      <c r="A4" s="5" t="inlineStr">
        <is>
          <t>Board</t>
        </is>
      </c>
      <c r="B4" s="5" t="inlineStr">
        <is>
          <t>Are we governing Risk Intelligence at board-required standards?</t>
        </is>
      </c>
      <c r="C4" s="5" t="inlineStr">
        <is>
          <t>Review Intelligence Area confidence scores for RED-rated items.</t>
        </is>
      </c>
      <c r="D4" s="5" t="inlineStr">
        <is>
          <t>Require management remediation plan for any RED-rated Intelligence Area.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Gap Category</t>
        </is>
      </c>
      <c r="B1" s="5" t="inlineStr">
        <is>
          <t>Status</t>
        </is>
      </c>
      <c r="C1" s="5" t="inlineStr">
        <is>
          <t>Resolution</t>
        </is>
      </c>
      <c r="D1" s="5" t="inlineStr">
        <is>
          <t>Evidence</t>
        </is>
      </c>
    </row>
    <row r="2">
      <c r="A2" s="5" t="inlineStr">
        <is>
          <t>CDE Coverage</t>
        </is>
      </c>
      <c r="B2" s="5" t="inlineStr">
        <is>
          <t>CLOSED</t>
        </is>
      </c>
      <c r="C2" s="5" t="inlineStr">
        <is>
          <t>245 CDEs — zero placeholders</t>
        </is>
      </c>
      <c r="D2" s="5" t="inlineStr">
        <is>
          <t>03_CDE_Registry verified</t>
        </is>
      </c>
    </row>
    <row r="3">
      <c r="A3" s="5" t="inlineStr">
        <is>
          <t>BQ Governance</t>
        </is>
      </c>
      <c r="B3" s="5" t="inlineStr">
        <is>
          <t>CLOSED</t>
        </is>
      </c>
      <c r="C3" s="5" t="inlineStr">
        <is>
          <t>76 MECE Business Questions</t>
        </is>
      </c>
      <c r="D3" s="5" t="inlineStr">
        <is>
          <t>02_BQ_Registry verified</t>
        </is>
      </c>
    </row>
    <row r="4">
      <c r="A4" s="5" t="inlineStr">
        <is>
          <t>Framework Validation</t>
        </is>
      </c>
      <c r="B4" s="5" t="inlineStr">
        <is>
          <t>CLOSED</t>
        </is>
      </c>
      <c r="C4" s="5" t="inlineStr">
        <is>
          <t>Framework mappings in 09 and 12 sheets</t>
        </is>
      </c>
      <c r="D4" s="5" t="inlineStr">
        <is>
          <t>Verified</t>
        </is>
      </c>
    </row>
    <row r="5">
      <c r="A5" s="5" t="inlineStr">
        <is>
          <t>Cross-Domain Boundary</t>
        </is>
      </c>
      <c r="B5" s="5" t="inlineStr">
        <is>
          <t>CLOSED</t>
        </is>
      </c>
      <c r="C5" s="5" t="inlineStr">
        <is>
          <t>Boundary notes in 03_CDE_Registry col 19</t>
        </is>
      </c>
      <c r="D5" s="5" t="inlineStr">
        <is>
          <t>Verified</t>
        </is>
      </c>
    </row>
    <row r="6">
      <c r="A6" s="5" t="inlineStr">
        <is>
          <t>Certification</t>
        </is>
      </c>
      <c r="B6" s="5" t="inlineStr">
        <is>
          <t>CLOSED</t>
        </is>
      </c>
      <c r="C6" s="5" t="inlineStr">
        <is>
          <t>Domain locked as Gold Standard</t>
        </is>
      </c>
      <c r="D6" s="5" t="inlineStr">
        <is>
          <t>00_Freeze_Status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Check</t>
        </is>
      </c>
      <c r="B1" s="5" t="inlineStr">
        <is>
          <t>Result</t>
        </is>
      </c>
    </row>
    <row r="2">
      <c r="A2" s="5" t="inlineStr">
        <is>
          <t>CDE count = 245</t>
        </is>
      </c>
      <c r="B2" s="5" t="inlineStr">
        <is>
          <t>PASS</t>
        </is>
      </c>
    </row>
    <row r="3">
      <c r="A3" s="5" t="inlineStr">
        <is>
          <t>BQ count = 76</t>
        </is>
      </c>
      <c r="B3" s="5" t="inlineStr">
        <is>
          <t>PASS</t>
        </is>
      </c>
    </row>
    <row r="4">
      <c r="A4" s="5" t="inlineStr">
        <is>
          <t>Zero placeholder CDE names</t>
        </is>
      </c>
      <c r="B4" s="5" t="inlineStr">
        <is>
          <t>PASS</t>
        </is>
      </c>
    </row>
    <row r="5">
      <c r="A5" s="5" t="inlineStr">
        <is>
          <t>Zero duplicate CDE names</t>
        </is>
      </c>
      <c r="B5" s="5" t="inlineStr">
        <is>
          <t>PASS</t>
        </is>
      </c>
    </row>
    <row r="6">
      <c r="A6" s="5" t="inlineStr">
        <is>
          <t>All BQs mapped</t>
        </is>
      </c>
      <c r="B6" s="5" t="inlineStr">
        <is>
          <t>PASS</t>
        </is>
      </c>
    </row>
    <row r="7">
      <c r="A7" s="5" t="inlineStr">
        <is>
          <t>Cross-domain boundary notes present</t>
        </is>
      </c>
      <c r="B7" s="5" t="inlineStr">
        <is>
          <t>PASS</t>
        </is>
      </c>
    </row>
    <row r="8">
      <c r="A8" s="5" t="inlineStr">
        <is>
          <t>Gold Standard certification</t>
        </is>
      </c>
      <c r="B8" s="5" t="inlineStr">
        <is>
          <t>CERTIFIED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2026-06-23T08:33:07Z</dcterms:created>
  <dcterms:modified xmlns:dcterms="http://purl.org/dc/terms/" xmlns:xsi="http://www.w3.org/2001/XMLSchema-instance" xsi:type="dcterms:W3CDTF">2026-07-04T06:44:12Z</dcterms:modified>
  <cp:revision>0</cp:revision>
</cp:coreProperties>
</file>